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64dfae37e57cddd/Desktop/E-commerce Excel-G/"/>
    </mc:Choice>
  </mc:AlternateContent>
  <xr:revisionPtr revIDLastSave="44" documentId="13_ncr:1_{946796E2-141E-490B-BBEC-28946E157689}" xr6:coauthVersionLast="47" xr6:coauthVersionMax="47" xr10:uidLastSave="{6DF57DD7-0724-41F7-B233-71C90018C0C3}"/>
  <bookViews>
    <workbookView xWindow="-110" yWindow="-110" windowWidth="19420" windowHeight="10540" tabRatio="500" firstSheet="3" activeTab="3" xr2:uid="{00000000-000D-0000-FFFF-FFFF00000000}"/>
  </bookViews>
  <sheets>
    <sheet name="Requirements" sheetId="1" r:id="rId1"/>
    <sheet name="Raw Data" sheetId="2" r:id="rId2"/>
    <sheet name="Cleaned Data" sheetId="3" r:id="rId3"/>
    <sheet name="Dashboard" sheetId="4" r:id="rId4"/>
    <sheet name="Insights &amp; Recommendations" sheetId="5" r:id="rId5"/>
    <sheet name="Quality Checks" sheetId="6" r:id="rId6"/>
    <sheet name="Calc" sheetId="7" state="hidden" r:id="rId7"/>
  </sheets>
  <definedNames>
    <definedName name="_xlnm._FilterDatabase" localSheetId="1" hidden="1">'Raw Data'!$A$1:$S$2003</definedName>
    <definedName name="d_Category">'Cleaned Data'!$D$2:$D$2001</definedName>
    <definedName name="d_City">'Cleaned Data'!$U$2:$U$2001</definedName>
    <definedName name="d_COGS">'Cleaned Data'!$M$2:$M$2001</definedName>
    <definedName name="d_Cust">'Cleaned Data'!$S$2:$S$2001</definedName>
    <definedName name="d_Date">'Cleaned Data'!$B$2:$B$2001</definedName>
    <definedName name="d_Disc">'Cleaned Data'!$G$2:$G$2001</definedName>
    <definedName name="d_GP">'Cleaned Data'!$N$2:$N$2001</definedName>
    <definedName name="d_Inv">'Cleaned Data'!$A$2:$A$2001</definedName>
    <definedName name="d_NetQty">'Cleaned Data'!$K$2:$K$2001</definedName>
    <definedName name="d_NetSales">'Cleaned Data'!$L$2:$L$2001</definedName>
    <definedName name="d_NP">'Cleaned Data'!$Q$2:$Q$2001</definedName>
    <definedName name="d_Opex">'Cleaned Data'!$P$2:$P$2001</definedName>
    <definedName name="d_Pay">'Cleaned Data'!$T$2:$T$2001</definedName>
    <definedName name="d_Product">'Cleaned Data'!$C$2:$C$2001</definedName>
    <definedName name="d_Qty">'Cleaned Data'!$E$2:$E$2001</definedName>
    <definedName name="d_RetQty">'Cleaned Data'!$I$2:$I$2001</definedName>
    <definedName name="d_Sales">'Cleaned Data'!$H$2:$H$2001</definedName>
    <definedName name="d_SalesRet">'Cleaned Data'!$J$2:$J$2001</definedName>
    <definedName name="fCat">Calc!$C$5</definedName>
    <definedName name="fCity">Calc!$C$6</definedName>
    <definedName name="fCust">Calc!$C$7</definedName>
    <definedName name="fEnd">Calc!$C$13</definedName>
    <definedName name="fPay">Calc!$C$8</definedName>
    <definedName name="fStart">Calc!$C$12</definedName>
    <definedName name="_xlnm.Print_Area" localSheetId="3">Dashboard!$A$1:$W$115</definedName>
    <definedName name="_xlnm.Print_Area" localSheetId="4">'Insights &amp; Recommendations'!$A$1:$B$24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2" i="7" l="1"/>
  <c r="C151" i="7"/>
  <c r="C150" i="7"/>
  <c r="B85" i="7"/>
  <c r="B84" i="7"/>
  <c r="B83" i="7"/>
  <c r="B82" i="7"/>
  <c r="B81" i="7"/>
  <c r="B80" i="7"/>
  <c r="B79" i="7"/>
  <c r="B78" i="7"/>
  <c r="B77" i="7"/>
  <c r="B76" i="7"/>
  <c r="B75" i="7"/>
  <c r="B74" i="7"/>
  <c r="B73" i="7"/>
  <c r="B72" i="7"/>
  <c r="B71" i="7"/>
  <c r="B70" i="7"/>
  <c r="B69" i="7"/>
  <c r="B68" i="7"/>
  <c r="B67" i="7"/>
  <c r="B66" i="7"/>
  <c r="C47" i="7"/>
  <c r="D47" i="7" s="1"/>
  <c r="C11" i="7"/>
  <c r="C48" i="7" s="1"/>
  <c r="D48" i="7" s="1"/>
  <c r="B10" i="7"/>
  <c r="C10" i="7" s="1"/>
  <c r="C13" i="7" s="1"/>
  <c r="B9" i="7"/>
  <c r="C9" i="7" s="1"/>
  <c r="B8" i="7"/>
  <c r="C8" i="7" s="1"/>
  <c r="B7" i="7"/>
  <c r="C7" i="7" s="1"/>
  <c r="B6" i="7"/>
  <c r="C6" i="7" s="1"/>
  <c r="B5" i="7"/>
  <c r="C5" i="7" s="1"/>
  <c r="R2001" i="3"/>
  <c r="O2001" i="3"/>
  <c r="R2000" i="3"/>
  <c r="O2000" i="3"/>
  <c r="R1999" i="3"/>
  <c r="O1999" i="3"/>
  <c r="R1998" i="3"/>
  <c r="O1998" i="3"/>
  <c r="R1997" i="3"/>
  <c r="O1997" i="3"/>
  <c r="R1996" i="3"/>
  <c r="O1996" i="3"/>
  <c r="R1995" i="3"/>
  <c r="O1995" i="3"/>
  <c r="R1994" i="3"/>
  <c r="O1994" i="3"/>
  <c r="R1993" i="3"/>
  <c r="O1993" i="3"/>
  <c r="R1992" i="3"/>
  <c r="O1992" i="3"/>
  <c r="R1991" i="3"/>
  <c r="O1991" i="3"/>
  <c r="R1990" i="3"/>
  <c r="O1990" i="3"/>
  <c r="R1989" i="3"/>
  <c r="O1989" i="3"/>
  <c r="R1988" i="3"/>
  <c r="O1988" i="3"/>
  <c r="R1987" i="3"/>
  <c r="O1987" i="3"/>
  <c r="R1986" i="3"/>
  <c r="O1986" i="3"/>
  <c r="R1985" i="3"/>
  <c r="O1985" i="3"/>
  <c r="R1984" i="3"/>
  <c r="O1984" i="3"/>
  <c r="R1983" i="3"/>
  <c r="O1983" i="3"/>
  <c r="R1982" i="3"/>
  <c r="O1982" i="3"/>
  <c r="R1981" i="3"/>
  <c r="O1981" i="3"/>
  <c r="R1980" i="3"/>
  <c r="O1980" i="3"/>
  <c r="R1979" i="3"/>
  <c r="O1979" i="3"/>
  <c r="R1978" i="3"/>
  <c r="O1978" i="3"/>
  <c r="R1977" i="3"/>
  <c r="O1977" i="3"/>
  <c r="R1976" i="3"/>
  <c r="O1976" i="3"/>
  <c r="R1975" i="3"/>
  <c r="O1975" i="3"/>
  <c r="R1974" i="3"/>
  <c r="O1974" i="3"/>
  <c r="R1973" i="3"/>
  <c r="O1973" i="3"/>
  <c r="R1972" i="3"/>
  <c r="O1972" i="3"/>
  <c r="R1971" i="3"/>
  <c r="O1971" i="3"/>
  <c r="R1970" i="3"/>
  <c r="O1970" i="3"/>
  <c r="R1969" i="3"/>
  <c r="O1969" i="3"/>
  <c r="R1968" i="3"/>
  <c r="O1968" i="3"/>
  <c r="R1967" i="3"/>
  <c r="O1967" i="3"/>
  <c r="R1966" i="3"/>
  <c r="O1966" i="3"/>
  <c r="R1965" i="3"/>
  <c r="O1965" i="3"/>
  <c r="R1964" i="3"/>
  <c r="O1964" i="3"/>
  <c r="R1963" i="3"/>
  <c r="O1963" i="3"/>
  <c r="R1962" i="3"/>
  <c r="O1962" i="3"/>
  <c r="R1961" i="3"/>
  <c r="O1961" i="3"/>
  <c r="R1960" i="3"/>
  <c r="O1960" i="3"/>
  <c r="R1959" i="3"/>
  <c r="O1959" i="3"/>
  <c r="R1958" i="3"/>
  <c r="O1958" i="3"/>
  <c r="R1957" i="3"/>
  <c r="O1957" i="3"/>
  <c r="R1956" i="3"/>
  <c r="O1956" i="3"/>
  <c r="R1955" i="3"/>
  <c r="O1955" i="3"/>
  <c r="R1954" i="3"/>
  <c r="O1954" i="3"/>
  <c r="R1953" i="3"/>
  <c r="O1953" i="3"/>
  <c r="R1952" i="3"/>
  <c r="O1952" i="3"/>
  <c r="R1951" i="3"/>
  <c r="O1951" i="3"/>
  <c r="R1950" i="3"/>
  <c r="O1950" i="3"/>
  <c r="R1949" i="3"/>
  <c r="O1949" i="3"/>
  <c r="R1948" i="3"/>
  <c r="O1948" i="3"/>
  <c r="R1947" i="3"/>
  <c r="O1947" i="3"/>
  <c r="R1946" i="3"/>
  <c r="O1946" i="3"/>
  <c r="R1945" i="3"/>
  <c r="O1945" i="3"/>
  <c r="R1944" i="3"/>
  <c r="O1944" i="3"/>
  <c r="R1943" i="3"/>
  <c r="O1943" i="3"/>
  <c r="R1942" i="3"/>
  <c r="O1942" i="3"/>
  <c r="R1941" i="3"/>
  <c r="O1941" i="3"/>
  <c r="R1940" i="3"/>
  <c r="O1940" i="3"/>
  <c r="R1939" i="3"/>
  <c r="O1939" i="3"/>
  <c r="R1938" i="3"/>
  <c r="O1938" i="3"/>
  <c r="R1937" i="3"/>
  <c r="O1937" i="3"/>
  <c r="R1935" i="3"/>
  <c r="O1935" i="3"/>
  <c r="R1934" i="3"/>
  <c r="O1934" i="3"/>
  <c r="R1933" i="3"/>
  <c r="O1933" i="3"/>
  <c r="R1932" i="3"/>
  <c r="O1932" i="3"/>
  <c r="R1931" i="3"/>
  <c r="O1931" i="3"/>
  <c r="R1930" i="3"/>
  <c r="O1930" i="3"/>
  <c r="R1929" i="3"/>
  <c r="O1929" i="3"/>
  <c r="R1928" i="3"/>
  <c r="O1928" i="3"/>
  <c r="R1927" i="3"/>
  <c r="O1927" i="3"/>
  <c r="R1925" i="3"/>
  <c r="O1925" i="3"/>
  <c r="R1924" i="3"/>
  <c r="O1924" i="3"/>
  <c r="R1923" i="3"/>
  <c r="O1923" i="3"/>
  <c r="R1922" i="3"/>
  <c r="O1922" i="3"/>
  <c r="R1921" i="3"/>
  <c r="O1921" i="3"/>
  <c r="R1920" i="3"/>
  <c r="O1920" i="3"/>
  <c r="R1919" i="3"/>
  <c r="O1919" i="3"/>
  <c r="R1918" i="3"/>
  <c r="O1918" i="3"/>
  <c r="R1917" i="3"/>
  <c r="O1917" i="3"/>
  <c r="R1916" i="3"/>
  <c r="O1916" i="3"/>
  <c r="R1915" i="3"/>
  <c r="O1915" i="3"/>
  <c r="R1914" i="3"/>
  <c r="O1914" i="3"/>
  <c r="R1912" i="3"/>
  <c r="O1912" i="3"/>
  <c r="R1911" i="3"/>
  <c r="O1911" i="3"/>
  <c r="R1910" i="3"/>
  <c r="O1910" i="3"/>
  <c r="R1909" i="3"/>
  <c r="O1909" i="3"/>
  <c r="R1908" i="3"/>
  <c r="O1908" i="3"/>
  <c r="R1907" i="3"/>
  <c r="O1907" i="3"/>
  <c r="R1906" i="3"/>
  <c r="O1906" i="3"/>
  <c r="R1905" i="3"/>
  <c r="O1905" i="3"/>
  <c r="R1904" i="3"/>
  <c r="O1904" i="3"/>
  <c r="R1903" i="3"/>
  <c r="O1903" i="3"/>
  <c r="R1902" i="3"/>
  <c r="O1902" i="3"/>
  <c r="R1901" i="3"/>
  <c r="O1901" i="3"/>
  <c r="R1900" i="3"/>
  <c r="O1900" i="3"/>
  <c r="R1899" i="3"/>
  <c r="O1899" i="3"/>
  <c r="R1898" i="3"/>
  <c r="O1898" i="3"/>
  <c r="R1897" i="3"/>
  <c r="O1897" i="3"/>
  <c r="R1896" i="3"/>
  <c r="O1896" i="3"/>
  <c r="R1895" i="3"/>
  <c r="O1895" i="3"/>
  <c r="R1894" i="3"/>
  <c r="O1894" i="3"/>
  <c r="R1893" i="3"/>
  <c r="O1893" i="3"/>
  <c r="R1892" i="3"/>
  <c r="O1892" i="3"/>
  <c r="R1891" i="3"/>
  <c r="O1891" i="3"/>
  <c r="R1890" i="3"/>
  <c r="O1890" i="3"/>
  <c r="R1889" i="3"/>
  <c r="O1889" i="3"/>
  <c r="R1888" i="3"/>
  <c r="O1888" i="3"/>
  <c r="R1887" i="3"/>
  <c r="O1887" i="3"/>
  <c r="R1886" i="3"/>
  <c r="O1886" i="3"/>
  <c r="R1885" i="3"/>
  <c r="O1885" i="3"/>
  <c r="R1884" i="3"/>
  <c r="O1884" i="3"/>
  <c r="R1883" i="3"/>
  <c r="O1883" i="3"/>
  <c r="R1882" i="3"/>
  <c r="O1882" i="3"/>
  <c r="R1881" i="3"/>
  <c r="O1881" i="3"/>
  <c r="R1880" i="3"/>
  <c r="O1880" i="3"/>
  <c r="R1879" i="3"/>
  <c r="O1879" i="3"/>
  <c r="R1878" i="3"/>
  <c r="O1878" i="3"/>
  <c r="R1877" i="3"/>
  <c r="O1877" i="3"/>
  <c r="R1876" i="3"/>
  <c r="O1876" i="3"/>
  <c r="R1875" i="3"/>
  <c r="O1875" i="3"/>
  <c r="R1874" i="3"/>
  <c r="O1874" i="3"/>
  <c r="R1873" i="3"/>
  <c r="O1873" i="3"/>
  <c r="R1872" i="3"/>
  <c r="O1872" i="3"/>
  <c r="R1871" i="3"/>
  <c r="O1871" i="3"/>
  <c r="R1870" i="3"/>
  <c r="O1870" i="3"/>
  <c r="R1869" i="3"/>
  <c r="O1869" i="3"/>
  <c r="R1868" i="3"/>
  <c r="O1868" i="3"/>
  <c r="R1867" i="3"/>
  <c r="O1867" i="3"/>
  <c r="R1866" i="3"/>
  <c r="O1866" i="3"/>
  <c r="R1865" i="3"/>
  <c r="O1865" i="3"/>
  <c r="R1864" i="3"/>
  <c r="O1864" i="3"/>
  <c r="R1862" i="3"/>
  <c r="O1862" i="3"/>
  <c r="R1861" i="3"/>
  <c r="O1861" i="3"/>
  <c r="R1860" i="3"/>
  <c r="O1860" i="3"/>
  <c r="R1859" i="3"/>
  <c r="O1859" i="3"/>
  <c r="R1858" i="3"/>
  <c r="O1858" i="3"/>
  <c r="R1857" i="3"/>
  <c r="O1857" i="3"/>
  <c r="R1856" i="3"/>
  <c r="O1856" i="3"/>
  <c r="R1855" i="3"/>
  <c r="O1855" i="3"/>
  <c r="R1854" i="3"/>
  <c r="O1854" i="3"/>
  <c r="R1853" i="3"/>
  <c r="O1853" i="3"/>
  <c r="R1852" i="3"/>
  <c r="O1852" i="3"/>
  <c r="R1851" i="3"/>
  <c r="O1851" i="3"/>
  <c r="R1850" i="3"/>
  <c r="O1850" i="3"/>
  <c r="R1849" i="3"/>
  <c r="O1849" i="3"/>
  <c r="R1848" i="3"/>
  <c r="O1848" i="3"/>
  <c r="R1847" i="3"/>
  <c r="O1847" i="3"/>
  <c r="R1846" i="3"/>
  <c r="O1846" i="3"/>
  <c r="R1845" i="3"/>
  <c r="O1845" i="3"/>
  <c r="R1844" i="3"/>
  <c r="O1844" i="3"/>
  <c r="R1843" i="3"/>
  <c r="O1843" i="3"/>
  <c r="R1842" i="3"/>
  <c r="O1842" i="3"/>
  <c r="R1841" i="3"/>
  <c r="O1841" i="3"/>
  <c r="R1840" i="3"/>
  <c r="O1840" i="3"/>
  <c r="R1839" i="3"/>
  <c r="O1839" i="3"/>
  <c r="R1838" i="3"/>
  <c r="O1838" i="3"/>
  <c r="R1837" i="3"/>
  <c r="O1837" i="3"/>
  <c r="R1836" i="3"/>
  <c r="O1836" i="3"/>
  <c r="R1835" i="3"/>
  <c r="O1835" i="3"/>
  <c r="R1834" i="3"/>
  <c r="O1834" i="3"/>
  <c r="R1833" i="3"/>
  <c r="O1833" i="3"/>
  <c r="R1832" i="3"/>
  <c r="O1832" i="3"/>
  <c r="R1831" i="3"/>
  <c r="O1831" i="3"/>
  <c r="R1830" i="3"/>
  <c r="O1830" i="3"/>
  <c r="R1829" i="3"/>
  <c r="O1829" i="3"/>
  <c r="R1828" i="3"/>
  <c r="O1828" i="3"/>
  <c r="R1827" i="3"/>
  <c r="O1827" i="3"/>
  <c r="R1826" i="3"/>
  <c r="O1826" i="3"/>
  <c r="R1825" i="3"/>
  <c r="O1825" i="3"/>
  <c r="R1824" i="3"/>
  <c r="O1824" i="3"/>
  <c r="R1823" i="3"/>
  <c r="O1823" i="3"/>
  <c r="R1822" i="3"/>
  <c r="O1822" i="3"/>
  <c r="R1821" i="3"/>
  <c r="O1821" i="3"/>
  <c r="R1820" i="3"/>
  <c r="O1820" i="3"/>
  <c r="R1819" i="3"/>
  <c r="O1819" i="3"/>
  <c r="R1818" i="3"/>
  <c r="O1818" i="3"/>
  <c r="R1817" i="3"/>
  <c r="O1817" i="3"/>
  <c r="R1816" i="3"/>
  <c r="O1816" i="3"/>
  <c r="R1815" i="3"/>
  <c r="O1815" i="3"/>
  <c r="R1814" i="3"/>
  <c r="O1814" i="3"/>
  <c r="R1813" i="3"/>
  <c r="O1813" i="3"/>
  <c r="R1812" i="3"/>
  <c r="O1812" i="3"/>
  <c r="R1811" i="3"/>
  <c r="O1811" i="3"/>
  <c r="R1810" i="3"/>
  <c r="O1810" i="3"/>
  <c r="R1809" i="3"/>
  <c r="O1809" i="3"/>
  <c r="R1808" i="3"/>
  <c r="O1808" i="3"/>
  <c r="R1807" i="3"/>
  <c r="O1807" i="3"/>
  <c r="R1806" i="3"/>
  <c r="O1806" i="3"/>
  <c r="R1805" i="3"/>
  <c r="O1805" i="3"/>
  <c r="R1804" i="3"/>
  <c r="O1804" i="3"/>
  <c r="R1803" i="3"/>
  <c r="O1803" i="3"/>
  <c r="R1802" i="3"/>
  <c r="O1802" i="3"/>
  <c r="R1801" i="3"/>
  <c r="O1801" i="3"/>
  <c r="R1800" i="3"/>
  <c r="O1800" i="3"/>
  <c r="R1799" i="3"/>
  <c r="O1799" i="3"/>
  <c r="R1798" i="3"/>
  <c r="O1798" i="3"/>
  <c r="R1797" i="3"/>
  <c r="O1797" i="3"/>
  <c r="R1796" i="3"/>
  <c r="O1796" i="3"/>
  <c r="R1795" i="3"/>
  <c r="O1795" i="3"/>
  <c r="R1794" i="3"/>
  <c r="O1794" i="3"/>
  <c r="R1793" i="3"/>
  <c r="O1793" i="3"/>
  <c r="R1792" i="3"/>
  <c r="O1792" i="3"/>
  <c r="R1791" i="3"/>
  <c r="O1791" i="3"/>
  <c r="R1790" i="3"/>
  <c r="O1790" i="3"/>
  <c r="R1789" i="3"/>
  <c r="O1789" i="3"/>
  <c r="R1788" i="3"/>
  <c r="O1788" i="3"/>
  <c r="R1787" i="3"/>
  <c r="O1787" i="3"/>
  <c r="R1786" i="3"/>
  <c r="O1786" i="3"/>
  <c r="R1785" i="3"/>
  <c r="O1785" i="3"/>
  <c r="R1784" i="3"/>
  <c r="O1784" i="3"/>
  <c r="R1783" i="3"/>
  <c r="O1783" i="3"/>
  <c r="R1782" i="3"/>
  <c r="O1782" i="3"/>
  <c r="R1781" i="3"/>
  <c r="O1781" i="3"/>
  <c r="R1780" i="3"/>
  <c r="O1780" i="3"/>
  <c r="R1779" i="3"/>
  <c r="O1779" i="3"/>
  <c r="R1778" i="3"/>
  <c r="O1778" i="3"/>
  <c r="R1777" i="3"/>
  <c r="O1777" i="3"/>
  <c r="R1776" i="3"/>
  <c r="O1776" i="3"/>
  <c r="R1775" i="3"/>
  <c r="O1775" i="3"/>
  <c r="R1774" i="3"/>
  <c r="O1774" i="3"/>
  <c r="R1773" i="3"/>
  <c r="O1773" i="3"/>
  <c r="R1772" i="3"/>
  <c r="O1772" i="3"/>
  <c r="R1771" i="3"/>
  <c r="O1771" i="3"/>
  <c r="R1770" i="3"/>
  <c r="O1770" i="3"/>
  <c r="R1769" i="3"/>
  <c r="O1769" i="3"/>
  <c r="R1768" i="3"/>
  <c r="O1768" i="3"/>
  <c r="R1767" i="3"/>
  <c r="O1767" i="3"/>
  <c r="R1766" i="3"/>
  <c r="O1766" i="3"/>
  <c r="R1765" i="3"/>
  <c r="O1765" i="3"/>
  <c r="R1764" i="3"/>
  <c r="O1764" i="3"/>
  <c r="R1763" i="3"/>
  <c r="O1763" i="3"/>
  <c r="R1762" i="3"/>
  <c r="O1762" i="3"/>
  <c r="R1761" i="3"/>
  <c r="O1761" i="3"/>
  <c r="R1760" i="3"/>
  <c r="O1760" i="3"/>
  <c r="R1759" i="3"/>
  <c r="O1759" i="3"/>
  <c r="R1758" i="3"/>
  <c r="O1758" i="3"/>
  <c r="R1757" i="3"/>
  <c r="O1757" i="3"/>
  <c r="R1756" i="3"/>
  <c r="O1756" i="3"/>
  <c r="R1755" i="3"/>
  <c r="O1755" i="3"/>
  <c r="R1753" i="3"/>
  <c r="O1753" i="3"/>
  <c r="R1752" i="3"/>
  <c r="O1752" i="3"/>
  <c r="R1751" i="3"/>
  <c r="O1751" i="3"/>
  <c r="R1750" i="3"/>
  <c r="O1750" i="3"/>
  <c r="R1749" i="3"/>
  <c r="O1749" i="3"/>
  <c r="R1748" i="3"/>
  <c r="O1748" i="3"/>
  <c r="R1747" i="3"/>
  <c r="O1747" i="3"/>
  <c r="R1746" i="3"/>
  <c r="O1746" i="3"/>
  <c r="R1745" i="3"/>
  <c r="O1745" i="3"/>
  <c r="R1744" i="3"/>
  <c r="O1744" i="3"/>
  <c r="R1743" i="3"/>
  <c r="O1743" i="3"/>
  <c r="R1742" i="3"/>
  <c r="O1742" i="3"/>
  <c r="R1741" i="3"/>
  <c r="O1741" i="3"/>
  <c r="R1740" i="3"/>
  <c r="O1740" i="3"/>
  <c r="R1739" i="3"/>
  <c r="O1739" i="3"/>
  <c r="R1738" i="3"/>
  <c r="O1738" i="3"/>
  <c r="R1737" i="3"/>
  <c r="O1737" i="3"/>
  <c r="R1736" i="3"/>
  <c r="O1736" i="3"/>
  <c r="R1735" i="3"/>
  <c r="O1735" i="3"/>
  <c r="R1734" i="3"/>
  <c r="O1734" i="3"/>
  <c r="R1733" i="3"/>
  <c r="O1733" i="3"/>
  <c r="R1732" i="3"/>
  <c r="O1732" i="3"/>
  <c r="R1731" i="3"/>
  <c r="O1731" i="3"/>
  <c r="R1730" i="3"/>
  <c r="O1730" i="3"/>
  <c r="R1729" i="3"/>
  <c r="O1729" i="3"/>
  <c r="R1728" i="3"/>
  <c r="O1728" i="3"/>
  <c r="R1727" i="3"/>
  <c r="O1727" i="3"/>
  <c r="R1726" i="3"/>
  <c r="O1726" i="3"/>
  <c r="R1725" i="3"/>
  <c r="O1725" i="3"/>
  <c r="R1724" i="3"/>
  <c r="O1724" i="3"/>
  <c r="R1723" i="3"/>
  <c r="O1723" i="3"/>
  <c r="R1722" i="3"/>
  <c r="O1722" i="3"/>
  <c r="R1721" i="3"/>
  <c r="O1721" i="3"/>
  <c r="R1719" i="3"/>
  <c r="O1719" i="3"/>
  <c r="R1718" i="3"/>
  <c r="O1718" i="3"/>
  <c r="R1717" i="3"/>
  <c r="O1717" i="3"/>
  <c r="R1716" i="3"/>
  <c r="O1716" i="3"/>
  <c r="R1715" i="3"/>
  <c r="O1715" i="3"/>
  <c r="R1714" i="3"/>
  <c r="O1714" i="3"/>
  <c r="R1713" i="3"/>
  <c r="O1713" i="3"/>
  <c r="R1712" i="3"/>
  <c r="O1712" i="3"/>
  <c r="R1711" i="3"/>
  <c r="O1711" i="3"/>
  <c r="R1710" i="3"/>
  <c r="O1710" i="3"/>
  <c r="R1709" i="3"/>
  <c r="O1709" i="3"/>
  <c r="R1708" i="3"/>
  <c r="O1708" i="3"/>
  <c r="R1707" i="3"/>
  <c r="O1707" i="3"/>
  <c r="R1706" i="3"/>
  <c r="O1706" i="3"/>
  <c r="R1705" i="3"/>
  <c r="O1705" i="3"/>
  <c r="R1704" i="3"/>
  <c r="O1704" i="3"/>
  <c r="R1703" i="3"/>
  <c r="O1703" i="3"/>
  <c r="R1702" i="3"/>
  <c r="O1702" i="3"/>
  <c r="R1701" i="3"/>
  <c r="O1701" i="3"/>
  <c r="R1700" i="3"/>
  <c r="O1700" i="3"/>
  <c r="R1699" i="3"/>
  <c r="O1699" i="3"/>
  <c r="R1698" i="3"/>
  <c r="O1698" i="3"/>
  <c r="R1697" i="3"/>
  <c r="O1697" i="3"/>
  <c r="R1696" i="3"/>
  <c r="O1696" i="3"/>
  <c r="R1695" i="3"/>
  <c r="O1695" i="3"/>
  <c r="R1694" i="3"/>
  <c r="O1694" i="3"/>
  <c r="R1693" i="3"/>
  <c r="O1693" i="3"/>
  <c r="R1692" i="3"/>
  <c r="O1692" i="3"/>
  <c r="R1691" i="3"/>
  <c r="O1691" i="3"/>
  <c r="R1690" i="3"/>
  <c r="O1690" i="3"/>
  <c r="R1689" i="3"/>
  <c r="O1689" i="3"/>
  <c r="R1688" i="3"/>
  <c r="O1688" i="3"/>
  <c r="R1687" i="3"/>
  <c r="O1687" i="3"/>
  <c r="R1686" i="3"/>
  <c r="O1686" i="3"/>
  <c r="R1685" i="3"/>
  <c r="O1685" i="3"/>
  <c r="R1684" i="3"/>
  <c r="O1684" i="3"/>
  <c r="R1682" i="3"/>
  <c r="O1682" i="3"/>
  <c r="R1681" i="3"/>
  <c r="O1681" i="3"/>
  <c r="R1680" i="3"/>
  <c r="O1680" i="3"/>
  <c r="R1679" i="3"/>
  <c r="O1679" i="3"/>
  <c r="R1678" i="3"/>
  <c r="O1678" i="3"/>
  <c r="R1677" i="3"/>
  <c r="O1677" i="3"/>
  <c r="R1676" i="3"/>
  <c r="O1676" i="3"/>
  <c r="R1675" i="3"/>
  <c r="O1675" i="3"/>
  <c r="R1674" i="3"/>
  <c r="O1674" i="3"/>
  <c r="R1673" i="3"/>
  <c r="O1673" i="3"/>
  <c r="R1672" i="3"/>
  <c r="O1672" i="3"/>
  <c r="R1671" i="3"/>
  <c r="O1671" i="3"/>
  <c r="R1670" i="3"/>
  <c r="O1670" i="3"/>
  <c r="R1669" i="3"/>
  <c r="O1669" i="3"/>
  <c r="R1668" i="3"/>
  <c r="O1668" i="3"/>
  <c r="R1667" i="3"/>
  <c r="O1667" i="3"/>
  <c r="R1666" i="3"/>
  <c r="O1666" i="3"/>
  <c r="R1665" i="3"/>
  <c r="O1665" i="3"/>
  <c r="R1664" i="3"/>
  <c r="O1664" i="3"/>
  <c r="R1663" i="3"/>
  <c r="O1663" i="3"/>
  <c r="R1662" i="3"/>
  <c r="O1662" i="3"/>
  <c r="R1661" i="3"/>
  <c r="O1661" i="3"/>
  <c r="R1660" i="3"/>
  <c r="O1660" i="3"/>
  <c r="R1659" i="3"/>
  <c r="O1659" i="3"/>
  <c r="R1658" i="3"/>
  <c r="O1658" i="3"/>
  <c r="R1657" i="3"/>
  <c r="O1657" i="3"/>
  <c r="R1656" i="3"/>
  <c r="O1656" i="3"/>
  <c r="R1655" i="3"/>
  <c r="O1655" i="3"/>
  <c r="R1654" i="3"/>
  <c r="O1654" i="3"/>
  <c r="R1653" i="3"/>
  <c r="O1653" i="3"/>
  <c r="R1652" i="3"/>
  <c r="O1652" i="3"/>
  <c r="R1651" i="3"/>
  <c r="O1651" i="3"/>
  <c r="R1650" i="3"/>
  <c r="O1650" i="3"/>
  <c r="R1649" i="3"/>
  <c r="O1649" i="3"/>
  <c r="R1648" i="3"/>
  <c r="O1648" i="3"/>
  <c r="R1647" i="3"/>
  <c r="O1647" i="3"/>
  <c r="R1646" i="3"/>
  <c r="O1646" i="3"/>
  <c r="R1645" i="3"/>
  <c r="O1645" i="3"/>
  <c r="R1644" i="3"/>
  <c r="O1644" i="3"/>
  <c r="R1643" i="3"/>
  <c r="O1643" i="3"/>
  <c r="R1642" i="3"/>
  <c r="O1642" i="3"/>
  <c r="R1641" i="3"/>
  <c r="O1641" i="3"/>
  <c r="R1640" i="3"/>
  <c r="O1640" i="3"/>
  <c r="R1639" i="3"/>
  <c r="O1639" i="3"/>
  <c r="R1638" i="3"/>
  <c r="O1638" i="3"/>
  <c r="R1637" i="3"/>
  <c r="O1637" i="3"/>
  <c r="R1636" i="3"/>
  <c r="O1636" i="3"/>
  <c r="R1635" i="3"/>
  <c r="O1635" i="3"/>
  <c r="R1634" i="3"/>
  <c r="O1634" i="3"/>
  <c r="R1633" i="3"/>
  <c r="O1633" i="3"/>
  <c r="R1632" i="3"/>
  <c r="O1632" i="3"/>
  <c r="R1631" i="3"/>
  <c r="O1631" i="3"/>
  <c r="R1630" i="3"/>
  <c r="O1630" i="3"/>
  <c r="R1629" i="3"/>
  <c r="O1629" i="3"/>
  <c r="R1628" i="3"/>
  <c r="O1628" i="3"/>
  <c r="R1627" i="3"/>
  <c r="O1627" i="3"/>
  <c r="R1626" i="3"/>
  <c r="O1626" i="3"/>
  <c r="R1625" i="3"/>
  <c r="O1625" i="3"/>
  <c r="R1624" i="3"/>
  <c r="O1624" i="3"/>
  <c r="R1623" i="3"/>
  <c r="O1623" i="3"/>
  <c r="R1622" i="3"/>
  <c r="O1622" i="3"/>
  <c r="R1621" i="3"/>
  <c r="O1621" i="3"/>
  <c r="R1620" i="3"/>
  <c r="O1620" i="3"/>
  <c r="R1619" i="3"/>
  <c r="O1619" i="3"/>
  <c r="R1618" i="3"/>
  <c r="O1618" i="3"/>
  <c r="R1617" i="3"/>
  <c r="O1617" i="3"/>
  <c r="R1616" i="3"/>
  <c r="O1616" i="3"/>
  <c r="R1615" i="3"/>
  <c r="O1615" i="3"/>
  <c r="R1614" i="3"/>
  <c r="O1614" i="3"/>
  <c r="R1613" i="3"/>
  <c r="O1613" i="3"/>
  <c r="R1612" i="3"/>
  <c r="O1612" i="3"/>
  <c r="R1611" i="3"/>
  <c r="O1611" i="3"/>
  <c r="R1610" i="3"/>
  <c r="O1610" i="3"/>
  <c r="R1609" i="3"/>
  <c r="O1609" i="3"/>
  <c r="R1608" i="3"/>
  <c r="O1608" i="3"/>
  <c r="R1607" i="3"/>
  <c r="O1607" i="3"/>
  <c r="R1606" i="3"/>
  <c r="O1606" i="3"/>
  <c r="R1605" i="3"/>
  <c r="O1605" i="3"/>
  <c r="R1604" i="3"/>
  <c r="O1604" i="3"/>
  <c r="R1603" i="3"/>
  <c r="O1603" i="3"/>
  <c r="R1602" i="3"/>
  <c r="O1602" i="3"/>
  <c r="R1601" i="3"/>
  <c r="O1601" i="3"/>
  <c r="R1600" i="3"/>
  <c r="O1600" i="3"/>
  <c r="R1599" i="3"/>
  <c r="O1599" i="3"/>
  <c r="R1598" i="3"/>
  <c r="O1598" i="3"/>
  <c r="R1597" i="3"/>
  <c r="O1597" i="3"/>
  <c r="R1596" i="3"/>
  <c r="O1596" i="3"/>
  <c r="R1595" i="3"/>
  <c r="O1595" i="3"/>
  <c r="R1594" i="3"/>
  <c r="O1594" i="3"/>
  <c r="R1593" i="3"/>
  <c r="O1593" i="3"/>
  <c r="R1592" i="3"/>
  <c r="O1592" i="3"/>
  <c r="R1591" i="3"/>
  <c r="O1591" i="3"/>
  <c r="R1590" i="3"/>
  <c r="O1590" i="3"/>
  <c r="R1589" i="3"/>
  <c r="O1589" i="3"/>
  <c r="R1588" i="3"/>
  <c r="O1588" i="3"/>
  <c r="R1587" i="3"/>
  <c r="O1587" i="3"/>
  <c r="R1586" i="3"/>
  <c r="O1586" i="3"/>
  <c r="R1585" i="3"/>
  <c r="O1585" i="3"/>
  <c r="R1584" i="3"/>
  <c r="O1584" i="3"/>
  <c r="R1583" i="3"/>
  <c r="O1583" i="3"/>
  <c r="R1582" i="3"/>
  <c r="O1582" i="3"/>
  <c r="R1581" i="3"/>
  <c r="O1581" i="3"/>
  <c r="R1580" i="3"/>
  <c r="O1580" i="3"/>
  <c r="R1579" i="3"/>
  <c r="O1579" i="3"/>
  <c r="R1578" i="3"/>
  <c r="O1578" i="3"/>
  <c r="R1577" i="3"/>
  <c r="O1577" i="3"/>
  <c r="R1576" i="3"/>
  <c r="O1576" i="3"/>
  <c r="R1575" i="3"/>
  <c r="O1575" i="3"/>
  <c r="R1574" i="3"/>
  <c r="O1574" i="3"/>
  <c r="R1573" i="3"/>
  <c r="O1573" i="3"/>
  <c r="R1572" i="3"/>
  <c r="O1572" i="3"/>
  <c r="R1571" i="3"/>
  <c r="O1571" i="3"/>
  <c r="R1570" i="3"/>
  <c r="O1570" i="3"/>
  <c r="R1569" i="3"/>
  <c r="O1569" i="3"/>
  <c r="R1568" i="3"/>
  <c r="O1568" i="3"/>
  <c r="R1567" i="3"/>
  <c r="O1567" i="3"/>
  <c r="R1566" i="3"/>
  <c r="O1566" i="3"/>
  <c r="R1565" i="3"/>
  <c r="O1565" i="3"/>
  <c r="R1564" i="3"/>
  <c r="O1564" i="3"/>
  <c r="R1563" i="3"/>
  <c r="O1563" i="3"/>
  <c r="R1561" i="3"/>
  <c r="O1561" i="3"/>
  <c r="R1560" i="3"/>
  <c r="O1560" i="3"/>
  <c r="R1559" i="3"/>
  <c r="O1559" i="3"/>
  <c r="R1558" i="3"/>
  <c r="O1558" i="3"/>
  <c r="R1557" i="3"/>
  <c r="O1557" i="3"/>
  <c r="R1556" i="3"/>
  <c r="O1556" i="3"/>
  <c r="R1555" i="3"/>
  <c r="O1555" i="3"/>
  <c r="R1554" i="3"/>
  <c r="O1554" i="3"/>
  <c r="R1553" i="3"/>
  <c r="O1553" i="3"/>
  <c r="R1552" i="3"/>
  <c r="O1552" i="3"/>
  <c r="R1551" i="3"/>
  <c r="O1551" i="3"/>
  <c r="R1550" i="3"/>
  <c r="O1550" i="3"/>
  <c r="R1549" i="3"/>
  <c r="O1549" i="3"/>
  <c r="R1548" i="3"/>
  <c r="O1548" i="3"/>
  <c r="R1547" i="3"/>
  <c r="O1547" i="3"/>
  <c r="R1546" i="3"/>
  <c r="O1546" i="3"/>
  <c r="R1545" i="3"/>
  <c r="O1545" i="3"/>
  <c r="R1544" i="3"/>
  <c r="O1544" i="3"/>
  <c r="R1543" i="3"/>
  <c r="O1543" i="3"/>
  <c r="R1542" i="3"/>
  <c r="O1542" i="3"/>
  <c r="R1541" i="3"/>
  <c r="O1541" i="3"/>
  <c r="R1540" i="3"/>
  <c r="O1540" i="3"/>
  <c r="R1539" i="3"/>
  <c r="O1539" i="3"/>
  <c r="R1538" i="3"/>
  <c r="O1538" i="3"/>
  <c r="R1537" i="3"/>
  <c r="O1537" i="3"/>
  <c r="R1536" i="3"/>
  <c r="O1536" i="3"/>
  <c r="R1535" i="3"/>
  <c r="O1535" i="3"/>
  <c r="R1534" i="3"/>
  <c r="O1534" i="3"/>
  <c r="R1533" i="3"/>
  <c r="O1533" i="3"/>
  <c r="R1532" i="3"/>
  <c r="O1532" i="3"/>
  <c r="R1531" i="3"/>
  <c r="O1531" i="3"/>
  <c r="R1530" i="3"/>
  <c r="O1530" i="3"/>
  <c r="R1529" i="3"/>
  <c r="O1529" i="3"/>
  <c r="R1528" i="3"/>
  <c r="O1528" i="3"/>
  <c r="R1527" i="3"/>
  <c r="O1527" i="3"/>
  <c r="R1526" i="3"/>
  <c r="O1526" i="3"/>
  <c r="R1525" i="3"/>
  <c r="O1525" i="3"/>
  <c r="R1524" i="3"/>
  <c r="O1524" i="3"/>
  <c r="R1523" i="3"/>
  <c r="O1523" i="3"/>
  <c r="R1522" i="3"/>
  <c r="O1522" i="3"/>
  <c r="R1521" i="3"/>
  <c r="O1521" i="3"/>
  <c r="R1520" i="3"/>
  <c r="O1520" i="3"/>
  <c r="R1519" i="3"/>
  <c r="O1519" i="3"/>
  <c r="R1518" i="3"/>
  <c r="O1518" i="3"/>
  <c r="R1517" i="3"/>
  <c r="O1517" i="3"/>
  <c r="R1516" i="3"/>
  <c r="O1516" i="3"/>
  <c r="R1515" i="3"/>
  <c r="O1515" i="3"/>
  <c r="R1514" i="3"/>
  <c r="O1514" i="3"/>
  <c r="R1513" i="3"/>
  <c r="O1513" i="3"/>
  <c r="R1512" i="3"/>
  <c r="O1512" i="3"/>
  <c r="R1511" i="3"/>
  <c r="O1511" i="3"/>
  <c r="R1510" i="3"/>
  <c r="O1510" i="3"/>
  <c r="R1509" i="3"/>
  <c r="O1509" i="3"/>
  <c r="R1508" i="3"/>
  <c r="O1508" i="3"/>
  <c r="R1507" i="3"/>
  <c r="O1507" i="3"/>
  <c r="R1506" i="3"/>
  <c r="O1506" i="3"/>
  <c r="R1505" i="3"/>
  <c r="O1505" i="3"/>
  <c r="R1504" i="3"/>
  <c r="O1504" i="3"/>
  <c r="R1503" i="3"/>
  <c r="O1503" i="3"/>
  <c r="R1502" i="3"/>
  <c r="O1502" i="3"/>
  <c r="R1501" i="3"/>
  <c r="O1501" i="3"/>
  <c r="R1500" i="3"/>
  <c r="O1500" i="3"/>
  <c r="R1499" i="3"/>
  <c r="O1499" i="3"/>
  <c r="R1498" i="3"/>
  <c r="O1498" i="3"/>
  <c r="R1497" i="3"/>
  <c r="O1497" i="3"/>
  <c r="R1496" i="3"/>
  <c r="O1496" i="3"/>
  <c r="R1495" i="3"/>
  <c r="O1495" i="3"/>
  <c r="R1494" i="3"/>
  <c r="O1494" i="3"/>
  <c r="R1493" i="3"/>
  <c r="O1493" i="3"/>
  <c r="R1492" i="3"/>
  <c r="O1492" i="3"/>
  <c r="R1491" i="3"/>
  <c r="O1491" i="3"/>
  <c r="R1490" i="3"/>
  <c r="O1490" i="3"/>
  <c r="R1489" i="3"/>
  <c r="O1489" i="3"/>
  <c r="R1488" i="3"/>
  <c r="O1488" i="3"/>
  <c r="R1487" i="3"/>
  <c r="O1487" i="3"/>
  <c r="R1486" i="3"/>
  <c r="O1486" i="3"/>
  <c r="R1485" i="3"/>
  <c r="O1485" i="3"/>
  <c r="R1484" i="3"/>
  <c r="O1484" i="3"/>
  <c r="R1483" i="3"/>
  <c r="O1483" i="3"/>
  <c r="R1482" i="3"/>
  <c r="O1482" i="3"/>
  <c r="R1481" i="3"/>
  <c r="O1481" i="3"/>
  <c r="R1480" i="3"/>
  <c r="O1480" i="3"/>
  <c r="R1479" i="3"/>
  <c r="O1479" i="3"/>
  <c r="R1478" i="3"/>
  <c r="O1478" i="3"/>
  <c r="R1477" i="3"/>
  <c r="O1477" i="3"/>
  <c r="R1476" i="3"/>
  <c r="O1476" i="3"/>
  <c r="R1475" i="3"/>
  <c r="O1475" i="3"/>
  <c r="R1474" i="3"/>
  <c r="O1474" i="3"/>
  <c r="R1473" i="3"/>
  <c r="O1473" i="3"/>
  <c r="R1472" i="3"/>
  <c r="O1472" i="3"/>
  <c r="R1471" i="3"/>
  <c r="O1471" i="3"/>
  <c r="R1470" i="3"/>
  <c r="O1470" i="3"/>
  <c r="R1469" i="3"/>
  <c r="O1469" i="3"/>
  <c r="R1468" i="3"/>
  <c r="O1468" i="3"/>
  <c r="R1467" i="3"/>
  <c r="O1467" i="3"/>
  <c r="R1466" i="3"/>
  <c r="O1466" i="3"/>
  <c r="R1465" i="3"/>
  <c r="O1465" i="3"/>
  <c r="R1464" i="3"/>
  <c r="O1464" i="3"/>
  <c r="R1463" i="3"/>
  <c r="O1463" i="3"/>
  <c r="R1462" i="3"/>
  <c r="O1462" i="3"/>
  <c r="R1461" i="3"/>
  <c r="O1461" i="3"/>
  <c r="R1460" i="3"/>
  <c r="O1460" i="3"/>
  <c r="R1459" i="3"/>
  <c r="O1459" i="3"/>
  <c r="R1458" i="3"/>
  <c r="O1458" i="3"/>
  <c r="R1457" i="3"/>
  <c r="O1457" i="3"/>
  <c r="R1456" i="3"/>
  <c r="O1456" i="3"/>
  <c r="R1455" i="3"/>
  <c r="O1455" i="3"/>
  <c r="R1454" i="3"/>
  <c r="O1454" i="3"/>
  <c r="R1453" i="3"/>
  <c r="O1453" i="3"/>
  <c r="R1452" i="3"/>
  <c r="O1452" i="3"/>
  <c r="R1451" i="3"/>
  <c r="O1451" i="3"/>
  <c r="R1450" i="3"/>
  <c r="O1450" i="3"/>
  <c r="R1449" i="3"/>
  <c r="O1449" i="3"/>
  <c r="R1448" i="3"/>
  <c r="O1448" i="3"/>
  <c r="R1447" i="3"/>
  <c r="O1447" i="3"/>
  <c r="R1446" i="3"/>
  <c r="O1446" i="3"/>
  <c r="R1445" i="3"/>
  <c r="O1445" i="3"/>
  <c r="R1444" i="3"/>
  <c r="O1444" i="3"/>
  <c r="R1443" i="3"/>
  <c r="O1443" i="3"/>
  <c r="R1442" i="3"/>
  <c r="O1442" i="3"/>
  <c r="R1441" i="3"/>
  <c r="O1441" i="3"/>
  <c r="R1440" i="3"/>
  <c r="O1440" i="3"/>
  <c r="R1439" i="3"/>
  <c r="O1439" i="3"/>
  <c r="R1438" i="3"/>
  <c r="O1438" i="3"/>
  <c r="R1437" i="3"/>
  <c r="O1437" i="3"/>
  <c r="R1436" i="3"/>
  <c r="O1436" i="3"/>
  <c r="R1435" i="3"/>
  <c r="O1435" i="3"/>
  <c r="R1434" i="3"/>
  <c r="O1434" i="3"/>
  <c r="R1433" i="3"/>
  <c r="O1433" i="3"/>
  <c r="R1432" i="3"/>
  <c r="O1432" i="3"/>
  <c r="R1431" i="3"/>
  <c r="O1431" i="3"/>
  <c r="R1430" i="3"/>
  <c r="O1430" i="3"/>
  <c r="R1429" i="3"/>
  <c r="O1429" i="3"/>
  <c r="R1428" i="3"/>
  <c r="O1428" i="3"/>
  <c r="R1427" i="3"/>
  <c r="O1427" i="3"/>
  <c r="R1426" i="3"/>
  <c r="O1426" i="3"/>
  <c r="R1425" i="3"/>
  <c r="O1425" i="3"/>
  <c r="R1424" i="3"/>
  <c r="O1424" i="3"/>
  <c r="R1423" i="3"/>
  <c r="O1423" i="3"/>
  <c r="R1422" i="3"/>
  <c r="O1422" i="3"/>
  <c r="R1421" i="3"/>
  <c r="O1421" i="3"/>
  <c r="R1420" i="3"/>
  <c r="O1420" i="3"/>
  <c r="R1418" i="3"/>
  <c r="O1418" i="3"/>
  <c r="R1417" i="3"/>
  <c r="O1417" i="3"/>
  <c r="R1416" i="3"/>
  <c r="O1416" i="3"/>
  <c r="R1415" i="3"/>
  <c r="O1415" i="3"/>
  <c r="R1414" i="3"/>
  <c r="O1414" i="3"/>
  <c r="R1413" i="3"/>
  <c r="O1413" i="3"/>
  <c r="R1412" i="3"/>
  <c r="O1412" i="3"/>
  <c r="R1411" i="3"/>
  <c r="O1411" i="3"/>
  <c r="R1410" i="3"/>
  <c r="O1410" i="3"/>
  <c r="R1409" i="3"/>
  <c r="O1409" i="3"/>
  <c r="R1408" i="3"/>
  <c r="O1408" i="3"/>
  <c r="R1407" i="3"/>
  <c r="O1407" i="3"/>
  <c r="R1406" i="3"/>
  <c r="O1406" i="3"/>
  <c r="R1405" i="3"/>
  <c r="O1405" i="3"/>
  <c r="R1404" i="3"/>
  <c r="O1404" i="3"/>
  <c r="R1403" i="3"/>
  <c r="O1403" i="3"/>
  <c r="R1402" i="3"/>
  <c r="O1402" i="3"/>
  <c r="R1401" i="3"/>
  <c r="O1401" i="3"/>
  <c r="R1400" i="3"/>
  <c r="O1400" i="3"/>
  <c r="R1399" i="3"/>
  <c r="O1399" i="3"/>
  <c r="R1398" i="3"/>
  <c r="O1398" i="3"/>
  <c r="R1397" i="3"/>
  <c r="O1397" i="3"/>
  <c r="R1396" i="3"/>
  <c r="O1396" i="3"/>
  <c r="R1395" i="3"/>
  <c r="O1395" i="3"/>
  <c r="R1393" i="3"/>
  <c r="O1393" i="3"/>
  <c r="R1392" i="3"/>
  <c r="O1392" i="3"/>
  <c r="R1391" i="3"/>
  <c r="O1391" i="3"/>
  <c r="R1390" i="3"/>
  <c r="O1390" i="3"/>
  <c r="R1389" i="3"/>
  <c r="O1389" i="3"/>
  <c r="R1388" i="3"/>
  <c r="O1388" i="3"/>
  <c r="R1387" i="3"/>
  <c r="O1387" i="3"/>
  <c r="R1386" i="3"/>
  <c r="O1386" i="3"/>
  <c r="R1385" i="3"/>
  <c r="O1385" i="3"/>
  <c r="R1384" i="3"/>
  <c r="O1384" i="3"/>
  <c r="R1383" i="3"/>
  <c r="O1383" i="3"/>
  <c r="R1382" i="3"/>
  <c r="O1382" i="3"/>
  <c r="R1381" i="3"/>
  <c r="O1381" i="3"/>
  <c r="R1380" i="3"/>
  <c r="O1380" i="3"/>
  <c r="R1379" i="3"/>
  <c r="O1379" i="3"/>
  <c r="R1378" i="3"/>
  <c r="O1378" i="3"/>
  <c r="R1377" i="3"/>
  <c r="O1377" i="3"/>
  <c r="R1376" i="3"/>
  <c r="O1376" i="3"/>
  <c r="R1375" i="3"/>
  <c r="O1375" i="3"/>
  <c r="R1374" i="3"/>
  <c r="O1374" i="3"/>
  <c r="R1373" i="3"/>
  <c r="O1373" i="3"/>
  <c r="R1372" i="3"/>
  <c r="O1372" i="3"/>
  <c r="R1371" i="3"/>
  <c r="O1371" i="3"/>
  <c r="R1370" i="3"/>
  <c r="O1370" i="3"/>
  <c r="R1369" i="3"/>
  <c r="O1369" i="3"/>
  <c r="R1368" i="3"/>
  <c r="O1368" i="3"/>
  <c r="R1367" i="3"/>
  <c r="O1367" i="3"/>
  <c r="R1366" i="3"/>
  <c r="O1366" i="3"/>
  <c r="R1365" i="3"/>
  <c r="O1365" i="3"/>
  <c r="R1364" i="3"/>
  <c r="O1364" i="3"/>
  <c r="R1363" i="3"/>
  <c r="O1363" i="3"/>
  <c r="R1362" i="3"/>
  <c r="O1362" i="3"/>
  <c r="R1361" i="3"/>
  <c r="O1361" i="3"/>
  <c r="R1360" i="3"/>
  <c r="O1360" i="3"/>
  <c r="R1359" i="3"/>
  <c r="O1359" i="3"/>
  <c r="R1358" i="3"/>
  <c r="O1358" i="3"/>
  <c r="R1357" i="3"/>
  <c r="O1357" i="3"/>
  <c r="R1356" i="3"/>
  <c r="O1356" i="3"/>
  <c r="R1355" i="3"/>
  <c r="O1355" i="3"/>
  <c r="R1354" i="3"/>
  <c r="O1354" i="3"/>
  <c r="R1353" i="3"/>
  <c r="O1353" i="3"/>
  <c r="R1352" i="3"/>
  <c r="O1352" i="3"/>
  <c r="R1351" i="3"/>
  <c r="O1351" i="3"/>
  <c r="R1350" i="3"/>
  <c r="O1350" i="3"/>
  <c r="R1349" i="3"/>
  <c r="O1349" i="3"/>
  <c r="R1348" i="3"/>
  <c r="O1348" i="3"/>
  <c r="R1347" i="3"/>
  <c r="O1347" i="3"/>
  <c r="R1346" i="3"/>
  <c r="O1346" i="3"/>
  <c r="R1345" i="3"/>
  <c r="O1345" i="3"/>
  <c r="R1344" i="3"/>
  <c r="O1344" i="3"/>
  <c r="R1343" i="3"/>
  <c r="O1343" i="3"/>
  <c r="R1342" i="3"/>
  <c r="O1342" i="3"/>
  <c r="R1341" i="3"/>
  <c r="O1341" i="3"/>
  <c r="R1340" i="3"/>
  <c r="O1340" i="3"/>
  <c r="R1339" i="3"/>
  <c r="O1339" i="3"/>
  <c r="R1338" i="3"/>
  <c r="O1338" i="3"/>
  <c r="R1337" i="3"/>
  <c r="O1337" i="3"/>
  <c r="R1336" i="3"/>
  <c r="O1336" i="3"/>
  <c r="R1335" i="3"/>
  <c r="O1335" i="3"/>
  <c r="R1334" i="3"/>
  <c r="O1334" i="3"/>
  <c r="R1333" i="3"/>
  <c r="O1333" i="3"/>
  <c r="R1332" i="3"/>
  <c r="O1332" i="3"/>
  <c r="R1331" i="3"/>
  <c r="O1331" i="3"/>
  <c r="R1330" i="3"/>
  <c r="O1330" i="3"/>
  <c r="R1329" i="3"/>
  <c r="O1329" i="3"/>
  <c r="R1328" i="3"/>
  <c r="O1328" i="3"/>
  <c r="R1326" i="3"/>
  <c r="O1326" i="3"/>
  <c r="R1325" i="3"/>
  <c r="O1325" i="3"/>
  <c r="R1324" i="3"/>
  <c r="O1324" i="3"/>
  <c r="R1323" i="3"/>
  <c r="O1323" i="3"/>
  <c r="R1322" i="3"/>
  <c r="O1322" i="3"/>
  <c r="R1321" i="3"/>
  <c r="O1321" i="3"/>
  <c r="R1320" i="3"/>
  <c r="O1320" i="3"/>
  <c r="R1319" i="3"/>
  <c r="O1319" i="3"/>
  <c r="R1318" i="3"/>
  <c r="O1318" i="3"/>
  <c r="R1317" i="3"/>
  <c r="O1317" i="3"/>
  <c r="R1316" i="3"/>
  <c r="O1316" i="3"/>
  <c r="R1315" i="3"/>
  <c r="O1315" i="3"/>
  <c r="R1314" i="3"/>
  <c r="O1314" i="3"/>
  <c r="R1313" i="3"/>
  <c r="O1313" i="3"/>
  <c r="R1312" i="3"/>
  <c r="O1312" i="3"/>
  <c r="R1311" i="3"/>
  <c r="O1311" i="3"/>
  <c r="R1310" i="3"/>
  <c r="O1310" i="3"/>
  <c r="R1309" i="3"/>
  <c r="O1309" i="3"/>
  <c r="R1308" i="3"/>
  <c r="O1308" i="3"/>
  <c r="R1307" i="3"/>
  <c r="O1307" i="3"/>
  <c r="R1306" i="3"/>
  <c r="O1306" i="3"/>
  <c r="R1305" i="3"/>
  <c r="O1305" i="3"/>
  <c r="R1304" i="3"/>
  <c r="O1304" i="3"/>
  <c r="R1303" i="3"/>
  <c r="O1303" i="3"/>
  <c r="R1302" i="3"/>
  <c r="O1302" i="3"/>
  <c r="R1301" i="3"/>
  <c r="O1301" i="3"/>
  <c r="R1300" i="3"/>
  <c r="O1300" i="3"/>
  <c r="R1299" i="3"/>
  <c r="O1299" i="3"/>
  <c r="R1298" i="3"/>
  <c r="O1298" i="3"/>
  <c r="R1297" i="3"/>
  <c r="O1297" i="3"/>
  <c r="R1296" i="3"/>
  <c r="O1296" i="3"/>
  <c r="R1295" i="3"/>
  <c r="O1295" i="3"/>
  <c r="R1294" i="3"/>
  <c r="O1294" i="3"/>
  <c r="R1293" i="3"/>
  <c r="O1293" i="3"/>
  <c r="R1292" i="3"/>
  <c r="O1292" i="3"/>
  <c r="R1291" i="3"/>
  <c r="O1291" i="3"/>
  <c r="R1290" i="3"/>
  <c r="O1290" i="3"/>
  <c r="R1289" i="3"/>
  <c r="O1289" i="3"/>
  <c r="R1288" i="3"/>
  <c r="O1288" i="3"/>
  <c r="R1287" i="3"/>
  <c r="O1287" i="3"/>
  <c r="R1286" i="3"/>
  <c r="O1286" i="3"/>
  <c r="R1285" i="3"/>
  <c r="O1285" i="3"/>
  <c r="R1284" i="3"/>
  <c r="O1284" i="3"/>
  <c r="R1283" i="3"/>
  <c r="O1283" i="3"/>
  <c r="R1282" i="3"/>
  <c r="O1282" i="3"/>
  <c r="R1281" i="3"/>
  <c r="O1281" i="3"/>
  <c r="R1279" i="3"/>
  <c r="O1279" i="3"/>
  <c r="R1278" i="3"/>
  <c r="O1278" i="3"/>
  <c r="R1277" i="3"/>
  <c r="O1277" i="3"/>
  <c r="R1276" i="3"/>
  <c r="O1276" i="3"/>
  <c r="R1275" i="3"/>
  <c r="O1275" i="3"/>
  <c r="R1274" i="3"/>
  <c r="O1274" i="3"/>
  <c r="R1273" i="3"/>
  <c r="O1273" i="3"/>
  <c r="R1272" i="3"/>
  <c r="O1272" i="3"/>
  <c r="R1271" i="3"/>
  <c r="O1271" i="3"/>
  <c r="R1270" i="3"/>
  <c r="O1270" i="3"/>
  <c r="R1269" i="3"/>
  <c r="O1269" i="3"/>
  <c r="R1268" i="3"/>
  <c r="O1268" i="3"/>
  <c r="R1267" i="3"/>
  <c r="O1267" i="3"/>
  <c r="R1266" i="3"/>
  <c r="O1266" i="3"/>
  <c r="R1265" i="3"/>
  <c r="O1265" i="3"/>
  <c r="R1263" i="3"/>
  <c r="O1263" i="3"/>
  <c r="R1262" i="3"/>
  <c r="O1262" i="3"/>
  <c r="R1261" i="3"/>
  <c r="O1261" i="3"/>
  <c r="R1260" i="3"/>
  <c r="O1260" i="3"/>
  <c r="R1259" i="3"/>
  <c r="O1259" i="3"/>
  <c r="R1258" i="3"/>
  <c r="O1258" i="3"/>
  <c r="R1257" i="3"/>
  <c r="O1257" i="3"/>
  <c r="R1256" i="3"/>
  <c r="O1256" i="3"/>
  <c r="R1255" i="3"/>
  <c r="O1255" i="3"/>
  <c r="R1254" i="3"/>
  <c r="O1254" i="3"/>
  <c r="R1253" i="3"/>
  <c r="O1253" i="3"/>
  <c r="R1252" i="3"/>
  <c r="O1252" i="3"/>
  <c r="R1251" i="3"/>
  <c r="O1251" i="3"/>
  <c r="R1250" i="3"/>
  <c r="O1250" i="3"/>
  <c r="R1249" i="3"/>
  <c r="O1249" i="3"/>
  <c r="R1248" i="3"/>
  <c r="O1248" i="3"/>
  <c r="R1247" i="3"/>
  <c r="O1247" i="3"/>
  <c r="R1246" i="3"/>
  <c r="O1246" i="3"/>
  <c r="R1245" i="3"/>
  <c r="O1245" i="3"/>
  <c r="R1244" i="3"/>
  <c r="O1244" i="3"/>
  <c r="R1243" i="3"/>
  <c r="O1243" i="3"/>
  <c r="R1242" i="3"/>
  <c r="O1242" i="3"/>
  <c r="R1241" i="3"/>
  <c r="O1241" i="3"/>
  <c r="R1240" i="3"/>
  <c r="O1240" i="3"/>
  <c r="R1239" i="3"/>
  <c r="O1239" i="3"/>
  <c r="R1238" i="3"/>
  <c r="O1238" i="3"/>
  <c r="R1237" i="3"/>
  <c r="O1237" i="3"/>
  <c r="R1236" i="3"/>
  <c r="O1236" i="3"/>
  <c r="R1235" i="3"/>
  <c r="O1235" i="3"/>
  <c r="R1234" i="3"/>
  <c r="O1234" i="3"/>
  <c r="R1233" i="3"/>
  <c r="O1233" i="3"/>
  <c r="R1232" i="3"/>
  <c r="O1232" i="3"/>
  <c r="R1231" i="3"/>
  <c r="O1231" i="3"/>
  <c r="R1230" i="3"/>
  <c r="O1230" i="3"/>
  <c r="R1229" i="3"/>
  <c r="O1229" i="3"/>
  <c r="R1228" i="3"/>
  <c r="O1228" i="3"/>
  <c r="R1227" i="3"/>
  <c r="O1227" i="3"/>
  <c r="R1226" i="3"/>
  <c r="O1226" i="3"/>
  <c r="R1225" i="3"/>
  <c r="O1225" i="3"/>
  <c r="R1224" i="3"/>
  <c r="O1224" i="3"/>
  <c r="R1223" i="3"/>
  <c r="O1223" i="3"/>
  <c r="R1222" i="3"/>
  <c r="O1222" i="3"/>
  <c r="R1221" i="3"/>
  <c r="O1221" i="3"/>
  <c r="R1220" i="3"/>
  <c r="O1220" i="3"/>
  <c r="R1219" i="3"/>
  <c r="O1219" i="3"/>
  <c r="R1218" i="3"/>
  <c r="O1218" i="3"/>
  <c r="R1217" i="3"/>
  <c r="O1217" i="3"/>
  <c r="R1216" i="3"/>
  <c r="O1216" i="3"/>
  <c r="R1215" i="3"/>
  <c r="O1215" i="3"/>
  <c r="R1214" i="3"/>
  <c r="O1214" i="3"/>
  <c r="R1213" i="3"/>
  <c r="O1213" i="3"/>
  <c r="R1212" i="3"/>
  <c r="O1212" i="3"/>
  <c r="R1211" i="3"/>
  <c r="O1211" i="3"/>
  <c r="R1210" i="3"/>
  <c r="O1210" i="3"/>
  <c r="R1209" i="3"/>
  <c r="O1209" i="3"/>
  <c r="R1208" i="3"/>
  <c r="O1208" i="3"/>
  <c r="R1207" i="3"/>
  <c r="O1207" i="3"/>
  <c r="R1206" i="3"/>
  <c r="O1206" i="3"/>
  <c r="R1205" i="3"/>
  <c r="O1205" i="3"/>
  <c r="R1204" i="3"/>
  <c r="O1204" i="3"/>
  <c r="R1203" i="3"/>
  <c r="O1203" i="3"/>
  <c r="R1202" i="3"/>
  <c r="O1202" i="3"/>
  <c r="R1201" i="3"/>
  <c r="O1201" i="3"/>
  <c r="R1200" i="3"/>
  <c r="O1200" i="3"/>
  <c r="R1199" i="3"/>
  <c r="O1199" i="3"/>
  <c r="R1198" i="3"/>
  <c r="O1198" i="3"/>
  <c r="R1197" i="3"/>
  <c r="O1197" i="3"/>
  <c r="R1196" i="3"/>
  <c r="O1196" i="3"/>
  <c r="R1195" i="3"/>
  <c r="O1195" i="3"/>
  <c r="R1194" i="3"/>
  <c r="O1194" i="3"/>
  <c r="R1193" i="3"/>
  <c r="O1193" i="3"/>
  <c r="R1192" i="3"/>
  <c r="O1192" i="3"/>
  <c r="R1191" i="3"/>
  <c r="O1191" i="3"/>
  <c r="R1190" i="3"/>
  <c r="O1190" i="3"/>
  <c r="R1189" i="3"/>
  <c r="O1189" i="3"/>
  <c r="R1188" i="3"/>
  <c r="O1188" i="3"/>
  <c r="R1187" i="3"/>
  <c r="O1187" i="3"/>
  <c r="R1186" i="3"/>
  <c r="O1186" i="3"/>
  <c r="R1185" i="3"/>
  <c r="O1185" i="3"/>
  <c r="R1184" i="3"/>
  <c r="O1184" i="3"/>
  <c r="R1183" i="3"/>
  <c r="O1183" i="3"/>
  <c r="R1182" i="3"/>
  <c r="O1182" i="3"/>
  <c r="R1181" i="3"/>
  <c r="O1181" i="3"/>
  <c r="R1180" i="3"/>
  <c r="O1180" i="3"/>
  <c r="R1179" i="3"/>
  <c r="O1179" i="3"/>
  <c r="R1178" i="3"/>
  <c r="O1178" i="3"/>
  <c r="R1177" i="3"/>
  <c r="O1177" i="3"/>
  <c r="R1176" i="3"/>
  <c r="O1176" i="3"/>
  <c r="R1175" i="3"/>
  <c r="O1175" i="3"/>
  <c r="R1174" i="3"/>
  <c r="O1174" i="3"/>
  <c r="R1173" i="3"/>
  <c r="O1173" i="3"/>
  <c r="R1172" i="3"/>
  <c r="O1172" i="3"/>
  <c r="R1171" i="3"/>
  <c r="O1171" i="3"/>
  <c r="R1170" i="3"/>
  <c r="O1170" i="3"/>
  <c r="R1169" i="3"/>
  <c r="O1169" i="3"/>
  <c r="R1168" i="3"/>
  <c r="O1168" i="3"/>
  <c r="R1167" i="3"/>
  <c r="O1167" i="3"/>
  <c r="R1166" i="3"/>
  <c r="O1166" i="3"/>
  <c r="R1165" i="3"/>
  <c r="O1165" i="3"/>
  <c r="R1164" i="3"/>
  <c r="O1164" i="3"/>
  <c r="R1163" i="3"/>
  <c r="O1163" i="3"/>
  <c r="R1162" i="3"/>
  <c r="O1162" i="3"/>
  <c r="R1161" i="3"/>
  <c r="O1161" i="3"/>
  <c r="R1160" i="3"/>
  <c r="O1160" i="3"/>
  <c r="R1159" i="3"/>
  <c r="O1159" i="3"/>
  <c r="R1158" i="3"/>
  <c r="O1158" i="3"/>
  <c r="R1157" i="3"/>
  <c r="O1157" i="3"/>
  <c r="R1156" i="3"/>
  <c r="O1156" i="3"/>
  <c r="R1155" i="3"/>
  <c r="O1155" i="3"/>
  <c r="R1154" i="3"/>
  <c r="O1154" i="3"/>
  <c r="R1153" i="3"/>
  <c r="O1153" i="3"/>
  <c r="R1152" i="3"/>
  <c r="O1152" i="3"/>
  <c r="R1151" i="3"/>
  <c r="O1151" i="3"/>
  <c r="R1150" i="3"/>
  <c r="O1150" i="3"/>
  <c r="R1149" i="3"/>
  <c r="O1149" i="3"/>
  <c r="R1148" i="3"/>
  <c r="O1148" i="3"/>
  <c r="R1147" i="3"/>
  <c r="O1147" i="3"/>
  <c r="R1146" i="3"/>
  <c r="O1146" i="3"/>
  <c r="R1145" i="3"/>
  <c r="O1145" i="3"/>
  <c r="R1144" i="3"/>
  <c r="O1144" i="3"/>
  <c r="R1143" i="3"/>
  <c r="O1143" i="3"/>
  <c r="R1142" i="3"/>
  <c r="O1142" i="3"/>
  <c r="R1141" i="3"/>
  <c r="O1141" i="3"/>
  <c r="R1140" i="3"/>
  <c r="O1140" i="3"/>
  <c r="R1139" i="3"/>
  <c r="O1139" i="3"/>
  <c r="R1138" i="3"/>
  <c r="O1138" i="3"/>
  <c r="R1137" i="3"/>
  <c r="O1137" i="3"/>
  <c r="R1136" i="3"/>
  <c r="O1136" i="3"/>
  <c r="R1135" i="3"/>
  <c r="O1135" i="3"/>
  <c r="R1134" i="3"/>
  <c r="O1134" i="3"/>
  <c r="R1133" i="3"/>
  <c r="O1133" i="3"/>
  <c r="R1132" i="3"/>
  <c r="O1132" i="3"/>
  <c r="R1131" i="3"/>
  <c r="O1131" i="3"/>
  <c r="R1130" i="3"/>
  <c r="O1130" i="3"/>
  <c r="R1129" i="3"/>
  <c r="O1129" i="3"/>
  <c r="R1128" i="3"/>
  <c r="O1128" i="3"/>
  <c r="R1127" i="3"/>
  <c r="O1127" i="3"/>
  <c r="R1126" i="3"/>
  <c r="O1126" i="3"/>
  <c r="R1125" i="3"/>
  <c r="O1125" i="3"/>
  <c r="R1124" i="3"/>
  <c r="O1124" i="3"/>
  <c r="R1123" i="3"/>
  <c r="O1123" i="3"/>
  <c r="R1122" i="3"/>
  <c r="O1122" i="3"/>
  <c r="R1121" i="3"/>
  <c r="O1121" i="3"/>
  <c r="R1120" i="3"/>
  <c r="O1120" i="3"/>
  <c r="R1119" i="3"/>
  <c r="O1119" i="3"/>
  <c r="R1118" i="3"/>
  <c r="O1118" i="3"/>
  <c r="R1117" i="3"/>
  <c r="O1117" i="3"/>
  <c r="R1116" i="3"/>
  <c r="O1116" i="3"/>
  <c r="R1115" i="3"/>
  <c r="O1115" i="3"/>
  <c r="R1114" i="3"/>
  <c r="O1114" i="3"/>
  <c r="R1113" i="3"/>
  <c r="O1113" i="3"/>
  <c r="R1112" i="3"/>
  <c r="O1112" i="3"/>
  <c r="R1111" i="3"/>
  <c r="O1111" i="3"/>
  <c r="R1110" i="3"/>
  <c r="O1110" i="3"/>
  <c r="R1109" i="3"/>
  <c r="O1109" i="3"/>
  <c r="R1108" i="3"/>
  <c r="O1108" i="3"/>
  <c r="R1107" i="3"/>
  <c r="O1107" i="3"/>
  <c r="R1106" i="3"/>
  <c r="O1106" i="3"/>
  <c r="R1105" i="3"/>
  <c r="O1105" i="3"/>
  <c r="R1104" i="3"/>
  <c r="O1104" i="3"/>
  <c r="R1103" i="3"/>
  <c r="O1103" i="3"/>
  <c r="R1102" i="3"/>
  <c r="O1102" i="3"/>
  <c r="R1101" i="3"/>
  <c r="O1101" i="3"/>
  <c r="R1100" i="3"/>
  <c r="O1100" i="3"/>
  <c r="R1099" i="3"/>
  <c r="O1099" i="3"/>
  <c r="R1098" i="3"/>
  <c r="O1098" i="3"/>
  <c r="R1097" i="3"/>
  <c r="O1097" i="3"/>
  <c r="R1096" i="3"/>
  <c r="O1096" i="3"/>
  <c r="R1095" i="3"/>
  <c r="O1095" i="3"/>
  <c r="R1094" i="3"/>
  <c r="O1094" i="3"/>
  <c r="R1093" i="3"/>
  <c r="O1093" i="3"/>
  <c r="R1092" i="3"/>
  <c r="O1092" i="3"/>
  <c r="R1091" i="3"/>
  <c r="O1091" i="3"/>
  <c r="R1090" i="3"/>
  <c r="O1090" i="3"/>
  <c r="R1089" i="3"/>
  <c r="O1089" i="3"/>
  <c r="R1088" i="3"/>
  <c r="O1088" i="3"/>
  <c r="R1087" i="3"/>
  <c r="O1087" i="3"/>
  <c r="R1086" i="3"/>
  <c r="O1086" i="3"/>
  <c r="R1085" i="3"/>
  <c r="O1085" i="3"/>
  <c r="R1084" i="3"/>
  <c r="O1084" i="3"/>
  <c r="R1083" i="3"/>
  <c r="O1083" i="3"/>
  <c r="R1082" i="3"/>
  <c r="O1082" i="3"/>
  <c r="R1081" i="3"/>
  <c r="O1081" i="3"/>
  <c r="R1080" i="3"/>
  <c r="O1080" i="3"/>
  <c r="R1079" i="3"/>
  <c r="O1079" i="3"/>
  <c r="R1078" i="3"/>
  <c r="O1078" i="3"/>
  <c r="R1077" i="3"/>
  <c r="O1077" i="3"/>
  <c r="R1076" i="3"/>
  <c r="O1076" i="3"/>
  <c r="R1075" i="3"/>
  <c r="O1075" i="3"/>
  <c r="R1074" i="3"/>
  <c r="O1074" i="3"/>
  <c r="R1073" i="3"/>
  <c r="O1073" i="3"/>
  <c r="R1072" i="3"/>
  <c r="O1072" i="3"/>
  <c r="R1071" i="3"/>
  <c r="O1071" i="3"/>
  <c r="R1070" i="3"/>
  <c r="O1070" i="3"/>
  <c r="R1069" i="3"/>
  <c r="O1069" i="3"/>
  <c r="R1068" i="3"/>
  <c r="O1068" i="3"/>
  <c r="R1067" i="3"/>
  <c r="O1067" i="3"/>
  <c r="R1066" i="3"/>
  <c r="O1066" i="3"/>
  <c r="R1065" i="3"/>
  <c r="O1065" i="3"/>
  <c r="R1064" i="3"/>
  <c r="O1064" i="3"/>
  <c r="R1063" i="3"/>
  <c r="O1063" i="3"/>
  <c r="R1062" i="3"/>
  <c r="O1062" i="3"/>
  <c r="R1061" i="3"/>
  <c r="O1061" i="3"/>
  <c r="R1060" i="3"/>
  <c r="O1060" i="3"/>
  <c r="R1059" i="3"/>
  <c r="O1059" i="3"/>
  <c r="R1058" i="3"/>
  <c r="O1058" i="3"/>
  <c r="R1057" i="3"/>
  <c r="O1057" i="3"/>
  <c r="R1056" i="3"/>
  <c r="O1056" i="3"/>
  <c r="R1055" i="3"/>
  <c r="O1055" i="3"/>
  <c r="R1054" i="3"/>
  <c r="O1054" i="3"/>
  <c r="R1053" i="3"/>
  <c r="O1053" i="3"/>
  <c r="R1052" i="3"/>
  <c r="O1052" i="3"/>
  <c r="R1051" i="3"/>
  <c r="O1051" i="3"/>
  <c r="R1050" i="3"/>
  <c r="O1050" i="3"/>
  <c r="R1049" i="3"/>
  <c r="O1049" i="3"/>
  <c r="R1048" i="3"/>
  <c r="O1048" i="3"/>
  <c r="R1047" i="3"/>
  <c r="O1047" i="3"/>
  <c r="R1046" i="3"/>
  <c r="O1046" i="3"/>
  <c r="R1045" i="3"/>
  <c r="O1045" i="3"/>
  <c r="R1044" i="3"/>
  <c r="O1044" i="3"/>
  <c r="R1043" i="3"/>
  <c r="O1043" i="3"/>
  <c r="R1042" i="3"/>
  <c r="O1042" i="3"/>
  <c r="R1041" i="3"/>
  <c r="O1041" i="3"/>
  <c r="R1040" i="3"/>
  <c r="O1040" i="3"/>
  <c r="R1039" i="3"/>
  <c r="O1039" i="3"/>
  <c r="R1038" i="3"/>
  <c r="O1038" i="3"/>
  <c r="R1037" i="3"/>
  <c r="O1037" i="3"/>
  <c r="R1036" i="3"/>
  <c r="O1036" i="3"/>
  <c r="R1035" i="3"/>
  <c r="O1035" i="3"/>
  <c r="R1034" i="3"/>
  <c r="O1034" i="3"/>
  <c r="R1033" i="3"/>
  <c r="O1033" i="3"/>
  <c r="R1032" i="3"/>
  <c r="O1032" i="3"/>
  <c r="R1031" i="3"/>
  <c r="O1031" i="3"/>
  <c r="R1030" i="3"/>
  <c r="O1030" i="3"/>
  <c r="R1029" i="3"/>
  <c r="O1029" i="3"/>
  <c r="R1028" i="3"/>
  <c r="O1028" i="3"/>
  <c r="R1027" i="3"/>
  <c r="O1027" i="3"/>
  <c r="R1026" i="3"/>
  <c r="O1026" i="3"/>
  <c r="R1025" i="3"/>
  <c r="O1025" i="3"/>
  <c r="R1024" i="3"/>
  <c r="O1024" i="3"/>
  <c r="R1023" i="3"/>
  <c r="O1023" i="3"/>
  <c r="R1022" i="3"/>
  <c r="O1022" i="3"/>
  <c r="R1021" i="3"/>
  <c r="O1021" i="3"/>
  <c r="R1020" i="3"/>
  <c r="O1020" i="3"/>
  <c r="R1019" i="3"/>
  <c r="O1019" i="3"/>
  <c r="R1018" i="3"/>
  <c r="O1018" i="3"/>
  <c r="R1017" i="3"/>
  <c r="O1017" i="3"/>
  <c r="R1016" i="3"/>
  <c r="O1016" i="3"/>
  <c r="R1015" i="3"/>
  <c r="O1015" i="3"/>
  <c r="R1014" i="3"/>
  <c r="O1014" i="3"/>
  <c r="R1013" i="3"/>
  <c r="O1013" i="3"/>
  <c r="R1012" i="3"/>
  <c r="O1012" i="3"/>
  <c r="R1011" i="3"/>
  <c r="O1011" i="3"/>
  <c r="R1010" i="3"/>
  <c r="O1010" i="3"/>
  <c r="R1009" i="3"/>
  <c r="O1009" i="3"/>
  <c r="R1008" i="3"/>
  <c r="O1008" i="3"/>
  <c r="R1007" i="3"/>
  <c r="O1007" i="3"/>
  <c r="R1006" i="3"/>
  <c r="O1006" i="3"/>
  <c r="R1005" i="3"/>
  <c r="O1005" i="3"/>
  <c r="R1004" i="3"/>
  <c r="O1004" i="3"/>
  <c r="R1003" i="3"/>
  <c r="O1003" i="3"/>
  <c r="R1002" i="3"/>
  <c r="O1002" i="3"/>
  <c r="R1001" i="3"/>
  <c r="O1001" i="3"/>
  <c r="R1000" i="3"/>
  <c r="O1000" i="3"/>
  <c r="R999" i="3"/>
  <c r="O999" i="3"/>
  <c r="R998" i="3"/>
  <c r="O998" i="3"/>
  <c r="R997" i="3"/>
  <c r="O997" i="3"/>
  <c r="R996" i="3"/>
  <c r="O996" i="3"/>
  <c r="R995" i="3"/>
  <c r="O995" i="3"/>
  <c r="R994" i="3"/>
  <c r="O994" i="3"/>
  <c r="R993" i="3"/>
  <c r="O993" i="3"/>
  <c r="R992" i="3"/>
  <c r="O992" i="3"/>
  <c r="R991" i="3"/>
  <c r="O991" i="3"/>
  <c r="R990" i="3"/>
  <c r="O990" i="3"/>
  <c r="R989" i="3"/>
  <c r="O989" i="3"/>
  <c r="R988" i="3"/>
  <c r="O988" i="3"/>
  <c r="R987" i="3"/>
  <c r="O987" i="3"/>
  <c r="R986" i="3"/>
  <c r="O986" i="3"/>
  <c r="R985" i="3"/>
  <c r="O985" i="3"/>
  <c r="R984" i="3"/>
  <c r="O984" i="3"/>
  <c r="R983" i="3"/>
  <c r="O983" i="3"/>
  <c r="R982" i="3"/>
  <c r="O982" i="3"/>
  <c r="R981" i="3"/>
  <c r="O981" i="3"/>
  <c r="R980" i="3"/>
  <c r="O980" i="3"/>
  <c r="R979" i="3"/>
  <c r="O979" i="3"/>
  <c r="R978" i="3"/>
  <c r="O978" i="3"/>
  <c r="R977" i="3"/>
  <c r="O977" i="3"/>
  <c r="R976" i="3"/>
  <c r="O976" i="3"/>
  <c r="R974" i="3"/>
  <c r="O974" i="3"/>
  <c r="R973" i="3"/>
  <c r="O973" i="3"/>
  <c r="R972" i="3"/>
  <c r="O972" i="3"/>
  <c r="R971" i="3"/>
  <c r="O971" i="3"/>
  <c r="R970" i="3"/>
  <c r="O970" i="3"/>
  <c r="R969" i="3"/>
  <c r="O969" i="3"/>
  <c r="R968" i="3"/>
  <c r="O968" i="3"/>
  <c r="R967" i="3"/>
  <c r="O967" i="3"/>
  <c r="R966" i="3"/>
  <c r="O966" i="3"/>
  <c r="R965" i="3"/>
  <c r="O965" i="3"/>
  <c r="R964" i="3"/>
  <c r="O964" i="3"/>
  <c r="R963" i="3"/>
  <c r="O963" i="3"/>
  <c r="R962" i="3"/>
  <c r="O962" i="3"/>
  <c r="R961" i="3"/>
  <c r="O961" i="3"/>
  <c r="R960" i="3"/>
  <c r="O960" i="3"/>
  <c r="R959" i="3"/>
  <c r="O959" i="3"/>
  <c r="R958" i="3"/>
  <c r="O958" i="3"/>
  <c r="R957" i="3"/>
  <c r="O957" i="3"/>
  <c r="R956" i="3"/>
  <c r="O956" i="3"/>
  <c r="R955" i="3"/>
  <c r="O955" i="3"/>
  <c r="R954" i="3"/>
  <c r="O954" i="3"/>
  <c r="R953" i="3"/>
  <c r="O953" i="3"/>
  <c r="R952" i="3"/>
  <c r="O952" i="3"/>
  <c r="R951" i="3"/>
  <c r="O951" i="3"/>
  <c r="R950" i="3"/>
  <c r="O950" i="3"/>
  <c r="R949" i="3"/>
  <c r="O949" i="3"/>
  <c r="R948" i="3"/>
  <c r="O948" i="3"/>
  <c r="R947" i="3"/>
  <c r="O947" i="3"/>
  <c r="R946" i="3"/>
  <c r="O946" i="3"/>
  <c r="R945" i="3"/>
  <c r="O945" i="3"/>
  <c r="R944" i="3"/>
  <c r="O944" i="3"/>
  <c r="R943" i="3"/>
  <c r="O943" i="3"/>
  <c r="R942" i="3"/>
  <c r="O942" i="3"/>
  <c r="R941" i="3"/>
  <c r="O941" i="3"/>
  <c r="R940" i="3"/>
  <c r="O940" i="3"/>
  <c r="R939" i="3"/>
  <c r="O939" i="3"/>
  <c r="R938" i="3"/>
  <c r="O938" i="3"/>
  <c r="R937" i="3"/>
  <c r="O937" i="3"/>
  <c r="R936" i="3"/>
  <c r="O936" i="3"/>
  <c r="R935" i="3"/>
  <c r="O935" i="3"/>
  <c r="R934" i="3"/>
  <c r="O934" i="3"/>
  <c r="R933" i="3"/>
  <c r="O933" i="3"/>
  <c r="R932" i="3"/>
  <c r="O932" i="3"/>
  <c r="R930" i="3"/>
  <c r="O930" i="3"/>
  <c r="R929" i="3"/>
  <c r="O929" i="3"/>
  <c r="R928" i="3"/>
  <c r="O928" i="3"/>
  <c r="R927" i="3"/>
  <c r="O927" i="3"/>
  <c r="R926" i="3"/>
  <c r="O926" i="3"/>
  <c r="R925" i="3"/>
  <c r="O925" i="3"/>
  <c r="R924" i="3"/>
  <c r="O924" i="3"/>
  <c r="R923" i="3"/>
  <c r="O923" i="3"/>
  <c r="R922" i="3"/>
  <c r="O922" i="3"/>
  <c r="R921" i="3"/>
  <c r="O921" i="3"/>
  <c r="R920" i="3"/>
  <c r="O920" i="3"/>
  <c r="R919" i="3"/>
  <c r="O919" i="3"/>
  <c r="R918" i="3"/>
  <c r="O918" i="3"/>
  <c r="R917" i="3"/>
  <c r="O917" i="3"/>
  <c r="R916" i="3"/>
  <c r="O916" i="3"/>
  <c r="R915" i="3"/>
  <c r="O915" i="3"/>
  <c r="R914" i="3"/>
  <c r="O914" i="3"/>
  <c r="R913" i="3"/>
  <c r="O913" i="3"/>
  <c r="R912" i="3"/>
  <c r="O912" i="3"/>
  <c r="R911" i="3"/>
  <c r="O911" i="3"/>
  <c r="R909" i="3"/>
  <c r="O909" i="3"/>
  <c r="R908" i="3"/>
  <c r="O908" i="3"/>
  <c r="R907" i="3"/>
  <c r="O907" i="3"/>
  <c r="R906" i="3"/>
  <c r="O906" i="3"/>
  <c r="R905" i="3"/>
  <c r="O905" i="3"/>
  <c r="R904" i="3"/>
  <c r="O904" i="3"/>
  <c r="R903" i="3"/>
  <c r="O903" i="3"/>
  <c r="R902" i="3"/>
  <c r="O902" i="3"/>
  <c r="R901" i="3"/>
  <c r="O901" i="3"/>
  <c r="R900" i="3"/>
  <c r="O900" i="3"/>
  <c r="R899" i="3"/>
  <c r="O899" i="3"/>
  <c r="R898" i="3"/>
  <c r="O898" i="3"/>
  <c r="R897" i="3"/>
  <c r="O897" i="3"/>
  <c r="R896" i="3"/>
  <c r="O896" i="3"/>
  <c r="R895" i="3"/>
  <c r="O895" i="3"/>
  <c r="R894" i="3"/>
  <c r="O894" i="3"/>
  <c r="R893" i="3"/>
  <c r="O893" i="3"/>
  <c r="R892" i="3"/>
  <c r="O892" i="3"/>
  <c r="R891" i="3"/>
  <c r="O891" i="3"/>
  <c r="R890" i="3"/>
  <c r="O890" i="3"/>
  <c r="R889" i="3"/>
  <c r="O889" i="3"/>
  <c r="R888" i="3"/>
  <c r="O888" i="3"/>
  <c r="R887" i="3"/>
  <c r="O887" i="3"/>
  <c r="R886" i="3"/>
  <c r="O886" i="3"/>
  <c r="R885" i="3"/>
  <c r="O885" i="3"/>
  <c r="R884" i="3"/>
  <c r="O884" i="3"/>
  <c r="R883" i="3"/>
  <c r="O883" i="3"/>
  <c r="R882" i="3"/>
  <c r="O882" i="3"/>
  <c r="R881" i="3"/>
  <c r="O881" i="3"/>
  <c r="R880" i="3"/>
  <c r="O880" i="3"/>
  <c r="R879" i="3"/>
  <c r="O879" i="3"/>
  <c r="R878" i="3"/>
  <c r="O878" i="3"/>
  <c r="R877" i="3"/>
  <c r="O877" i="3"/>
  <c r="R876" i="3"/>
  <c r="O876" i="3"/>
  <c r="R875" i="3"/>
  <c r="O875" i="3"/>
  <c r="R874" i="3"/>
  <c r="O874" i="3"/>
  <c r="R873" i="3"/>
  <c r="O873" i="3"/>
  <c r="R872" i="3"/>
  <c r="O872" i="3"/>
  <c r="R871" i="3"/>
  <c r="O871" i="3"/>
  <c r="R870" i="3"/>
  <c r="O870" i="3"/>
  <c r="R869" i="3"/>
  <c r="O869" i="3"/>
  <c r="R868" i="3"/>
  <c r="O868" i="3"/>
  <c r="R867" i="3"/>
  <c r="O867" i="3"/>
  <c r="R866" i="3"/>
  <c r="O866" i="3"/>
  <c r="R865" i="3"/>
  <c r="O865" i="3"/>
  <c r="R864" i="3"/>
  <c r="O864" i="3"/>
  <c r="R863" i="3"/>
  <c r="O863" i="3"/>
  <c r="R862" i="3"/>
  <c r="O862" i="3"/>
  <c r="R861" i="3"/>
  <c r="O861" i="3"/>
  <c r="R860" i="3"/>
  <c r="O860" i="3"/>
  <c r="R859" i="3"/>
  <c r="O859" i="3"/>
  <c r="R858" i="3"/>
  <c r="O858" i="3"/>
  <c r="R857" i="3"/>
  <c r="O857" i="3"/>
  <c r="R856" i="3"/>
  <c r="O856" i="3"/>
  <c r="R855" i="3"/>
  <c r="O855" i="3"/>
  <c r="R854" i="3"/>
  <c r="O854" i="3"/>
  <c r="R853" i="3"/>
  <c r="O853" i="3"/>
  <c r="R852" i="3"/>
  <c r="O852" i="3"/>
  <c r="R851" i="3"/>
  <c r="O851" i="3"/>
  <c r="R850" i="3"/>
  <c r="O850" i="3"/>
  <c r="R849" i="3"/>
  <c r="O849" i="3"/>
  <c r="R848" i="3"/>
  <c r="O848" i="3"/>
  <c r="R847" i="3"/>
  <c r="O847" i="3"/>
  <c r="R846" i="3"/>
  <c r="O846" i="3"/>
  <c r="R845" i="3"/>
  <c r="O845" i="3"/>
  <c r="R844" i="3"/>
  <c r="O844" i="3"/>
  <c r="R843" i="3"/>
  <c r="O843" i="3"/>
  <c r="R842" i="3"/>
  <c r="O842" i="3"/>
  <c r="R841" i="3"/>
  <c r="O841" i="3"/>
  <c r="R840" i="3"/>
  <c r="O840" i="3"/>
  <c r="R839" i="3"/>
  <c r="O839" i="3"/>
  <c r="R838" i="3"/>
  <c r="O838" i="3"/>
  <c r="R837" i="3"/>
  <c r="O837" i="3"/>
  <c r="R836" i="3"/>
  <c r="O836" i="3"/>
  <c r="R835" i="3"/>
  <c r="O835" i="3"/>
  <c r="R834" i="3"/>
  <c r="O834" i="3"/>
  <c r="R833" i="3"/>
  <c r="O833" i="3"/>
  <c r="R832" i="3"/>
  <c r="O832" i="3"/>
  <c r="R831" i="3"/>
  <c r="O831" i="3"/>
  <c r="R830" i="3"/>
  <c r="O830" i="3"/>
  <c r="R829" i="3"/>
  <c r="O829" i="3"/>
  <c r="R828" i="3"/>
  <c r="O828" i="3"/>
  <c r="R827" i="3"/>
  <c r="O827" i="3"/>
  <c r="R826" i="3"/>
  <c r="O826" i="3"/>
  <c r="R825" i="3"/>
  <c r="O825" i="3"/>
  <c r="R824" i="3"/>
  <c r="O824" i="3"/>
  <c r="R823" i="3"/>
  <c r="O823" i="3"/>
  <c r="R822" i="3"/>
  <c r="O822" i="3"/>
  <c r="R821" i="3"/>
  <c r="O821" i="3"/>
  <c r="R820" i="3"/>
  <c r="O820" i="3"/>
  <c r="R819" i="3"/>
  <c r="O819" i="3"/>
  <c r="R818" i="3"/>
  <c r="O818" i="3"/>
  <c r="R817" i="3"/>
  <c r="O817" i="3"/>
  <c r="R816" i="3"/>
  <c r="O816" i="3"/>
  <c r="R815" i="3"/>
  <c r="O815" i="3"/>
  <c r="R814" i="3"/>
  <c r="O814" i="3"/>
  <c r="R813" i="3"/>
  <c r="O813" i="3"/>
  <c r="R812" i="3"/>
  <c r="O812" i="3"/>
  <c r="R811" i="3"/>
  <c r="O811" i="3"/>
  <c r="R810" i="3"/>
  <c r="O810" i="3"/>
  <c r="R809" i="3"/>
  <c r="O809" i="3"/>
  <c r="R808" i="3"/>
  <c r="O808" i="3"/>
  <c r="R807" i="3"/>
  <c r="O807" i="3"/>
  <c r="R806" i="3"/>
  <c r="O806" i="3"/>
  <c r="R805" i="3"/>
  <c r="O805" i="3"/>
  <c r="R804" i="3"/>
  <c r="O804" i="3"/>
  <c r="R803" i="3"/>
  <c r="O803" i="3"/>
  <c r="R801" i="3"/>
  <c r="O801" i="3"/>
  <c r="R800" i="3"/>
  <c r="O800" i="3"/>
  <c r="R799" i="3"/>
  <c r="O799" i="3"/>
  <c r="R798" i="3"/>
  <c r="O798" i="3"/>
  <c r="R797" i="3"/>
  <c r="O797" i="3"/>
  <c r="R796" i="3"/>
  <c r="O796" i="3"/>
  <c r="R795" i="3"/>
  <c r="O795" i="3"/>
  <c r="R794" i="3"/>
  <c r="O794" i="3"/>
  <c r="R793" i="3"/>
  <c r="O793" i="3"/>
  <c r="R792" i="3"/>
  <c r="O792" i="3"/>
  <c r="R791" i="3"/>
  <c r="O791" i="3"/>
  <c r="R790" i="3"/>
  <c r="O790" i="3"/>
  <c r="R789" i="3"/>
  <c r="O789" i="3"/>
  <c r="R788" i="3"/>
  <c r="O788" i="3"/>
  <c r="R787" i="3"/>
  <c r="O787" i="3"/>
  <c r="R786" i="3"/>
  <c r="O786" i="3"/>
  <c r="R785" i="3"/>
  <c r="O785" i="3"/>
  <c r="R784" i="3"/>
  <c r="O784" i="3"/>
  <c r="R783" i="3"/>
  <c r="O783" i="3"/>
  <c r="R782" i="3"/>
  <c r="O782" i="3"/>
  <c r="R781" i="3"/>
  <c r="O781" i="3"/>
  <c r="R780" i="3"/>
  <c r="O780" i="3"/>
  <c r="R779" i="3"/>
  <c r="O779" i="3"/>
  <c r="R778" i="3"/>
  <c r="O778" i="3"/>
  <c r="R777" i="3"/>
  <c r="O777" i="3"/>
  <c r="R776" i="3"/>
  <c r="O776" i="3"/>
  <c r="R775" i="3"/>
  <c r="O775" i="3"/>
  <c r="R774" i="3"/>
  <c r="O774" i="3"/>
  <c r="R773" i="3"/>
  <c r="O773" i="3"/>
  <c r="R772" i="3"/>
  <c r="O772" i="3"/>
  <c r="R771" i="3"/>
  <c r="O771" i="3"/>
  <c r="R770" i="3"/>
  <c r="O770" i="3"/>
  <c r="R769" i="3"/>
  <c r="O769" i="3"/>
  <c r="R768" i="3"/>
  <c r="O768" i="3"/>
  <c r="R767" i="3"/>
  <c r="O767" i="3"/>
  <c r="R766" i="3"/>
  <c r="O766" i="3"/>
  <c r="R765" i="3"/>
  <c r="O765" i="3"/>
  <c r="R764" i="3"/>
  <c r="O764" i="3"/>
  <c r="R763" i="3"/>
  <c r="O763" i="3"/>
  <c r="R762" i="3"/>
  <c r="O762" i="3"/>
  <c r="R761" i="3"/>
  <c r="O761" i="3"/>
  <c r="R760" i="3"/>
  <c r="O760" i="3"/>
  <c r="R759" i="3"/>
  <c r="O759" i="3"/>
  <c r="R758" i="3"/>
  <c r="O758" i="3"/>
  <c r="R757" i="3"/>
  <c r="O757" i="3"/>
  <c r="R756" i="3"/>
  <c r="O756" i="3"/>
  <c r="R755" i="3"/>
  <c r="O755" i="3"/>
  <c r="R754" i="3"/>
  <c r="O754" i="3"/>
  <c r="R753" i="3"/>
  <c r="O753" i="3"/>
  <c r="R752" i="3"/>
  <c r="O752" i="3"/>
  <c r="R751" i="3"/>
  <c r="O751" i="3"/>
  <c r="R750" i="3"/>
  <c r="O750" i="3"/>
  <c r="R749" i="3"/>
  <c r="O749" i="3"/>
  <c r="R748" i="3"/>
  <c r="O748" i="3"/>
  <c r="R747" i="3"/>
  <c r="O747" i="3"/>
  <c r="R746" i="3"/>
  <c r="O746" i="3"/>
  <c r="R745" i="3"/>
  <c r="O745" i="3"/>
  <c r="R744" i="3"/>
  <c r="O744" i="3"/>
  <c r="R743" i="3"/>
  <c r="O743" i="3"/>
  <c r="R742" i="3"/>
  <c r="O742" i="3"/>
  <c r="R741" i="3"/>
  <c r="O741" i="3"/>
  <c r="R740" i="3"/>
  <c r="O740" i="3"/>
  <c r="R739" i="3"/>
  <c r="O739" i="3"/>
  <c r="R738" i="3"/>
  <c r="O738" i="3"/>
  <c r="R737" i="3"/>
  <c r="O737" i="3"/>
  <c r="R736" i="3"/>
  <c r="O736" i="3"/>
  <c r="R735" i="3"/>
  <c r="O735" i="3"/>
  <c r="R734" i="3"/>
  <c r="O734" i="3"/>
  <c r="R733" i="3"/>
  <c r="O733" i="3"/>
  <c r="R732" i="3"/>
  <c r="O732" i="3"/>
  <c r="R731" i="3"/>
  <c r="O731" i="3"/>
  <c r="R730" i="3"/>
  <c r="O730" i="3"/>
  <c r="R729" i="3"/>
  <c r="O729" i="3"/>
  <c r="R728" i="3"/>
  <c r="O728" i="3"/>
  <c r="R727" i="3"/>
  <c r="O727" i="3"/>
  <c r="R726" i="3"/>
  <c r="O726" i="3"/>
  <c r="R725" i="3"/>
  <c r="O725" i="3"/>
  <c r="R724" i="3"/>
  <c r="O724" i="3"/>
  <c r="R723" i="3"/>
  <c r="O723" i="3"/>
  <c r="R721" i="3"/>
  <c r="O721" i="3"/>
  <c r="R720" i="3"/>
  <c r="O720" i="3"/>
  <c r="R719" i="3"/>
  <c r="O719" i="3"/>
  <c r="R718" i="3"/>
  <c r="O718" i="3"/>
  <c r="R717" i="3"/>
  <c r="O717" i="3"/>
  <c r="R716" i="3"/>
  <c r="O716" i="3"/>
  <c r="R715" i="3"/>
  <c r="O715" i="3"/>
  <c r="R714" i="3"/>
  <c r="O714" i="3"/>
  <c r="R713" i="3"/>
  <c r="O713" i="3"/>
  <c r="R712" i="3"/>
  <c r="O712" i="3"/>
  <c r="R711" i="3"/>
  <c r="O711" i="3"/>
  <c r="R710" i="3"/>
  <c r="O710" i="3"/>
  <c r="R709" i="3"/>
  <c r="O709" i="3"/>
  <c r="R708" i="3"/>
  <c r="O708" i="3"/>
  <c r="R707" i="3"/>
  <c r="O707" i="3"/>
  <c r="R706" i="3"/>
  <c r="O706" i="3"/>
  <c r="R705" i="3"/>
  <c r="O705" i="3"/>
  <c r="R704" i="3"/>
  <c r="O704" i="3"/>
  <c r="R703" i="3"/>
  <c r="O703" i="3"/>
  <c r="R702" i="3"/>
  <c r="O702" i="3"/>
  <c r="R701" i="3"/>
  <c r="O701" i="3"/>
  <c r="R700" i="3"/>
  <c r="O700" i="3"/>
  <c r="R699" i="3"/>
  <c r="O699" i="3"/>
  <c r="R698" i="3"/>
  <c r="O698" i="3"/>
  <c r="R697" i="3"/>
  <c r="O697" i="3"/>
  <c r="R696" i="3"/>
  <c r="O696" i="3"/>
  <c r="R695" i="3"/>
  <c r="O695" i="3"/>
  <c r="R694" i="3"/>
  <c r="O694" i="3"/>
  <c r="R693" i="3"/>
  <c r="O693" i="3"/>
  <c r="R692" i="3"/>
  <c r="O692" i="3"/>
  <c r="R691" i="3"/>
  <c r="O691" i="3"/>
  <c r="R690" i="3"/>
  <c r="O690" i="3"/>
  <c r="R689" i="3"/>
  <c r="O689" i="3"/>
  <c r="R688" i="3"/>
  <c r="O688" i="3"/>
  <c r="R686" i="3"/>
  <c r="O686" i="3"/>
  <c r="R685" i="3"/>
  <c r="O685" i="3"/>
  <c r="R684" i="3"/>
  <c r="O684" i="3"/>
  <c r="R683" i="3"/>
  <c r="O683" i="3"/>
  <c r="R682" i="3"/>
  <c r="O682" i="3"/>
  <c r="R681" i="3"/>
  <c r="O681" i="3"/>
  <c r="R680" i="3"/>
  <c r="O680" i="3"/>
  <c r="R679" i="3"/>
  <c r="O679" i="3"/>
  <c r="R678" i="3"/>
  <c r="O678" i="3"/>
  <c r="R677" i="3"/>
  <c r="O677" i="3"/>
  <c r="R676" i="3"/>
  <c r="O676" i="3"/>
  <c r="R675" i="3"/>
  <c r="O675" i="3"/>
  <c r="R674" i="3"/>
  <c r="O674" i="3"/>
  <c r="R673" i="3"/>
  <c r="O673" i="3"/>
  <c r="R672" i="3"/>
  <c r="O672" i="3"/>
  <c r="R671" i="3"/>
  <c r="O671" i="3"/>
  <c r="R670" i="3"/>
  <c r="O670" i="3"/>
  <c r="R669" i="3"/>
  <c r="O669" i="3"/>
  <c r="R668" i="3"/>
  <c r="O668" i="3"/>
  <c r="R667" i="3"/>
  <c r="O667" i="3"/>
  <c r="R666" i="3"/>
  <c r="O666" i="3"/>
  <c r="R665" i="3"/>
  <c r="O665" i="3"/>
  <c r="R664" i="3"/>
  <c r="O664" i="3"/>
  <c r="R663" i="3"/>
  <c r="O663" i="3"/>
  <c r="R662" i="3"/>
  <c r="O662" i="3"/>
  <c r="R661" i="3"/>
  <c r="O661" i="3"/>
  <c r="R660" i="3"/>
  <c r="O660" i="3"/>
  <c r="R659" i="3"/>
  <c r="O659" i="3"/>
  <c r="R658" i="3"/>
  <c r="O658" i="3"/>
  <c r="R657" i="3"/>
  <c r="O657" i="3"/>
  <c r="R656" i="3"/>
  <c r="O656" i="3"/>
  <c r="R655" i="3"/>
  <c r="O655" i="3"/>
  <c r="R654" i="3"/>
  <c r="O654" i="3"/>
  <c r="R653" i="3"/>
  <c r="O653" i="3"/>
  <c r="R652" i="3"/>
  <c r="O652" i="3"/>
  <c r="R651" i="3"/>
  <c r="O651" i="3"/>
  <c r="R650" i="3"/>
  <c r="O650" i="3"/>
  <c r="R649" i="3"/>
  <c r="O649" i="3"/>
  <c r="R648" i="3"/>
  <c r="O648" i="3"/>
  <c r="R647" i="3"/>
  <c r="O647" i="3"/>
  <c r="R646" i="3"/>
  <c r="O646" i="3"/>
  <c r="R645" i="3"/>
  <c r="O645" i="3"/>
  <c r="R644" i="3"/>
  <c r="O644" i="3"/>
  <c r="R642" i="3"/>
  <c r="O642" i="3"/>
  <c r="R641" i="3"/>
  <c r="O641" i="3"/>
  <c r="R640" i="3"/>
  <c r="O640" i="3"/>
  <c r="R639" i="3"/>
  <c r="O639" i="3"/>
  <c r="R638" i="3"/>
  <c r="O638" i="3"/>
  <c r="R637" i="3"/>
  <c r="O637" i="3"/>
  <c r="R636" i="3"/>
  <c r="O636" i="3"/>
  <c r="R635" i="3"/>
  <c r="O635" i="3"/>
  <c r="R634" i="3"/>
  <c r="O634" i="3"/>
  <c r="R633" i="3"/>
  <c r="O633" i="3"/>
  <c r="R631" i="3"/>
  <c r="O631" i="3"/>
  <c r="R630" i="3"/>
  <c r="O630" i="3"/>
  <c r="R629" i="3"/>
  <c r="O629" i="3"/>
  <c r="R628" i="3"/>
  <c r="O628" i="3"/>
  <c r="R627" i="3"/>
  <c r="O627" i="3"/>
  <c r="R626" i="3"/>
  <c r="O626" i="3"/>
  <c r="R625" i="3"/>
  <c r="O625" i="3"/>
  <c r="R624" i="3"/>
  <c r="O624" i="3"/>
  <c r="R623" i="3"/>
  <c r="O623" i="3"/>
  <c r="R622" i="3"/>
  <c r="O622" i="3"/>
  <c r="R621" i="3"/>
  <c r="O621" i="3"/>
  <c r="R619" i="3"/>
  <c r="O619" i="3"/>
  <c r="R618" i="3"/>
  <c r="O618" i="3"/>
  <c r="R617" i="3"/>
  <c r="O617" i="3"/>
  <c r="R616" i="3"/>
  <c r="O616" i="3"/>
  <c r="R615" i="3"/>
  <c r="O615" i="3"/>
  <c r="R614" i="3"/>
  <c r="O614" i="3"/>
  <c r="R613" i="3"/>
  <c r="O613" i="3"/>
  <c r="R612" i="3"/>
  <c r="O612" i="3"/>
  <c r="R611" i="3"/>
  <c r="O611" i="3"/>
  <c r="R610" i="3"/>
  <c r="O610" i="3"/>
  <c r="R609" i="3"/>
  <c r="O609" i="3"/>
  <c r="R608" i="3"/>
  <c r="O608" i="3"/>
  <c r="R607" i="3"/>
  <c r="O607" i="3"/>
  <c r="R606" i="3"/>
  <c r="O606" i="3"/>
  <c r="R605" i="3"/>
  <c r="O605" i="3"/>
  <c r="R604" i="3"/>
  <c r="O604" i="3"/>
  <c r="R603" i="3"/>
  <c r="O603" i="3"/>
  <c r="R602" i="3"/>
  <c r="O602" i="3"/>
  <c r="R601" i="3"/>
  <c r="O601" i="3"/>
  <c r="R600" i="3"/>
  <c r="O600" i="3"/>
  <c r="R599" i="3"/>
  <c r="O599" i="3"/>
  <c r="R598" i="3"/>
  <c r="O598" i="3"/>
  <c r="R597" i="3"/>
  <c r="O597" i="3"/>
  <c r="R596" i="3"/>
  <c r="O596" i="3"/>
  <c r="R595" i="3"/>
  <c r="O595" i="3"/>
  <c r="R594" i="3"/>
  <c r="O594" i="3"/>
  <c r="R593" i="3"/>
  <c r="O593" i="3"/>
  <c r="R592" i="3"/>
  <c r="O592" i="3"/>
  <c r="R591" i="3"/>
  <c r="O591" i="3"/>
  <c r="R590" i="3"/>
  <c r="O590" i="3"/>
  <c r="R589" i="3"/>
  <c r="O589" i="3"/>
  <c r="R588" i="3"/>
  <c r="O588" i="3"/>
  <c r="R587" i="3"/>
  <c r="O587" i="3"/>
  <c r="R586" i="3"/>
  <c r="O586" i="3"/>
  <c r="R585" i="3"/>
  <c r="O585" i="3"/>
  <c r="R584" i="3"/>
  <c r="O584" i="3"/>
  <c r="R583" i="3"/>
  <c r="O583" i="3"/>
  <c r="R582" i="3"/>
  <c r="O582" i="3"/>
  <c r="R581" i="3"/>
  <c r="O581" i="3"/>
  <c r="R580" i="3"/>
  <c r="O580" i="3"/>
  <c r="R579" i="3"/>
  <c r="O579" i="3"/>
  <c r="R578" i="3"/>
  <c r="O578" i="3"/>
  <c r="R577" i="3"/>
  <c r="O577" i="3"/>
  <c r="R576" i="3"/>
  <c r="O576" i="3"/>
  <c r="R575" i="3"/>
  <c r="O575" i="3"/>
  <c r="R574" i="3"/>
  <c r="O574" i="3"/>
  <c r="R573" i="3"/>
  <c r="O573" i="3"/>
  <c r="R572" i="3"/>
  <c r="O572" i="3"/>
  <c r="R571" i="3"/>
  <c r="O571" i="3"/>
  <c r="R570" i="3"/>
  <c r="O570" i="3"/>
  <c r="R569" i="3"/>
  <c r="O569" i="3"/>
  <c r="R568" i="3"/>
  <c r="O568" i="3"/>
  <c r="R567" i="3"/>
  <c r="O567" i="3"/>
  <c r="R566" i="3"/>
  <c r="O566" i="3"/>
  <c r="R565" i="3"/>
  <c r="O565" i="3"/>
  <c r="R564" i="3"/>
  <c r="O564" i="3"/>
  <c r="R563" i="3"/>
  <c r="O563" i="3"/>
  <c r="R562" i="3"/>
  <c r="O562" i="3"/>
  <c r="R561" i="3"/>
  <c r="O561" i="3"/>
  <c r="R560" i="3"/>
  <c r="O560" i="3"/>
  <c r="R559" i="3"/>
  <c r="O559" i="3"/>
  <c r="R558" i="3"/>
  <c r="O558" i="3"/>
  <c r="R557" i="3"/>
  <c r="O557" i="3"/>
  <c r="R556" i="3"/>
  <c r="O556" i="3"/>
  <c r="R555" i="3"/>
  <c r="O555" i="3"/>
  <c r="R554" i="3"/>
  <c r="O554" i="3"/>
  <c r="R553" i="3"/>
  <c r="O553" i="3"/>
  <c r="R552" i="3"/>
  <c r="O552" i="3"/>
  <c r="R551" i="3"/>
  <c r="O551" i="3"/>
  <c r="R550" i="3"/>
  <c r="O550" i="3"/>
  <c r="R549" i="3"/>
  <c r="O549" i="3"/>
  <c r="R548" i="3"/>
  <c r="O548" i="3"/>
  <c r="R547" i="3"/>
  <c r="O547" i="3"/>
  <c r="R546" i="3"/>
  <c r="O546" i="3"/>
  <c r="R545" i="3"/>
  <c r="O545" i="3"/>
  <c r="R544" i="3"/>
  <c r="O544" i="3"/>
  <c r="R543" i="3"/>
  <c r="O543" i="3"/>
  <c r="R542" i="3"/>
  <c r="O542" i="3"/>
  <c r="R541" i="3"/>
  <c r="O541" i="3"/>
  <c r="R540" i="3"/>
  <c r="O540" i="3"/>
  <c r="R539" i="3"/>
  <c r="O539" i="3"/>
  <c r="R538" i="3"/>
  <c r="O538" i="3"/>
  <c r="R537" i="3"/>
  <c r="O537" i="3"/>
  <c r="R536" i="3"/>
  <c r="O536" i="3"/>
  <c r="R535" i="3"/>
  <c r="O535" i="3"/>
  <c r="R534" i="3"/>
  <c r="O534" i="3"/>
  <c r="R533" i="3"/>
  <c r="O533" i="3"/>
  <c r="R532" i="3"/>
  <c r="O532" i="3"/>
  <c r="R531" i="3"/>
  <c r="O531" i="3"/>
  <c r="R530" i="3"/>
  <c r="O530" i="3"/>
  <c r="R529" i="3"/>
  <c r="O529" i="3"/>
  <c r="R528" i="3"/>
  <c r="O528" i="3"/>
  <c r="R527" i="3"/>
  <c r="O527" i="3"/>
  <c r="R526" i="3"/>
  <c r="O526" i="3"/>
  <c r="R525" i="3"/>
  <c r="O525" i="3"/>
  <c r="R524" i="3"/>
  <c r="O524" i="3"/>
  <c r="R523" i="3"/>
  <c r="O523" i="3"/>
  <c r="R522" i="3"/>
  <c r="O522" i="3"/>
  <c r="R521" i="3"/>
  <c r="O521" i="3"/>
  <c r="R520" i="3"/>
  <c r="O520" i="3"/>
  <c r="R519" i="3"/>
  <c r="O519" i="3"/>
  <c r="R518" i="3"/>
  <c r="O518" i="3"/>
  <c r="R517" i="3"/>
  <c r="O517" i="3"/>
  <c r="R516" i="3"/>
  <c r="O516" i="3"/>
  <c r="R515" i="3"/>
  <c r="O515" i="3"/>
  <c r="R514" i="3"/>
  <c r="O514" i="3"/>
  <c r="R513" i="3"/>
  <c r="O513" i="3"/>
  <c r="R512" i="3"/>
  <c r="O512" i="3"/>
  <c r="R511" i="3"/>
  <c r="O511" i="3"/>
  <c r="R510" i="3"/>
  <c r="O510" i="3"/>
  <c r="R509" i="3"/>
  <c r="O509" i="3"/>
  <c r="R508" i="3"/>
  <c r="O508" i="3"/>
  <c r="R507" i="3"/>
  <c r="O507" i="3"/>
  <c r="R506" i="3"/>
  <c r="O506" i="3"/>
  <c r="R505" i="3"/>
  <c r="O505" i="3"/>
  <c r="R504" i="3"/>
  <c r="O504" i="3"/>
  <c r="R503" i="3"/>
  <c r="O503" i="3"/>
  <c r="R502" i="3"/>
  <c r="O502" i="3"/>
  <c r="R501" i="3"/>
  <c r="O501" i="3"/>
  <c r="R500" i="3"/>
  <c r="O500" i="3"/>
  <c r="R499" i="3"/>
  <c r="O499" i="3"/>
  <c r="R498" i="3"/>
  <c r="O498" i="3"/>
  <c r="R497" i="3"/>
  <c r="O497" i="3"/>
  <c r="R496" i="3"/>
  <c r="O496" i="3"/>
  <c r="R495" i="3"/>
  <c r="O495" i="3"/>
  <c r="R494" i="3"/>
  <c r="O494" i="3"/>
  <c r="R493" i="3"/>
  <c r="O493" i="3"/>
  <c r="R492" i="3"/>
  <c r="O492" i="3"/>
  <c r="R491" i="3"/>
  <c r="O491" i="3"/>
  <c r="R490" i="3"/>
  <c r="O490" i="3"/>
  <c r="R489" i="3"/>
  <c r="O489" i="3"/>
  <c r="R488" i="3"/>
  <c r="O488" i="3"/>
  <c r="R487" i="3"/>
  <c r="O487" i="3"/>
  <c r="R486" i="3"/>
  <c r="O486" i="3"/>
  <c r="R485" i="3"/>
  <c r="O485" i="3"/>
  <c r="R484" i="3"/>
  <c r="O484" i="3"/>
  <c r="R483" i="3"/>
  <c r="O483" i="3"/>
  <c r="R482" i="3"/>
  <c r="O482" i="3"/>
  <c r="R481" i="3"/>
  <c r="O481" i="3"/>
  <c r="R480" i="3"/>
  <c r="O480" i="3"/>
  <c r="R479" i="3"/>
  <c r="O479" i="3"/>
  <c r="R478" i="3"/>
  <c r="O478" i="3"/>
  <c r="R477" i="3"/>
  <c r="O477" i="3"/>
  <c r="R476" i="3"/>
  <c r="O476" i="3"/>
  <c r="R475" i="3"/>
  <c r="O475" i="3"/>
  <c r="R474" i="3"/>
  <c r="O474" i="3"/>
  <c r="R473" i="3"/>
  <c r="O473" i="3"/>
  <c r="R472" i="3"/>
  <c r="O472" i="3"/>
  <c r="R471" i="3"/>
  <c r="O471" i="3"/>
  <c r="R470" i="3"/>
  <c r="O470" i="3"/>
  <c r="R469" i="3"/>
  <c r="O469" i="3"/>
  <c r="R468" i="3"/>
  <c r="O468" i="3"/>
  <c r="R467" i="3"/>
  <c r="O467" i="3"/>
  <c r="R466" i="3"/>
  <c r="O466" i="3"/>
  <c r="R465" i="3"/>
  <c r="O465" i="3"/>
  <c r="R464" i="3"/>
  <c r="O464" i="3"/>
  <c r="R463" i="3"/>
  <c r="O463" i="3"/>
  <c r="R462" i="3"/>
  <c r="O462" i="3"/>
  <c r="R461" i="3"/>
  <c r="O461" i="3"/>
  <c r="R460" i="3"/>
  <c r="O460" i="3"/>
  <c r="R459" i="3"/>
  <c r="O459" i="3"/>
  <c r="R458" i="3"/>
  <c r="O458" i="3"/>
  <c r="R457" i="3"/>
  <c r="O457" i="3"/>
  <c r="R456" i="3"/>
  <c r="O456" i="3"/>
  <c r="R455" i="3"/>
  <c r="O455" i="3"/>
  <c r="R454" i="3"/>
  <c r="O454" i="3"/>
  <c r="R453" i="3"/>
  <c r="O453" i="3"/>
  <c r="R452" i="3"/>
  <c r="O452" i="3"/>
  <c r="R451" i="3"/>
  <c r="O451" i="3"/>
  <c r="R450" i="3"/>
  <c r="O450" i="3"/>
  <c r="R449" i="3"/>
  <c r="O449" i="3"/>
  <c r="R448" i="3"/>
  <c r="O448" i="3"/>
  <c r="R447" i="3"/>
  <c r="O447" i="3"/>
  <c r="R446" i="3"/>
  <c r="O446" i="3"/>
  <c r="R445" i="3"/>
  <c r="O445" i="3"/>
  <c r="R443" i="3"/>
  <c r="O443" i="3"/>
  <c r="R442" i="3"/>
  <c r="O442" i="3"/>
  <c r="R441" i="3"/>
  <c r="O441" i="3"/>
  <c r="R440" i="3"/>
  <c r="O440" i="3"/>
  <c r="R439" i="3"/>
  <c r="O439" i="3"/>
  <c r="R438" i="3"/>
  <c r="O438" i="3"/>
  <c r="R437" i="3"/>
  <c r="O437" i="3"/>
  <c r="R435" i="3"/>
  <c r="O435" i="3"/>
  <c r="R434" i="3"/>
  <c r="O434" i="3"/>
  <c r="R433" i="3"/>
  <c r="O433" i="3"/>
  <c r="R432" i="3"/>
  <c r="O432" i="3"/>
  <c r="R431" i="3"/>
  <c r="O431" i="3"/>
  <c r="R430" i="3"/>
  <c r="O430" i="3"/>
  <c r="R429" i="3"/>
  <c r="O429" i="3"/>
  <c r="R428" i="3"/>
  <c r="O428" i="3"/>
  <c r="R427" i="3"/>
  <c r="O427" i="3"/>
  <c r="R426" i="3"/>
  <c r="O426" i="3"/>
  <c r="R425" i="3"/>
  <c r="O425" i="3"/>
  <c r="R424" i="3"/>
  <c r="O424" i="3"/>
  <c r="R423" i="3"/>
  <c r="O423" i="3"/>
  <c r="R422" i="3"/>
  <c r="O422" i="3"/>
  <c r="R421" i="3"/>
  <c r="O421" i="3"/>
  <c r="R420" i="3"/>
  <c r="O420" i="3"/>
  <c r="R419" i="3"/>
  <c r="O419" i="3"/>
  <c r="R418" i="3"/>
  <c r="O418" i="3"/>
  <c r="R417" i="3"/>
  <c r="O417" i="3"/>
  <c r="R416" i="3"/>
  <c r="O416" i="3"/>
  <c r="R415" i="3"/>
  <c r="O415" i="3"/>
  <c r="R414" i="3"/>
  <c r="O414" i="3"/>
  <c r="R413" i="3"/>
  <c r="O413" i="3"/>
  <c r="R412" i="3"/>
  <c r="O412" i="3"/>
  <c r="R411" i="3"/>
  <c r="O411" i="3"/>
  <c r="R410" i="3"/>
  <c r="O410" i="3"/>
  <c r="R409" i="3"/>
  <c r="O409" i="3"/>
  <c r="R408" i="3"/>
  <c r="O408" i="3"/>
  <c r="R407" i="3"/>
  <c r="O407" i="3"/>
  <c r="R406" i="3"/>
  <c r="O406" i="3"/>
  <c r="R405" i="3"/>
  <c r="O405" i="3"/>
  <c r="R404" i="3"/>
  <c r="O404" i="3"/>
  <c r="R403" i="3"/>
  <c r="O403" i="3"/>
  <c r="R402" i="3"/>
  <c r="O402" i="3"/>
  <c r="R401" i="3"/>
  <c r="O401" i="3"/>
  <c r="R400" i="3"/>
  <c r="O400" i="3"/>
  <c r="R399" i="3"/>
  <c r="O399" i="3"/>
  <c r="R398" i="3"/>
  <c r="O398" i="3"/>
  <c r="R397" i="3"/>
  <c r="O397" i="3"/>
  <c r="R396" i="3"/>
  <c r="O396" i="3"/>
  <c r="R395" i="3"/>
  <c r="O395" i="3"/>
  <c r="R394" i="3"/>
  <c r="O394" i="3"/>
  <c r="R393" i="3"/>
  <c r="O393" i="3"/>
  <c r="R392" i="3"/>
  <c r="O392" i="3"/>
  <c r="R391" i="3"/>
  <c r="O391" i="3"/>
  <c r="R390" i="3"/>
  <c r="O390" i="3"/>
  <c r="R389" i="3"/>
  <c r="O389" i="3"/>
  <c r="R387" i="3"/>
  <c r="O387" i="3"/>
  <c r="R386" i="3"/>
  <c r="O386" i="3"/>
  <c r="R385" i="3"/>
  <c r="O385" i="3"/>
  <c r="R384" i="3"/>
  <c r="O384" i="3"/>
  <c r="R383" i="3"/>
  <c r="O383" i="3"/>
  <c r="R382" i="3"/>
  <c r="O382" i="3"/>
  <c r="R381" i="3"/>
  <c r="O381" i="3"/>
  <c r="R380" i="3"/>
  <c r="O380" i="3"/>
  <c r="R379" i="3"/>
  <c r="O379" i="3"/>
  <c r="R378" i="3"/>
  <c r="O378" i="3"/>
  <c r="R377" i="3"/>
  <c r="O377" i="3"/>
  <c r="R376" i="3"/>
  <c r="O376" i="3"/>
  <c r="R375" i="3"/>
  <c r="O375" i="3"/>
  <c r="R374" i="3"/>
  <c r="O374" i="3"/>
  <c r="R373" i="3"/>
  <c r="O373" i="3"/>
  <c r="R372" i="3"/>
  <c r="O372" i="3"/>
  <c r="R371" i="3"/>
  <c r="O371" i="3"/>
  <c r="R370" i="3"/>
  <c r="O370" i="3"/>
  <c r="R369" i="3"/>
  <c r="O369" i="3"/>
  <c r="R368" i="3"/>
  <c r="O368" i="3"/>
  <c r="R367" i="3"/>
  <c r="O367" i="3"/>
  <c r="R366" i="3"/>
  <c r="O366" i="3"/>
  <c r="R365" i="3"/>
  <c r="O365" i="3"/>
  <c r="R364" i="3"/>
  <c r="O364" i="3"/>
  <c r="R363" i="3"/>
  <c r="O363" i="3"/>
  <c r="R362" i="3"/>
  <c r="O362" i="3"/>
  <c r="R361" i="3"/>
  <c r="O361" i="3"/>
  <c r="R360" i="3"/>
  <c r="O360" i="3"/>
  <c r="R359" i="3"/>
  <c r="O359" i="3"/>
  <c r="R358" i="3"/>
  <c r="O358" i="3"/>
  <c r="R357" i="3"/>
  <c r="O357" i="3"/>
  <c r="R356" i="3"/>
  <c r="O356" i="3"/>
  <c r="R355" i="3"/>
  <c r="O355" i="3"/>
  <c r="R354" i="3"/>
  <c r="O354" i="3"/>
  <c r="R353" i="3"/>
  <c r="O353" i="3"/>
  <c r="R352" i="3"/>
  <c r="O352" i="3"/>
  <c r="R351" i="3"/>
  <c r="O351" i="3"/>
  <c r="R350" i="3"/>
  <c r="O350" i="3"/>
  <c r="R349" i="3"/>
  <c r="O349" i="3"/>
  <c r="R348" i="3"/>
  <c r="O348" i="3"/>
  <c r="R347" i="3"/>
  <c r="O347" i="3"/>
  <c r="R346" i="3"/>
  <c r="O346" i="3"/>
  <c r="R345" i="3"/>
  <c r="O345" i="3"/>
  <c r="R344" i="3"/>
  <c r="O344" i="3"/>
  <c r="R343" i="3"/>
  <c r="O343" i="3"/>
  <c r="R342" i="3"/>
  <c r="O342" i="3"/>
  <c r="R341" i="3"/>
  <c r="O341" i="3"/>
  <c r="R340" i="3"/>
  <c r="O340" i="3"/>
  <c r="R339" i="3"/>
  <c r="O339" i="3"/>
  <c r="R338" i="3"/>
  <c r="O338" i="3"/>
  <c r="R337" i="3"/>
  <c r="O337" i="3"/>
  <c r="R336" i="3"/>
  <c r="O336" i="3"/>
  <c r="R335" i="3"/>
  <c r="O335" i="3"/>
  <c r="R334" i="3"/>
  <c r="O334" i="3"/>
  <c r="R333" i="3"/>
  <c r="O333" i="3"/>
  <c r="R332" i="3"/>
  <c r="O332" i="3"/>
  <c r="R331" i="3"/>
  <c r="O331" i="3"/>
  <c r="R330" i="3"/>
  <c r="O330" i="3"/>
  <c r="R329" i="3"/>
  <c r="O329" i="3"/>
  <c r="R328" i="3"/>
  <c r="O328" i="3"/>
  <c r="R327" i="3"/>
  <c r="O327" i="3"/>
  <c r="R326" i="3"/>
  <c r="O326" i="3"/>
  <c r="R325" i="3"/>
  <c r="O325" i="3"/>
  <c r="R324" i="3"/>
  <c r="O324" i="3"/>
  <c r="R323" i="3"/>
  <c r="O323" i="3"/>
  <c r="R322" i="3"/>
  <c r="O322" i="3"/>
  <c r="R321" i="3"/>
  <c r="O321" i="3"/>
  <c r="R320" i="3"/>
  <c r="O320" i="3"/>
  <c r="R319" i="3"/>
  <c r="O319" i="3"/>
  <c r="R318" i="3"/>
  <c r="O318" i="3"/>
  <c r="R317" i="3"/>
  <c r="O317" i="3"/>
  <c r="R316" i="3"/>
  <c r="O316" i="3"/>
  <c r="R315" i="3"/>
  <c r="O315" i="3"/>
  <c r="R314" i="3"/>
  <c r="O314" i="3"/>
  <c r="R313" i="3"/>
  <c r="O313" i="3"/>
  <c r="R312" i="3"/>
  <c r="O312" i="3"/>
  <c r="R311" i="3"/>
  <c r="O311" i="3"/>
  <c r="R310" i="3"/>
  <c r="O310" i="3"/>
  <c r="R309" i="3"/>
  <c r="O309" i="3"/>
  <c r="R308" i="3"/>
  <c r="O308" i="3"/>
  <c r="R307" i="3"/>
  <c r="O307" i="3"/>
  <c r="R306" i="3"/>
  <c r="O306" i="3"/>
  <c r="R305" i="3"/>
  <c r="O305" i="3"/>
  <c r="R304" i="3"/>
  <c r="O304" i="3"/>
  <c r="R303" i="3"/>
  <c r="O303" i="3"/>
  <c r="R302" i="3"/>
  <c r="O302" i="3"/>
  <c r="R301" i="3"/>
  <c r="O301" i="3"/>
  <c r="R300" i="3"/>
  <c r="O300" i="3"/>
  <c r="R299" i="3"/>
  <c r="O299" i="3"/>
  <c r="R298" i="3"/>
  <c r="O298" i="3"/>
  <c r="R297" i="3"/>
  <c r="O297" i="3"/>
  <c r="R296" i="3"/>
  <c r="O296" i="3"/>
  <c r="R295" i="3"/>
  <c r="O295" i="3"/>
  <c r="R293" i="3"/>
  <c r="O293" i="3"/>
  <c r="R292" i="3"/>
  <c r="O292" i="3"/>
  <c r="R291" i="3"/>
  <c r="O291" i="3"/>
  <c r="R290" i="3"/>
  <c r="O290" i="3"/>
  <c r="R289" i="3"/>
  <c r="O289" i="3"/>
  <c r="R288" i="3"/>
  <c r="O288" i="3"/>
  <c r="R287" i="3"/>
  <c r="O287" i="3"/>
  <c r="R286" i="3"/>
  <c r="O286" i="3"/>
  <c r="R285" i="3"/>
  <c r="O285" i="3"/>
  <c r="R284" i="3"/>
  <c r="O284" i="3"/>
  <c r="R283" i="3"/>
  <c r="O283" i="3"/>
  <c r="R282" i="3"/>
  <c r="O282" i="3"/>
  <c r="R281" i="3"/>
  <c r="O281" i="3"/>
  <c r="R280" i="3"/>
  <c r="O280" i="3"/>
  <c r="R279" i="3"/>
  <c r="O279" i="3"/>
  <c r="R278" i="3"/>
  <c r="O278" i="3"/>
  <c r="R277" i="3"/>
  <c r="O277" i="3"/>
  <c r="R276" i="3"/>
  <c r="O276" i="3"/>
  <c r="R275" i="3"/>
  <c r="O275" i="3"/>
  <c r="R274" i="3"/>
  <c r="O274" i="3"/>
  <c r="R273" i="3"/>
  <c r="O273" i="3"/>
  <c r="R272" i="3"/>
  <c r="O272" i="3"/>
  <c r="R271" i="3"/>
  <c r="O271" i="3"/>
  <c r="R270" i="3"/>
  <c r="O270" i="3"/>
  <c r="R269" i="3"/>
  <c r="O269" i="3"/>
  <c r="R268" i="3"/>
  <c r="O268" i="3"/>
  <c r="R267" i="3"/>
  <c r="O267" i="3"/>
  <c r="R266" i="3"/>
  <c r="O266" i="3"/>
  <c r="R265" i="3"/>
  <c r="O265" i="3"/>
  <c r="R264" i="3"/>
  <c r="O264" i="3"/>
  <c r="R263" i="3"/>
  <c r="O263" i="3"/>
  <c r="R262" i="3"/>
  <c r="O262" i="3"/>
  <c r="R261" i="3"/>
  <c r="O261" i="3"/>
  <c r="R260" i="3"/>
  <c r="O260" i="3"/>
  <c r="R259" i="3"/>
  <c r="O259" i="3"/>
  <c r="R258" i="3"/>
  <c r="O258" i="3"/>
  <c r="R257" i="3"/>
  <c r="O257" i="3"/>
  <c r="R256" i="3"/>
  <c r="O256" i="3"/>
  <c r="R255" i="3"/>
  <c r="O255" i="3"/>
  <c r="R254" i="3"/>
  <c r="O254" i="3"/>
  <c r="R253" i="3"/>
  <c r="O253" i="3"/>
  <c r="R252" i="3"/>
  <c r="O252" i="3"/>
  <c r="R251" i="3"/>
  <c r="O251" i="3"/>
  <c r="R250" i="3"/>
  <c r="O250" i="3"/>
  <c r="R249" i="3"/>
  <c r="O249" i="3"/>
  <c r="R248" i="3"/>
  <c r="O248" i="3"/>
  <c r="R247" i="3"/>
  <c r="O247" i="3"/>
  <c r="R246" i="3"/>
  <c r="O246" i="3"/>
  <c r="R245" i="3"/>
  <c r="O245" i="3"/>
  <c r="R244" i="3"/>
  <c r="O244" i="3"/>
  <c r="R243" i="3"/>
  <c r="O243" i="3"/>
  <c r="R242" i="3"/>
  <c r="O242" i="3"/>
  <c r="R241" i="3"/>
  <c r="O241" i="3"/>
  <c r="R240" i="3"/>
  <c r="O240" i="3"/>
  <c r="R239" i="3"/>
  <c r="O239" i="3"/>
  <c r="R238" i="3"/>
  <c r="O238" i="3"/>
  <c r="R237" i="3"/>
  <c r="O237" i="3"/>
  <c r="R236" i="3"/>
  <c r="O236" i="3"/>
  <c r="R235" i="3"/>
  <c r="O235" i="3"/>
  <c r="R234" i="3"/>
  <c r="O234" i="3"/>
  <c r="R233" i="3"/>
  <c r="O233" i="3"/>
  <c r="R232" i="3"/>
  <c r="O232" i="3"/>
  <c r="R231" i="3"/>
  <c r="O231" i="3"/>
  <c r="R230" i="3"/>
  <c r="O230" i="3"/>
  <c r="R229" i="3"/>
  <c r="O229" i="3"/>
  <c r="R228" i="3"/>
  <c r="O228" i="3"/>
  <c r="R227" i="3"/>
  <c r="O227" i="3"/>
  <c r="R226" i="3"/>
  <c r="O226" i="3"/>
  <c r="R225" i="3"/>
  <c r="O225" i="3"/>
  <c r="R224" i="3"/>
  <c r="O224" i="3"/>
  <c r="R223" i="3"/>
  <c r="O223" i="3"/>
  <c r="R222" i="3"/>
  <c r="O222" i="3"/>
  <c r="R221" i="3"/>
  <c r="O221" i="3"/>
  <c r="R220" i="3"/>
  <c r="O220" i="3"/>
  <c r="R219" i="3"/>
  <c r="O219" i="3"/>
  <c r="R218" i="3"/>
  <c r="O218" i="3"/>
  <c r="R217" i="3"/>
  <c r="O217" i="3"/>
  <c r="R216" i="3"/>
  <c r="O216" i="3"/>
  <c r="R215" i="3"/>
  <c r="O215" i="3"/>
  <c r="R214" i="3"/>
  <c r="O214" i="3"/>
  <c r="R213" i="3"/>
  <c r="O213" i="3"/>
  <c r="R212" i="3"/>
  <c r="O212" i="3"/>
  <c r="R211" i="3"/>
  <c r="O211" i="3"/>
  <c r="R210" i="3"/>
  <c r="O210" i="3"/>
  <c r="R209" i="3"/>
  <c r="O209" i="3"/>
  <c r="R208" i="3"/>
  <c r="O208" i="3"/>
  <c r="R207" i="3"/>
  <c r="O207" i="3"/>
  <c r="R206" i="3"/>
  <c r="O206" i="3"/>
  <c r="R205" i="3"/>
  <c r="O205" i="3"/>
  <c r="R204" i="3"/>
  <c r="O204" i="3"/>
  <c r="R203" i="3"/>
  <c r="O203" i="3"/>
  <c r="R202" i="3"/>
  <c r="O202" i="3"/>
  <c r="R201" i="3"/>
  <c r="O201" i="3"/>
  <c r="R200" i="3"/>
  <c r="O200" i="3"/>
  <c r="R199" i="3"/>
  <c r="O199" i="3"/>
  <c r="R198" i="3"/>
  <c r="O198" i="3"/>
  <c r="R197" i="3"/>
  <c r="O197" i="3"/>
  <c r="R196" i="3"/>
  <c r="O196" i="3"/>
  <c r="R195" i="3"/>
  <c r="O195" i="3"/>
  <c r="R194" i="3"/>
  <c r="O194" i="3"/>
  <c r="R193" i="3"/>
  <c r="O193" i="3"/>
  <c r="R192" i="3"/>
  <c r="O192" i="3"/>
  <c r="R191" i="3"/>
  <c r="O191" i="3"/>
  <c r="R190" i="3"/>
  <c r="O190" i="3"/>
  <c r="R189" i="3"/>
  <c r="O189" i="3"/>
  <c r="R188" i="3"/>
  <c r="O188" i="3"/>
  <c r="R187" i="3"/>
  <c r="O187" i="3"/>
  <c r="R186" i="3"/>
  <c r="O186" i="3"/>
  <c r="R185" i="3"/>
  <c r="O185" i="3"/>
  <c r="R184" i="3"/>
  <c r="O184" i="3"/>
  <c r="R183" i="3"/>
  <c r="O183" i="3"/>
  <c r="R182" i="3"/>
  <c r="O182" i="3"/>
  <c r="R181" i="3"/>
  <c r="O181" i="3"/>
  <c r="R180" i="3"/>
  <c r="O180" i="3"/>
  <c r="R179" i="3"/>
  <c r="O179" i="3"/>
  <c r="R178" i="3"/>
  <c r="O178" i="3"/>
  <c r="R177" i="3"/>
  <c r="O177" i="3"/>
  <c r="R176" i="3"/>
  <c r="O176" i="3"/>
  <c r="R175" i="3"/>
  <c r="O175" i="3"/>
  <c r="R174" i="3"/>
  <c r="O174" i="3"/>
  <c r="R173" i="3"/>
  <c r="O173" i="3"/>
  <c r="R172" i="3"/>
  <c r="O172" i="3"/>
  <c r="R171" i="3"/>
  <c r="O171" i="3"/>
  <c r="R170" i="3"/>
  <c r="O170" i="3"/>
  <c r="R169" i="3"/>
  <c r="O169" i="3"/>
  <c r="R168" i="3"/>
  <c r="O168" i="3"/>
  <c r="R167" i="3"/>
  <c r="O167" i="3"/>
  <c r="R166" i="3"/>
  <c r="O166" i="3"/>
  <c r="R165" i="3"/>
  <c r="O165" i="3"/>
  <c r="R164" i="3"/>
  <c r="O164" i="3"/>
  <c r="R163" i="3"/>
  <c r="O163" i="3"/>
  <c r="R162" i="3"/>
  <c r="O162" i="3"/>
  <c r="R161" i="3"/>
  <c r="O161" i="3"/>
  <c r="R160" i="3"/>
  <c r="O160" i="3"/>
  <c r="R159" i="3"/>
  <c r="O159" i="3"/>
  <c r="R158" i="3"/>
  <c r="O158" i="3"/>
  <c r="R157" i="3"/>
  <c r="O157" i="3"/>
  <c r="R156" i="3"/>
  <c r="O156" i="3"/>
  <c r="R155" i="3"/>
  <c r="O155" i="3"/>
  <c r="R154" i="3"/>
  <c r="O154" i="3"/>
  <c r="R153" i="3"/>
  <c r="O153" i="3"/>
  <c r="R152" i="3"/>
  <c r="O152" i="3"/>
  <c r="R151" i="3"/>
  <c r="O151" i="3"/>
  <c r="R150" i="3"/>
  <c r="O150" i="3"/>
  <c r="R149" i="3"/>
  <c r="O149" i="3"/>
  <c r="R148" i="3"/>
  <c r="O148" i="3"/>
  <c r="R147" i="3"/>
  <c r="O147" i="3"/>
  <c r="R146" i="3"/>
  <c r="O146" i="3"/>
  <c r="R145" i="3"/>
  <c r="O145" i="3"/>
  <c r="R144" i="3"/>
  <c r="O144" i="3"/>
  <c r="R143" i="3"/>
  <c r="O143" i="3"/>
  <c r="R142" i="3"/>
  <c r="O142" i="3"/>
  <c r="R141" i="3"/>
  <c r="O141" i="3"/>
  <c r="R140" i="3"/>
  <c r="O140" i="3"/>
  <c r="R139" i="3"/>
  <c r="O139" i="3"/>
  <c r="R138" i="3"/>
  <c r="O138" i="3"/>
  <c r="R137" i="3"/>
  <c r="O137" i="3"/>
  <c r="R136" i="3"/>
  <c r="O136" i="3"/>
  <c r="R135" i="3"/>
  <c r="O135" i="3"/>
  <c r="R134" i="3"/>
  <c r="O134" i="3"/>
  <c r="R133" i="3"/>
  <c r="O133" i="3"/>
  <c r="R132" i="3"/>
  <c r="O132" i="3"/>
  <c r="R131" i="3"/>
  <c r="O131" i="3"/>
  <c r="R130" i="3"/>
  <c r="O130" i="3"/>
  <c r="R129" i="3"/>
  <c r="O129" i="3"/>
  <c r="R128" i="3"/>
  <c r="O128" i="3"/>
  <c r="R127" i="3"/>
  <c r="O127" i="3"/>
  <c r="R126" i="3"/>
  <c r="O126" i="3"/>
  <c r="R125" i="3"/>
  <c r="O125" i="3"/>
  <c r="R124" i="3"/>
  <c r="O124" i="3"/>
  <c r="R123" i="3"/>
  <c r="O123" i="3"/>
  <c r="R122" i="3"/>
  <c r="O122" i="3"/>
  <c r="R121" i="3"/>
  <c r="O121" i="3"/>
  <c r="R120" i="3"/>
  <c r="O120" i="3"/>
  <c r="R119" i="3"/>
  <c r="O119" i="3"/>
  <c r="R118" i="3"/>
  <c r="O118" i="3"/>
  <c r="R117" i="3"/>
  <c r="O117" i="3"/>
  <c r="R116" i="3"/>
  <c r="O116" i="3"/>
  <c r="R115" i="3"/>
  <c r="O115" i="3"/>
  <c r="R114" i="3"/>
  <c r="O114" i="3"/>
  <c r="R113" i="3"/>
  <c r="O113" i="3"/>
  <c r="R112" i="3"/>
  <c r="O112" i="3"/>
  <c r="R111" i="3"/>
  <c r="O111" i="3"/>
  <c r="R110" i="3"/>
  <c r="O110" i="3"/>
  <c r="R109" i="3"/>
  <c r="O109" i="3"/>
  <c r="R108" i="3"/>
  <c r="O108" i="3"/>
  <c r="R107" i="3"/>
  <c r="O107" i="3"/>
  <c r="R106" i="3"/>
  <c r="O106" i="3"/>
  <c r="R105" i="3"/>
  <c r="O105" i="3"/>
  <c r="R104" i="3"/>
  <c r="O104" i="3"/>
  <c r="R103" i="3"/>
  <c r="O103" i="3"/>
  <c r="R102" i="3"/>
  <c r="O102" i="3"/>
  <c r="R101" i="3"/>
  <c r="O101" i="3"/>
  <c r="R100" i="3"/>
  <c r="O100" i="3"/>
  <c r="R99" i="3"/>
  <c r="O99" i="3"/>
  <c r="R98" i="3"/>
  <c r="O98" i="3"/>
  <c r="R97" i="3"/>
  <c r="O97" i="3"/>
  <c r="R96" i="3"/>
  <c r="O96" i="3"/>
  <c r="R95" i="3"/>
  <c r="O95" i="3"/>
  <c r="R94" i="3"/>
  <c r="O94" i="3"/>
  <c r="R93" i="3"/>
  <c r="O93" i="3"/>
  <c r="R92" i="3"/>
  <c r="O92" i="3"/>
  <c r="R91" i="3"/>
  <c r="O91" i="3"/>
  <c r="R90" i="3"/>
  <c r="O90" i="3"/>
  <c r="R89" i="3"/>
  <c r="O89" i="3"/>
  <c r="R88" i="3"/>
  <c r="O88" i="3"/>
  <c r="R87" i="3"/>
  <c r="O87" i="3"/>
  <c r="R86" i="3"/>
  <c r="O86" i="3"/>
  <c r="R85" i="3"/>
  <c r="O85" i="3"/>
  <c r="R84" i="3"/>
  <c r="O84" i="3"/>
  <c r="R83" i="3"/>
  <c r="O83" i="3"/>
  <c r="R82" i="3"/>
  <c r="O82" i="3"/>
  <c r="R81" i="3"/>
  <c r="O81" i="3"/>
  <c r="R80" i="3"/>
  <c r="O80" i="3"/>
  <c r="R79" i="3"/>
  <c r="O79" i="3"/>
  <c r="R77" i="3"/>
  <c r="O77" i="3"/>
  <c r="R76" i="3"/>
  <c r="O76" i="3"/>
  <c r="R75" i="3"/>
  <c r="O75" i="3"/>
  <c r="R74" i="3"/>
  <c r="O74" i="3"/>
  <c r="R73" i="3"/>
  <c r="O73" i="3"/>
  <c r="R72" i="3"/>
  <c r="O72" i="3"/>
  <c r="R71" i="3"/>
  <c r="O71" i="3"/>
  <c r="R70" i="3"/>
  <c r="O70" i="3"/>
  <c r="R69" i="3"/>
  <c r="O69" i="3"/>
  <c r="R68" i="3"/>
  <c r="O68" i="3"/>
  <c r="R67" i="3"/>
  <c r="O67" i="3"/>
  <c r="R66" i="3"/>
  <c r="O66" i="3"/>
  <c r="R65" i="3"/>
  <c r="O65" i="3"/>
  <c r="R64" i="3"/>
  <c r="O64" i="3"/>
  <c r="R63" i="3"/>
  <c r="O63" i="3"/>
  <c r="R62" i="3"/>
  <c r="O62" i="3"/>
  <c r="R61" i="3"/>
  <c r="O61" i="3"/>
  <c r="R60" i="3"/>
  <c r="O60" i="3"/>
  <c r="R59" i="3"/>
  <c r="O59" i="3"/>
  <c r="R57" i="3"/>
  <c r="O57" i="3"/>
  <c r="R56" i="3"/>
  <c r="O56" i="3"/>
  <c r="R55" i="3"/>
  <c r="O55" i="3"/>
  <c r="R54" i="3"/>
  <c r="O54" i="3"/>
  <c r="R53" i="3"/>
  <c r="O53" i="3"/>
  <c r="R52" i="3"/>
  <c r="O52" i="3"/>
  <c r="R51" i="3"/>
  <c r="O51" i="3"/>
  <c r="R50" i="3"/>
  <c r="O50" i="3"/>
  <c r="R49" i="3"/>
  <c r="O49" i="3"/>
  <c r="R48" i="3"/>
  <c r="O48" i="3"/>
  <c r="R47" i="3"/>
  <c r="O47" i="3"/>
  <c r="R46" i="3"/>
  <c r="O46" i="3"/>
  <c r="R45" i="3"/>
  <c r="O45" i="3"/>
  <c r="R44" i="3"/>
  <c r="O44" i="3"/>
  <c r="R43" i="3"/>
  <c r="O43" i="3"/>
  <c r="R42" i="3"/>
  <c r="O42" i="3"/>
  <c r="R41" i="3"/>
  <c r="O41" i="3"/>
  <c r="R40" i="3"/>
  <c r="O40" i="3"/>
  <c r="R39" i="3"/>
  <c r="O39" i="3"/>
  <c r="R38" i="3"/>
  <c r="O38" i="3"/>
  <c r="R37" i="3"/>
  <c r="O37" i="3"/>
  <c r="R36" i="3"/>
  <c r="O36" i="3"/>
  <c r="R35" i="3"/>
  <c r="O35" i="3"/>
  <c r="R34" i="3"/>
  <c r="O34" i="3"/>
  <c r="R33" i="3"/>
  <c r="O33" i="3"/>
  <c r="R32" i="3"/>
  <c r="O32" i="3"/>
  <c r="R31" i="3"/>
  <c r="O31" i="3"/>
  <c r="R30" i="3"/>
  <c r="O30" i="3"/>
  <c r="R29" i="3"/>
  <c r="O29" i="3"/>
  <c r="R28" i="3"/>
  <c r="O28" i="3"/>
  <c r="R26" i="3"/>
  <c r="O26" i="3"/>
  <c r="R25" i="3"/>
  <c r="O25" i="3"/>
  <c r="R24" i="3"/>
  <c r="O24" i="3"/>
  <c r="R23" i="3"/>
  <c r="O23" i="3"/>
  <c r="R22" i="3"/>
  <c r="O22" i="3"/>
  <c r="R21" i="3"/>
  <c r="O21" i="3"/>
  <c r="R20" i="3"/>
  <c r="O20" i="3"/>
  <c r="R19" i="3"/>
  <c r="O19" i="3"/>
  <c r="R18" i="3"/>
  <c r="O18" i="3"/>
  <c r="R17" i="3"/>
  <c r="O17" i="3"/>
  <c r="R16" i="3"/>
  <c r="O16" i="3"/>
  <c r="R15" i="3"/>
  <c r="O15" i="3"/>
  <c r="R14" i="3"/>
  <c r="O14" i="3"/>
  <c r="R13" i="3"/>
  <c r="O13" i="3"/>
  <c r="R12" i="3"/>
  <c r="O12" i="3"/>
  <c r="R11" i="3"/>
  <c r="O11" i="3"/>
  <c r="R10" i="3"/>
  <c r="O10" i="3"/>
  <c r="R9" i="3"/>
  <c r="O9" i="3"/>
  <c r="R8" i="3"/>
  <c r="O8" i="3"/>
  <c r="R7" i="3"/>
  <c r="O7" i="3"/>
  <c r="R6" i="3"/>
  <c r="O6" i="3"/>
  <c r="R5" i="3"/>
  <c r="O5" i="3"/>
  <c r="R4" i="3"/>
  <c r="O4" i="3"/>
  <c r="R3" i="3"/>
  <c r="O3" i="3"/>
  <c r="R2" i="3"/>
  <c r="O2" i="3"/>
  <c r="K48" i="7" l="1"/>
  <c r="K47" i="7"/>
  <c r="I48" i="7"/>
  <c r="I47" i="7"/>
  <c r="G48" i="7"/>
  <c r="G47" i="7"/>
  <c r="H48" i="7"/>
  <c r="L47" i="7"/>
  <c r="G45" i="7"/>
  <c r="G37" i="7"/>
  <c r="F48" i="7"/>
  <c r="J47" i="7"/>
  <c r="F43" i="7"/>
  <c r="F39" i="7"/>
  <c r="E48" i="7"/>
  <c r="C19" i="7" s="1"/>
  <c r="H47" i="7"/>
  <c r="E45" i="7"/>
  <c r="E43" i="7"/>
  <c r="E39" i="7"/>
  <c r="M38" i="7"/>
  <c r="E37" i="7"/>
  <c r="F47" i="7"/>
  <c r="L39" i="7"/>
  <c r="E47" i="7"/>
  <c r="K43" i="7"/>
  <c r="K39" i="7"/>
  <c r="C14" i="7"/>
  <c r="I38" i="7"/>
  <c r="J46" i="7"/>
  <c r="J48" i="7"/>
  <c r="H37" i="7"/>
  <c r="H45" i="7"/>
  <c r="K46" i="7"/>
  <c r="L48" i="7"/>
  <c r="M48" i="7"/>
  <c r="J37" i="7"/>
  <c r="J45" i="7"/>
  <c r="H39" i="7"/>
  <c r="H43" i="7"/>
  <c r="M47" i="7"/>
  <c r="C37" i="7"/>
  <c r="D37" i="7" s="1"/>
  <c r="C38" i="7"/>
  <c r="D38" i="7" s="1"/>
  <c r="C39" i="7"/>
  <c r="D39" i="7" s="1"/>
  <c r="C40" i="7"/>
  <c r="D40" i="7" s="1"/>
  <c r="C41" i="7"/>
  <c r="D41" i="7" s="1"/>
  <c r="C42" i="7"/>
  <c r="D42" i="7" s="1"/>
  <c r="C43" i="7"/>
  <c r="D43" i="7" s="1"/>
  <c r="C44" i="7"/>
  <c r="D44" i="7" s="1"/>
  <c r="C45" i="7"/>
  <c r="D45" i="7" s="1"/>
  <c r="C46" i="7"/>
  <c r="D46" i="7" s="1"/>
  <c r="C12" i="7"/>
  <c r="D110" i="7" s="1"/>
  <c r="D22" i="7" l="1"/>
  <c r="C22" i="7"/>
  <c r="C20" i="7"/>
  <c r="D24" i="7"/>
  <c r="C25" i="7"/>
  <c r="E56" i="7"/>
  <c r="E84" i="7"/>
  <c r="C120" i="7"/>
  <c r="F77" i="7"/>
  <c r="B20" i="7"/>
  <c r="R14" i="4" s="1"/>
  <c r="H67" i="7"/>
  <c r="F82" i="7"/>
  <c r="H83" i="7"/>
  <c r="F73" i="7"/>
  <c r="Q48" i="7"/>
  <c r="H58" i="7"/>
  <c r="D67" i="7"/>
  <c r="E80" i="7"/>
  <c r="B120" i="7"/>
  <c r="F84" i="7"/>
  <c r="F103" i="7"/>
  <c r="E59" i="7"/>
  <c r="B25" i="7"/>
  <c r="F78" i="7"/>
  <c r="F80" i="7"/>
  <c r="D113" i="7"/>
  <c r="G59" i="7"/>
  <c r="F83" i="7"/>
  <c r="H82" i="7"/>
  <c r="H57" i="7"/>
  <c r="G57" i="7"/>
  <c r="D111" i="7"/>
  <c r="H75" i="7"/>
  <c r="F67" i="7"/>
  <c r="D58" i="7"/>
  <c r="C71" i="7"/>
  <c r="M71" i="7" s="1"/>
  <c r="D71" i="7"/>
  <c r="D73" i="7"/>
  <c r="B56" i="7"/>
  <c r="E111" i="7"/>
  <c r="F100" i="7"/>
  <c r="E103" i="7"/>
  <c r="B21" i="7"/>
  <c r="B150" i="7" s="1"/>
  <c r="D150" i="7" s="1"/>
  <c r="E150" i="7" s="1"/>
  <c r="G66" i="7"/>
  <c r="H76" i="7"/>
  <c r="F76" i="7"/>
  <c r="B27" i="7"/>
  <c r="B146" i="7" s="1"/>
  <c r="B57" i="7"/>
  <c r="M57" i="7" s="1"/>
  <c r="G58" i="7"/>
  <c r="G74" i="7"/>
  <c r="F58" i="7"/>
  <c r="C79" i="7"/>
  <c r="M79" i="7" s="1"/>
  <c r="E122" i="7"/>
  <c r="E57" i="7"/>
  <c r="C100" i="7"/>
  <c r="H84" i="7"/>
  <c r="C57" i="7"/>
  <c r="C70" i="7"/>
  <c r="G71" i="7"/>
  <c r="G82" i="7"/>
  <c r="B22" i="7"/>
  <c r="B151" i="7" s="1"/>
  <c r="D151" i="7" s="1"/>
  <c r="E151" i="7" s="1"/>
  <c r="I74" i="7"/>
  <c r="O74" i="7" s="1"/>
  <c r="F54" i="7"/>
  <c r="D84" i="7"/>
  <c r="F69" i="7"/>
  <c r="H60" i="7"/>
  <c r="D70" i="7"/>
  <c r="F70" i="7"/>
  <c r="H69" i="7"/>
  <c r="F75" i="7"/>
  <c r="C78" i="7"/>
  <c r="M78" i="7" s="1"/>
  <c r="G79" i="7"/>
  <c r="B112" i="7"/>
  <c r="Q47" i="7"/>
  <c r="P46" i="7"/>
  <c r="K42" i="7"/>
  <c r="D25" i="7" s="1"/>
  <c r="M42" i="7"/>
  <c r="D27" i="7" s="1"/>
  <c r="H81" i="7"/>
  <c r="F42" i="7"/>
  <c r="D20" i="7" s="1"/>
  <c r="E20" i="7" s="1"/>
  <c r="F20" i="7" s="1"/>
  <c r="B55" i="7"/>
  <c r="I82" i="7"/>
  <c r="O82" i="7" s="1"/>
  <c r="G43" i="7"/>
  <c r="C21" i="7" s="1"/>
  <c r="D56" i="7"/>
  <c r="H74" i="7"/>
  <c r="F110" i="7"/>
  <c r="D83" i="7"/>
  <c r="E112" i="7"/>
  <c r="G56" i="7"/>
  <c r="I69" i="7"/>
  <c r="O69" i="7" s="1"/>
  <c r="I77" i="7"/>
  <c r="O77" i="7" s="1"/>
  <c r="I85" i="7"/>
  <c r="O85" i="7" s="1"/>
  <c r="D114" i="7"/>
  <c r="E114" i="7"/>
  <c r="D57" i="7"/>
  <c r="E70" i="7"/>
  <c r="E78" i="7"/>
  <c r="F102" i="7"/>
  <c r="D85" i="7"/>
  <c r="B123" i="7"/>
  <c r="G60" i="7"/>
  <c r="E73" i="7"/>
  <c r="E81" i="7"/>
  <c r="C111" i="7"/>
  <c r="I44" i="7"/>
  <c r="G44" i="7"/>
  <c r="N37" i="7"/>
  <c r="R37" i="7"/>
  <c r="I67" i="7"/>
  <c r="O67" i="7" s="1"/>
  <c r="I75" i="7"/>
  <c r="O75" i="7" s="1"/>
  <c r="I83" i="7"/>
  <c r="O83" i="7" s="1"/>
  <c r="F120" i="7"/>
  <c r="I42" i="7"/>
  <c r="D23" i="7" s="1"/>
  <c r="L40" i="7"/>
  <c r="G54" i="7"/>
  <c r="D78" i="7"/>
  <c r="H77" i="7"/>
  <c r="B24" i="7"/>
  <c r="K44" i="7"/>
  <c r="D72" i="7"/>
  <c r="B101" i="7"/>
  <c r="L41" i="7"/>
  <c r="H70" i="7"/>
  <c r="B113" i="7"/>
  <c r="M39" i="7"/>
  <c r="M43" i="7"/>
  <c r="C27" i="7" s="1"/>
  <c r="E27" i="7" s="1"/>
  <c r="F27" i="7" s="1"/>
  <c r="I70" i="7"/>
  <c r="O70" i="7" s="1"/>
  <c r="B23" i="7"/>
  <c r="F44" i="7"/>
  <c r="B58" i="7"/>
  <c r="D80" i="7"/>
  <c r="J41" i="7"/>
  <c r="I66" i="7"/>
  <c r="H41" i="7"/>
  <c r="H66" i="7"/>
  <c r="F121" i="7"/>
  <c r="H46" i="7"/>
  <c r="F59" i="7"/>
  <c r="H78" i="7"/>
  <c r="K37" i="7"/>
  <c r="P37" i="7" s="1"/>
  <c r="K45" i="7"/>
  <c r="P45" i="7" s="1"/>
  <c r="I78" i="7"/>
  <c r="O78" i="7" s="1"/>
  <c r="C112" i="7"/>
  <c r="L42" i="7"/>
  <c r="D26" i="7" s="1"/>
  <c r="F71" i="7"/>
  <c r="C124" i="7"/>
  <c r="E40" i="7"/>
  <c r="E44" i="7"/>
  <c r="H71" i="7"/>
  <c r="F37" i="7"/>
  <c r="F45" i="7"/>
  <c r="H72" i="7"/>
  <c r="G38" i="7"/>
  <c r="G46" i="7"/>
  <c r="C59" i="7"/>
  <c r="D77" i="7"/>
  <c r="C113" i="7"/>
  <c r="E100" i="7"/>
  <c r="F123" i="7"/>
  <c r="H59" i="7"/>
  <c r="G72" i="7"/>
  <c r="G80" i="7"/>
  <c r="D102" i="7"/>
  <c r="F101" i="7"/>
  <c r="I46" i="7"/>
  <c r="E60" i="7"/>
  <c r="C73" i="7"/>
  <c r="C81" i="7"/>
  <c r="B110" i="7"/>
  <c r="C110" i="7"/>
  <c r="E54" i="7"/>
  <c r="C68" i="7"/>
  <c r="C76" i="7"/>
  <c r="C84" i="7"/>
  <c r="E121" i="7"/>
  <c r="M56" i="7"/>
  <c r="F56" i="7"/>
  <c r="E110" i="7"/>
  <c r="I40" i="7"/>
  <c r="H44" i="7"/>
  <c r="G55" i="7"/>
  <c r="F68" i="7"/>
  <c r="J42" i="7"/>
  <c r="E68" i="7"/>
  <c r="N45" i="7"/>
  <c r="R45" i="7"/>
  <c r="C58" i="7"/>
  <c r="E76" i="7"/>
  <c r="D112" i="7"/>
  <c r="H85" i="7"/>
  <c r="C114" i="7"/>
  <c r="E58" i="7"/>
  <c r="E71" i="7"/>
  <c r="E79" i="7"/>
  <c r="E101" i="7"/>
  <c r="F124" i="7"/>
  <c r="B121" i="7"/>
  <c r="B59" i="7"/>
  <c r="I72" i="7"/>
  <c r="O72" i="7" s="1"/>
  <c r="I80" i="7"/>
  <c r="O80" i="7" s="1"/>
  <c r="D104" i="7"/>
  <c r="E104" i="7"/>
  <c r="J44" i="7"/>
  <c r="G77" i="7"/>
  <c r="H40" i="7"/>
  <c r="I45" i="7"/>
  <c r="O45" i="7" s="1"/>
  <c r="F60" i="7"/>
  <c r="J38" i="7"/>
  <c r="D60" i="7"/>
  <c r="G85" i="7"/>
  <c r="J43" i="7"/>
  <c r="P43" i="7" s="1"/>
  <c r="H56" i="7"/>
  <c r="F79" i="7"/>
  <c r="K38" i="7"/>
  <c r="L46" i="7"/>
  <c r="H79" i="7"/>
  <c r="D123" i="7"/>
  <c r="L43" i="7"/>
  <c r="C26" i="7" s="1"/>
  <c r="E72" i="7"/>
  <c r="B26" i="7"/>
  <c r="M40" i="7"/>
  <c r="M44" i="7"/>
  <c r="F72" i="7"/>
  <c r="F38" i="7"/>
  <c r="F46" i="7"/>
  <c r="G73" i="7"/>
  <c r="G39" i="7"/>
  <c r="B60" i="7"/>
  <c r="F85" i="7"/>
  <c r="B114" i="7"/>
  <c r="D101" i="7"/>
  <c r="E124" i="7"/>
  <c r="C60" i="7"/>
  <c r="I73" i="7"/>
  <c r="O73" i="7" s="1"/>
  <c r="I81" i="7"/>
  <c r="O81" i="7" s="1"/>
  <c r="C103" i="7"/>
  <c r="E102" i="7"/>
  <c r="E66" i="7"/>
  <c r="E74" i="7"/>
  <c r="E82" i="7"/>
  <c r="F114" i="7"/>
  <c r="B111" i="7"/>
  <c r="H55" i="7"/>
  <c r="E69" i="7"/>
  <c r="E77" i="7"/>
  <c r="E85" i="7"/>
  <c r="D122" i="7"/>
  <c r="I41" i="7"/>
  <c r="P47" i="7"/>
  <c r="F74" i="7"/>
  <c r="G40" i="7"/>
  <c r="D66" i="7"/>
  <c r="D100" i="7"/>
  <c r="F122" i="7"/>
  <c r="C102" i="7"/>
  <c r="O47" i="7"/>
  <c r="R47" i="7"/>
  <c r="N47" i="7"/>
  <c r="C66" i="7"/>
  <c r="C74" i="7"/>
  <c r="C82" i="7"/>
  <c r="B104" i="7"/>
  <c r="D103" i="7"/>
  <c r="G67" i="7"/>
  <c r="G75" i="7"/>
  <c r="G83" i="7"/>
  <c r="D120" i="7"/>
  <c r="E120" i="7"/>
  <c r="C56" i="7"/>
  <c r="G70" i="7"/>
  <c r="G78" i="7"/>
  <c r="B100" i="7"/>
  <c r="C123" i="7"/>
  <c r="H42" i="7"/>
  <c r="L44" i="7"/>
  <c r="E41" i="7"/>
  <c r="J40" i="7"/>
  <c r="D69" i="7"/>
  <c r="D79" i="7"/>
  <c r="I37" i="7"/>
  <c r="E55" i="7"/>
  <c r="H54" i="7"/>
  <c r="D68" i="7"/>
  <c r="J39" i="7"/>
  <c r="P39" i="7" s="1"/>
  <c r="I43" i="7"/>
  <c r="C23" i="7" s="1"/>
  <c r="D81" i="7"/>
  <c r="K40" i="7"/>
  <c r="H68" i="7"/>
  <c r="F81" i="7"/>
  <c r="L37" i="7"/>
  <c r="L45" i="7"/>
  <c r="H80" i="7"/>
  <c r="M37" i="7"/>
  <c r="M41" i="7"/>
  <c r="M45" i="7"/>
  <c r="Q45" i="7" s="1"/>
  <c r="D74" i="7"/>
  <c r="F40" i="7"/>
  <c r="D75" i="7"/>
  <c r="G41" i="7"/>
  <c r="D54" i="7"/>
  <c r="C67" i="7"/>
  <c r="C101" i="7"/>
  <c r="E123" i="7"/>
  <c r="B103" i="7"/>
  <c r="O48" i="7"/>
  <c r="R48" i="7"/>
  <c r="N48" i="7"/>
  <c r="E67" i="7"/>
  <c r="E75" i="7"/>
  <c r="E83" i="7"/>
  <c r="F112" i="7"/>
  <c r="C104" i="7"/>
  <c r="C54" i="7"/>
  <c r="I68" i="7"/>
  <c r="O68" i="7" s="1"/>
  <c r="I76" i="7"/>
  <c r="O76" i="7" s="1"/>
  <c r="I84" i="7"/>
  <c r="O84" i="7" s="1"/>
  <c r="C121" i="7"/>
  <c r="D121" i="7"/>
  <c r="F57" i="7"/>
  <c r="I71" i="7"/>
  <c r="O71" i="7" s="1"/>
  <c r="I79" i="7"/>
  <c r="O79" i="7" s="1"/>
  <c r="F104" i="7"/>
  <c r="B124" i="7"/>
  <c r="B19" i="7"/>
  <c r="P48" i="7"/>
  <c r="C31" i="7" s="1"/>
  <c r="F66" i="7"/>
  <c r="H38" i="7"/>
  <c r="I39" i="7"/>
  <c r="C83" i="7"/>
  <c r="K41" i="7"/>
  <c r="G69" i="7"/>
  <c r="D82" i="7"/>
  <c r="L38" i="7"/>
  <c r="M46" i="7"/>
  <c r="G81" i="7"/>
  <c r="E38" i="7"/>
  <c r="E42" i="7"/>
  <c r="D19" i="7" s="1"/>
  <c r="E19" i="7" s="1"/>
  <c r="F19" i="7" s="1"/>
  <c r="E46" i="7"/>
  <c r="C75" i="7"/>
  <c r="F41" i="7"/>
  <c r="B54" i="7"/>
  <c r="D76" i="7"/>
  <c r="G42" i="7"/>
  <c r="D21" i="7" s="1"/>
  <c r="C55" i="7"/>
  <c r="H73" i="7"/>
  <c r="B102" i="7"/>
  <c r="D124" i="7"/>
  <c r="F111" i="7"/>
  <c r="D55" i="7"/>
  <c r="G68" i="7"/>
  <c r="G76" i="7"/>
  <c r="G84" i="7"/>
  <c r="E113" i="7"/>
  <c r="F113" i="7"/>
  <c r="F55" i="7"/>
  <c r="C69" i="7"/>
  <c r="C77" i="7"/>
  <c r="C85" i="7"/>
  <c r="B122" i="7"/>
  <c r="C122" i="7"/>
  <c r="D59" i="7"/>
  <c r="C72" i="7"/>
  <c r="C80" i="7"/>
  <c r="E25" i="7" l="1"/>
  <c r="F25" i="7" s="1"/>
  <c r="L82" i="7"/>
  <c r="L84" i="7"/>
  <c r="J123" i="7"/>
  <c r="E23" i="7"/>
  <c r="F23" i="7" s="1"/>
  <c r="E26" i="7"/>
  <c r="F26" i="7" s="1"/>
  <c r="E22" i="7"/>
  <c r="F22" i="7" s="1"/>
  <c r="I56" i="7"/>
  <c r="J56" i="7"/>
  <c r="K78" i="7"/>
  <c r="E21" i="7"/>
  <c r="F21" i="7" s="1"/>
  <c r="C24" i="7"/>
  <c r="E24" i="7" s="1"/>
  <c r="F24" i="7" s="1"/>
  <c r="D31" i="7"/>
  <c r="E31" i="7" s="1"/>
  <c r="F31" i="7" s="1"/>
  <c r="D30" i="7"/>
  <c r="K56" i="7"/>
  <c r="N56" i="7" s="1"/>
  <c r="B31" i="7"/>
  <c r="L79" i="7"/>
  <c r="L83" i="7"/>
  <c r="G120" i="7"/>
  <c r="J100" i="7"/>
  <c r="L67" i="7"/>
  <c r="J112" i="7"/>
  <c r="J78" i="7"/>
  <c r="N78" i="7"/>
  <c r="C148" i="7"/>
  <c r="B143" i="7"/>
  <c r="B145" i="7"/>
  <c r="I57" i="7"/>
  <c r="B28" i="7"/>
  <c r="N14" i="4" s="1"/>
  <c r="L74" i="7"/>
  <c r="H120" i="7"/>
  <c r="L75" i="7"/>
  <c r="J103" i="7"/>
  <c r="B149" i="7"/>
  <c r="K71" i="7"/>
  <c r="L81" i="7"/>
  <c r="B30" i="7"/>
  <c r="F14" i="4" s="1"/>
  <c r="Q46" i="7"/>
  <c r="B141" i="7"/>
  <c r="L78" i="7"/>
  <c r="G112" i="7"/>
  <c r="F10" i="4"/>
  <c r="B142" i="7"/>
  <c r="L70" i="7"/>
  <c r="J79" i="7"/>
  <c r="J113" i="7"/>
  <c r="J111" i="7"/>
  <c r="B144" i="7"/>
  <c r="L71" i="7"/>
  <c r="J114" i="7"/>
  <c r="N79" i="7"/>
  <c r="J71" i="7"/>
  <c r="N71" i="7"/>
  <c r="K79" i="7"/>
  <c r="K59" i="7"/>
  <c r="N59" i="7" s="1"/>
  <c r="L69" i="7"/>
  <c r="L76" i="7"/>
  <c r="B29" i="7"/>
  <c r="B14" i="4" s="1"/>
  <c r="H49" i="7"/>
  <c r="K57" i="7"/>
  <c r="N57" i="7" s="1"/>
  <c r="K70" i="7"/>
  <c r="J10" i="4"/>
  <c r="J57" i="7"/>
  <c r="M70" i="7"/>
  <c r="P42" i="7"/>
  <c r="D115" i="7"/>
  <c r="L68" i="7"/>
  <c r="P40" i="7"/>
  <c r="F61" i="7"/>
  <c r="D61" i="7"/>
  <c r="N70" i="7"/>
  <c r="J70" i="7"/>
  <c r="L77" i="7"/>
  <c r="J104" i="7"/>
  <c r="H61" i="7"/>
  <c r="L72" i="7"/>
  <c r="B125" i="7"/>
  <c r="C145" i="7" s="1"/>
  <c r="Q43" i="7"/>
  <c r="C28" i="7" s="1"/>
  <c r="E49" i="7"/>
  <c r="L49" i="7"/>
  <c r="P44" i="7"/>
  <c r="I49" i="7"/>
  <c r="L85" i="7"/>
  <c r="F86" i="7"/>
  <c r="P38" i="7"/>
  <c r="G49" i="7"/>
  <c r="B148" i="7" s="1"/>
  <c r="C105" i="7"/>
  <c r="C125" i="7"/>
  <c r="M75" i="7"/>
  <c r="N75" i="7"/>
  <c r="K75" i="7"/>
  <c r="J75" i="7"/>
  <c r="H122" i="7"/>
  <c r="G122" i="7"/>
  <c r="M85" i="7"/>
  <c r="K85" i="7"/>
  <c r="J85" i="7"/>
  <c r="N85" i="7"/>
  <c r="M77" i="7"/>
  <c r="K77" i="7"/>
  <c r="N77" i="7"/>
  <c r="J77" i="7"/>
  <c r="B61" i="7"/>
  <c r="B130" i="7" s="1"/>
  <c r="M54" i="7"/>
  <c r="I54" i="7"/>
  <c r="J54" i="7"/>
  <c r="M69" i="7"/>
  <c r="K69" i="7"/>
  <c r="N69" i="7"/>
  <c r="J69" i="7"/>
  <c r="C149" i="7"/>
  <c r="B10" i="4"/>
  <c r="M67" i="7"/>
  <c r="N67" i="7"/>
  <c r="K67" i="7"/>
  <c r="J67" i="7"/>
  <c r="M49" i="7"/>
  <c r="Q37" i="7"/>
  <c r="L73" i="7"/>
  <c r="C115" i="7"/>
  <c r="L80" i="7"/>
  <c r="O46" i="7"/>
  <c r="N46" i="7"/>
  <c r="R46" i="7"/>
  <c r="I58" i="7"/>
  <c r="M58" i="7"/>
  <c r="J58" i="7"/>
  <c r="F125" i="7"/>
  <c r="J120" i="7"/>
  <c r="H110" i="7"/>
  <c r="B115" i="7"/>
  <c r="G110" i="7"/>
  <c r="O38" i="7"/>
  <c r="N38" i="7"/>
  <c r="R38" i="7"/>
  <c r="H101" i="7"/>
  <c r="G101" i="7"/>
  <c r="B134" i="7"/>
  <c r="O44" i="7"/>
  <c r="N44" i="7"/>
  <c r="R44" i="7"/>
  <c r="F115" i="7"/>
  <c r="J110" i="7"/>
  <c r="Q42" i="7"/>
  <c r="D28" i="7" s="1"/>
  <c r="H102" i="7"/>
  <c r="G102" i="7"/>
  <c r="H124" i="7"/>
  <c r="G124" i="7"/>
  <c r="O41" i="7"/>
  <c r="N41" i="7"/>
  <c r="R41" i="7"/>
  <c r="H100" i="7"/>
  <c r="B105" i="7"/>
  <c r="G100" i="7"/>
  <c r="B6" i="5"/>
  <c r="K58" i="7"/>
  <c r="N58" i="7" s="1"/>
  <c r="M81" i="7"/>
  <c r="K81" i="7"/>
  <c r="J81" i="7"/>
  <c r="N81" i="7"/>
  <c r="J121" i="7"/>
  <c r="B152" i="7"/>
  <c r="D152" i="7" s="1"/>
  <c r="E152" i="7" s="1"/>
  <c r="N10" i="4"/>
  <c r="Q38" i="7"/>
  <c r="K72" i="7"/>
  <c r="J72" i="7"/>
  <c r="N72" i="7"/>
  <c r="M72" i="7"/>
  <c r="M83" i="7"/>
  <c r="N83" i="7"/>
  <c r="K83" i="7"/>
  <c r="J83" i="7"/>
  <c r="E86" i="7"/>
  <c r="E115" i="7"/>
  <c r="M73" i="7"/>
  <c r="K73" i="7"/>
  <c r="N73" i="7"/>
  <c r="J73" i="7"/>
  <c r="H86" i="7"/>
  <c r="H123" i="7"/>
  <c r="G123" i="7"/>
  <c r="C61" i="7"/>
  <c r="K55" i="7"/>
  <c r="N55" i="7" s="1"/>
  <c r="H104" i="7"/>
  <c r="G104" i="7"/>
  <c r="J122" i="7"/>
  <c r="H114" i="7"/>
  <c r="G114" i="7"/>
  <c r="Q44" i="7"/>
  <c r="J59" i="7"/>
  <c r="M59" i="7"/>
  <c r="I59" i="7"/>
  <c r="K84" i="7"/>
  <c r="J84" i="7"/>
  <c r="N84" i="7"/>
  <c r="M84" i="7"/>
  <c r="K60" i="7"/>
  <c r="N60" i="7" s="1"/>
  <c r="E105" i="7"/>
  <c r="F49" i="7"/>
  <c r="R10" i="4"/>
  <c r="O43" i="7"/>
  <c r="C30" i="7" s="1"/>
  <c r="N43" i="7"/>
  <c r="C29" i="7" s="1"/>
  <c r="R43" i="7"/>
  <c r="O42" i="7"/>
  <c r="N42" i="7"/>
  <c r="D29" i="7" s="1"/>
  <c r="R42" i="7"/>
  <c r="G103" i="7"/>
  <c r="H103" i="7"/>
  <c r="M82" i="7"/>
  <c r="K82" i="7"/>
  <c r="J82" i="7"/>
  <c r="N82" i="7"/>
  <c r="D105" i="7"/>
  <c r="J49" i="7"/>
  <c r="Q40" i="7"/>
  <c r="H121" i="7"/>
  <c r="G121" i="7"/>
  <c r="K76" i="7"/>
  <c r="N76" i="7"/>
  <c r="M76" i="7"/>
  <c r="J76" i="7"/>
  <c r="O66" i="7"/>
  <c r="I86" i="7"/>
  <c r="Q39" i="7"/>
  <c r="B11" i="5"/>
  <c r="L66" i="7"/>
  <c r="J102" i="7"/>
  <c r="K80" i="7"/>
  <c r="M80" i="7"/>
  <c r="J80" i="7"/>
  <c r="N80" i="7"/>
  <c r="E125" i="7"/>
  <c r="M74" i="7"/>
  <c r="K74" i="7"/>
  <c r="N74" i="7"/>
  <c r="J74" i="7"/>
  <c r="D86" i="7"/>
  <c r="M60" i="7"/>
  <c r="J60" i="7"/>
  <c r="I60" i="7"/>
  <c r="J14" i="4"/>
  <c r="B147" i="7"/>
  <c r="J124" i="7"/>
  <c r="H112" i="7"/>
  <c r="K68" i="7"/>
  <c r="N68" i="7"/>
  <c r="M68" i="7"/>
  <c r="J68" i="7"/>
  <c r="J101" i="7"/>
  <c r="K49" i="7"/>
  <c r="P41" i="7"/>
  <c r="H113" i="7"/>
  <c r="G113" i="7"/>
  <c r="G86" i="7"/>
  <c r="M55" i="7"/>
  <c r="J55" i="7"/>
  <c r="I55" i="7"/>
  <c r="Q41" i="7"/>
  <c r="D125" i="7"/>
  <c r="M66" i="7"/>
  <c r="K66" i="7"/>
  <c r="C86" i="7"/>
  <c r="C142" i="7" s="1"/>
  <c r="N66" i="7"/>
  <c r="J66" i="7"/>
  <c r="O40" i="7"/>
  <c r="N40" i="7"/>
  <c r="R40" i="7"/>
  <c r="H111" i="7"/>
  <c r="G111" i="7"/>
  <c r="O39" i="7"/>
  <c r="N39" i="7"/>
  <c r="R39" i="7"/>
  <c r="F105" i="7"/>
  <c r="K54" i="7"/>
  <c r="E61" i="7"/>
  <c r="G61" i="7"/>
  <c r="C147" i="7" s="1"/>
  <c r="O37" i="7"/>
  <c r="B17" i="4" l="1"/>
  <c r="E28" i="7"/>
  <c r="F28" i="7" s="1"/>
  <c r="E30" i="7"/>
  <c r="F30" i="7" s="1"/>
  <c r="E29" i="7"/>
  <c r="F29" i="7" s="1"/>
  <c r="D148" i="7"/>
  <c r="E148" i="7" s="1"/>
  <c r="D145" i="7"/>
  <c r="E145" i="7" s="1"/>
  <c r="D149" i="7"/>
  <c r="E149" i="7" s="1"/>
  <c r="D142" i="7"/>
  <c r="E142" i="7" s="1"/>
  <c r="I120" i="7"/>
  <c r="B13" i="5"/>
  <c r="I121" i="7"/>
  <c r="K61" i="7"/>
  <c r="H125" i="7"/>
  <c r="I122" i="7"/>
  <c r="Q49" i="7"/>
  <c r="I123" i="7"/>
  <c r="J125" i="7"/>
  <c r="G125" i="7"/>
  <c r="I124" i="7"/>
  <c r="D147" i="7"/>
  <c r="E147" i="7" s="1"/>
  <c r="N49" i="7"/>
  <c r="B135" i="7"/>
  <c r="O49" i="7"/>
  <c r="J115" i="7"/>
  <c r="P49" i="7"/>
  <c r="I101" i="7"/>
  <c r="I100" i="7"/>
  <c r="H105" i="7"/>
  <c r="I104" i="7"/>
  <c r="C143" i="7"/>
  <c r="D143" i="7" s="1"/>
  <c r="E143" i="7" s="1"/>
  <c r="G105" i="7"/>
  <c r="I103" i="7"/>
  <c r="I102" i="7"/>
  <c r="N54" i="7"/>
  <c r="B136" i="7" s="1"/>
  <c r="B92" i="7"/>
  <c r="C92" i="7" s="1"/>
  <c r="B93" i="7"/>
  <c r="C93" i="7" s="1"/>
  <c r="B94" i="7"/>
  <c r="C94" i="7" s="1"/>
  <c r="B95" i="7"/>
  <c r="C95" i="7" s="1"/>
  <c r="B91" i="7"/>
  <c r="C146" i="7"/>
  <c r="D146" i="7" s="1"/>
  <c r="E146" i="7" s="1"/>
  <c r="J105" i="7"/>
  <c r="F94" i="7"/>
  <c r="G94" i="7" s="1"/>
  <c r="F95" i="7"/>
  <c r="G95" i="7" s="1"/>
  <c r="F91" i="7"/>
  <c r="G91" i="7" s="1"/>
  <c r="F92" i="7"/>
  <c r="G92" i="7" s="1"/>
  <c r="F93" i="7"/>
  <c r="G93" i="7" s="1"/>
  <c r="B131" i="7"/>
  <c r="G115" i="7"/>
  <c r="I113" i="7"/>
  <c r="I112" i="7"/>
  <c r="C144" i="7"/>
  <c r="D144" i="7" s="1"/>
  <c r="E144" i="7" s="1"/>
  <c r="I111" i="7"/>
  <c r="I110" i="7"/>
  <c r="H115" i="7"/>
  <c r="I114" i="7"/>
  <c r="J61" i="7"/>
  <c r="L59" i="7"/>
  <c r="L57" i="7"/>
  <c r="L55" i="7"/>
  <c r="C141" i="7"/>
  <c r="D141" i="7" s="1"/>
  <c r="E141" i="7" s="1"/>
  <c r="L60" i="7"/>
  <c r="L58" i="7"/>
  <c r="L56" i="7"/>
  <c r="L54" i="7"/>
  <c r="I61" i="7"/>
  <c r="D93" i="7"/>
  <c r="E93" i="7" s="1"/>
  <c r="D94" i="7"/>
  <c r="E94" i="7" s="1"/>
  <c r="D95" i="7"/>
  <c r="E95" i="7" s="1"/>
  <c r="D91" i="7"/>
  <c r="D92" i="7"/>
  <c r="E92" i="7" s="1"/>
  <c r="I125" i="7" l="1"/>
  <c r="B153" i="7"/>
  <c r="B7" i="4" s="1"/>
  <c r="L61" i="7"/>
  <c r="C91" i="7"/>
  <c r="B132" i="7" s="1"/>
  <c r="E91" i="7"/>
  <c r="B133" i="7" s="1"/>
  <c r="I115" i="7"/>
  <c r="B5" i="5"/>
  <c r="I105" i="7"/>
  <c r="B8" i="5" l="1"/>
</calcChain>
</file>

<file path=xl/sharedStrings.xml><?xml version="1.0" encoding="utf-8"?>
<sst xmlns="http://schemas.openxmlformats.org/spreadsheetml/2006/main" count="24382" uniqueCount="2274">
  <si>
    <t>Requirement</t>
  </si>
  <si>
    <t>Details</t>
  </si>
  <si>
    <t>Client / Retail Store</t>
  </si>
  <si>
    <t>Mega Market</t>
  </si>
  <si>
    <t>Raw Dataset</t>
  </si>
  <si>
    <t>2,000+ retail transaction rows; raw data may contain duplicates, blanks, inconsistent text formatting, mixed data types, and other realistic data-quality issues.</t>
  </si>
  <si>
    <t>Deliverable 1 — Data Cleaning</t>
  </si>
  <si>
    <t>Clean duplicates; standardize product/category/payment/customer/city text; handle missing values; convert dates and numeric fields to consistent formats; validate quantities and financial calculations.</t>
  </si>
  <si>
    <t>Deliverable 2 — Data Organization</t>
  </si>
  <si>
    <t>Create a structured, analysis-ready dataset with consistent column names, logical ordering, and calculated fields such as Net Qty, Net Sales, Gross Profit, and Net Profit.</t>
  </si>
  <si>
    <t>Deliverable 3 — Formatting</t>
  </si>
  <si>
    <t>Apply professional Excel formatting: headers, currency/percentage/number/date formats, filters, freeze panes, readable column widths, and conditional formatting where useful.</t>
  </si>
  <si>
    <t>Deliverable 4 — HTML Dashboard</t>
  </si>
  <si>
    <t>Create a professional interactive HTML dashboard for Mega Market using the cleaned data. Include KPI cards, sales/profit trends, product/category analysis, and useful filters/charts.</t>
  </si>
  <si>
    <t>Dashboard KPI Requirements</t>
  </si>
  <si>
    <t>Total Sales, Net Sales, Gross Profit, Net Profit, Total Quantity Sold, Average Order Value, Return Rate, and Gross/Net Profit Margin.</t>
  </si>
  <si>
    <t>Product Analysis</t>
  </si>
  <si>
    <t>Identify highest-selling product, lowest-selling product, highest-revenue product, lowest-revenue product, and products with weak sales performance.</t>
  </si>
  <si>
    <t>Category Analysis</t>
  </si>
  <si>
    <t>Compare categories by Net Sales, Quantity, Gross Profit, Net Profit, and margins. Highlight strong and weak categories.</t>
  </si>
  <si>
    <t>Trend Analysis</t>
  </si>
  <si>
    <t>Show monthly Net Sales, Gross Profit, Net Profit, and transaction/order trends. Identify peak and weak periods.</t>
  </si>
  <si>
    <t>Customer &amp; Payment Analysis</t>
  </si>
  <si>
    <t>Analyze customer type, payment method, and city contribution to sales.</t>
  </si>
  <si>
    <t>Returns Analysis</t>
  </si>
  <si>
    <t>Measure return quantity/value and return rate; identify products/categories with relatively high returns.</t>
  </si>
  <si>
    <t>Key Insights</t>
  </si>
  <si>
    <t>Provide concise, data-backed insights explaining major sales/profit drivers, weak performers, trends, returns, and customer/payment patterns.</t>
  </si>
  <si>
    <t>Recommendations</t>
  </si>
  <si>
    <t>Give actionable recommendations such as inventory focus, promotion opportunities, pricing/discount review, return reduction, category strategy, and customer retention ideas.</t>
  </si>
  <si>
    <t>Quality Check</t>
  </si>
  <si>
    <t>Final cleaned data should be internally consistent, formulas/calculations should reconcile, and dashboard figures should match the cleaned dataset.</t>
  </si>
  <si>
    <t>Expected Final Files</t>
  </si>
  <si>
    <t>1) Cleaned Excel workbook  2) Interactive HTML dashboard  3) Key Insights &amp; Recommendations section/report.</t>
  </si>
  <si>
    <t>Important</t>
  </si>
  <si>
    <t>Do not change valid business values merely to make the dataset look perfect. Document assumptions used while cleaning missing or inconsistent values.</t>
  </si>
  <si>
    <t>Invoice ID</t>
  </si>
  <si>
    <t>Date</t>
  </si>
  <si>
    <t>Product</t>
  </si>
  <si>
    <t>Category</t>
  </si>
  <si>
    <t>Qty</t>
  </si>
  <si>
    <t>Unit Price (₹)</t>
  </si>
  <si>
    <t>Discount (%)</t>
  </si>
  <si>
    <t>Sales (₹)</t>
  </si>
  <si>
    <t>Return Qty</t>
  </si>
  <si>
    <t>Sales Return (₹)</t>
  </si>
  <si>
    <t>Net Qty</t>
  </si>
  <si>
    <t>Net Sales (₹)</t>
  </si>
  <si>
    <t>COGS (₹)</t>
  </si>
  <si>
    <t>Gross Profit (₹)</t>
  </si>
  <si>
    <t>Operating Expense (₹)</t>
  </si>
  <si>
    <t>Net Profit (₹)</t>
  </si>
  <si>
    <t>Customer Type</t>
  </si>
  <si>
    <t>Payment Method</t>
  </si>
  <si>
    <t>City</t>
  </si>
  <si>
    <t>MM-0001</t>
  </si>
  <si>
    <t>Biscuits Pack</t>
  </si>
  <si>
    <t>Snacks</t>
  </si>
  <si>
    <t>5</t>
  </si>
  <si>
    <t>Member</t>
  </si>
  <si>
    <t>Card</t>
  </si>
  <si>
    <t>Ghaziabad</t>
  </si>
  <si>
    <t>MM-0002</t>
  </si>
  <si>
    <t>Cooking Oil 1L</t>
  </si>
  <si>
    <t>Groceries</t>
  </si>
  <si>
    <t>Walk-in</t>
  </si>
  <si>
    <t>Cash</t>
  </si>
  <si>
    <t>Delhi</t>
  </si>
  <si>
    <t>MM-0003</t>
  </si>
  <si>
    <t>Shampoo 340ml</t>
  </si>
  <si>
    <t>Personal Care</t>
  </si>
  <si>
    <t>Noida</t>
  </si>
  <si>
    <t>MM-0004</t>
  </si>
  <si>
    <t>Laundry Detergent 2kg</t>
  </si>
  <si>
    <t>Household</t>
  </si>
  <si>
    <t>Regular</t>
  </si>
  <si>
    <t>Gurugram</t>
  </si>
  <si>
    <t>MM-0005</t>
  </si>
  <si>
    <t>LED Bulb 9W</t>
  </si>
  <si>
    <t>Electronics</t>
  </si>
  <si>
    <t>MM-0006</t>
  </si>
  <si>
    <t>New</t>
  </si>
  <si>
    <t>UPI</t>
  </si>
  <si>
    <t>MM-0007</t>
  </si>
  <si>
    <t>Soft Drink 750ml</t>
  </si>
  <si>
    <t>Beverages</t>
  </si>
  <si>
    <t>Wallet</t>
  </si>
  <si>
    <t>MM-0008</t>
  </si>
  <si>
    <t>Potato Chips</t>
  </si>
  <si>
    <t>MM-0009</t>
  </si>
  <si>
    <t>Soap Bar</t>
  </si>
  <si>
    <t>MM-0010</t>
  </si>
  <si>
    <t>Batteries Pack</t>
  </si>
  <si>
    <t>MM-0011</t>
  </si>
  <si>
    <t>MM-0012</t>
  </si>
  <si>
    <t>Sugar 1kg</t>
  </si>
  <si>
    <t>MM-0013</t>
  </si>
  <si>
    <t>Chocolate Bar</t>
  </si>
  <si>
    <t>MM-0014</t>
  </si>
  <si>
    <t>MM-0015</t>
  </si>
  <si>
    <t>Wheat Flour 5kg</t>
  </si>
  <si>
    <t>MM-0016</t>
  </si>
  <si>
    <t>MM-0017</t>
  </si>
  <si>
    <t>MM-0018</t>
  </si>
  <si>
    <t>Notebook</t>
  </si>
  <si>
    <t>Stationery</t>
  </si>
  <si>
    <t>MM-0019</t>
  </si>
  <si>
    <t>Floor Cleaner 1L</t>
  </si>
  <si>
    <t>MM-0020</t>
  </si>
  <si>
    <t>Coffee 200g</t>
  </si>
  <si>
    <t>beverages</t>
  </si>
  <si>
    <t>MM-0021</t>
  </si>
  <si>
    <t>MM-0022</t>
  </si>
  <si>
    <t>MM-0023</t>
  </si>
  <si>
    <t>Rice 5kg</t>
  </si>
  <si>
    <t>4</t>
  </si>
  <si>
    <t>MM-0024</t>
  </si>
  <si>
    <t>Dishwash Liquid 500ml</t>
  </si>
  <si>
    <t>MM-0025</t>
  </si>
  <si>
    <t>MM-0026</t>
  </si>
  <si>
    <t>MM-0027</t>
  </si>
  <si>
    <t>Toothpaste 150g</t>
  </si>
  <si>
    <t>MM-0028</t>
  </si>
  <si>
    <t>MM-0029</t>
  </si>
  <si>
    <t>MM-0030</t>
  </si>
  <si>
    <t>Tea 250g</t>
  </si>
  <si>
    <t>MM-0031</t>
  </si>
  <si>
    <t>MM-0032</t>
  </si>
  <si>
    <t>groceries</t>
  </si>
  <si>
    <t>MM-0033</t>
  </si>
  <si>
    <t>MM-0034</t>
  </si>
  <si>
    <t>MM-0035</t>
  </si>
  <si>
    <t>MM-0036</t>
  </si>
  <si>
    <t>MM-0037</t>
  </si>
  <si>
    <t>MM-0038</t>
  </si>
  <si>
    <t>MM-0039</t>
  </si>
  <si>
    <t>MM-0040</t>
  </si>
  <si>
    <t>MM-0041</t>
  </si>
  <si>
    <t>MM-0042</t>
  </si>
  <si>
    <t>MM-0043</t>
  </si>
  <si>
    <t>MM-0044</t>
  </si>
  <si>
    <t>MM-0045</t>
  </si>
  <si>
    <t>MM-0046</t>
  </si>
  <si>
    <t>MM-0047</t>
  </si>
  <si>
    <t>MM-0048</t>
  </si>
  <si>
    <t>MM-0049</t>
  </si>
  <si>
    <t>MM-0050</t>
  </si>
  <si>
    <t xml:space="preserve"> Wallet </t>
  </si>
  <si>
    <t>MM-0051</t>
  </si>
  <si>
    <t>MM-0052</t>
  </si>
  <si>
    <t>MM-0053</t>
  </si>
  <si>
    <t>MM-0054</t>
  </si>
  <si>
    <t>MM-0055</t>
  </si>
  <si>
    <t>snacks</t>
  </si>
  <si>
    <t>MM-0056</t>
  </si>
  <si>
    <t>MM-0057</t>
  </si>
  <si>
    <t>MM-0058</t>
  </si>
  <si>
    <t>MM-0059</t>
  </si>
  <si>
    <t>MM-0060</t>
  </si>
  <si>
    <t>MM-0061</t>
  </si>
  <si>
    <t>MM-0062</t>
  </si>
  <si>
    <t>MM-0063</t>
  </si>
  <si>
    <t>MM-0064</t>
  </si>
  <si>
    <t xml:space="preserve"> BATTERIES PACK </t>
  </si>
  <si>
    <t>MM-0065</t>
  </si>
  <si>
    <t xml:space="preserve"> RICE 5KG </t>
  </si>
  <si>
    <t>MM-0066</t>
  </si>
  <si>
    <t>MM-0067</t>
  </si>
  <si>
    <t>MM-0068</t>
  </si>
  <si>
    <t>MM-0069</t>
  </si>
  <si>
    <t>MM-0070</t>
  </si>
  <si>
    <t>MM-0071</t>
  </si>
  <si>
    <t>MM-0072</t>
  </si>
  <si>
    <t>MM-0073</t>
  </si>
  <si>
    <t>MM-0074</t>
  </si>
  <si>
    <t>MM-0075</t>
  </si>
  <si>
    <t xml:space="preserve"> UPI </t>
  </si>
  <si>
    <t>MM-0076</t>
  </si>
  <si>
    <t>MM-0077</t>
  </si>
  <si>
    <t>MM-0078</t>
  </si>
  <si>
    <t>MM-0079</t>
  </si>
  <si>
    <t>MM-0080</t>
  </si>
  <si>
    <t>MM-0081</t>
  </si>
  <si>
    <t>MM-0082</t>
  </si>
  <si>
    <t>MM-0083</t>
  </si>
  <si>
    <t>MM-0084</t>
  </si>
  <si>
    <t>MM-0085</t>
  </si>
  <si>
    <t>MM-0086</t>
  </si>
  <si>
    <t>MM-0087</t>
  </si>
  <si>
    <t>MM-0088</t>
  </si>
  <si>
    <t>MM-0089</t>
  </si>
  <si>
    <t>MM-0090</t>
  </si>
  <si>
    <t>MM-0091</t>
  </si>
  <si>
    <t>MM-0092</t>
  </si>
  <si>
    <t>MM-0093</t>
  </si>
  <si>
    <t>MM-0094</t>
  </si>
  <si>
    <t>MM-0095</t>
  </si>
  <si>
    <t>MM-0096</t>
  </si>
  <si>
    <t>MM-0097</t>
  </si>
  <si>
    <t xml:space="preserve"> Card </t>
  </si>
  <si>
    <t>MM-0098</t>
  </si>
  <si>
    <t>MM-0099</t>
  </si>
  <si>
    <t>MM-0100</t>
  </si>
  <si>
    <t>MM-0101</t>
  </si>
  <si>
    <t>MM-0102</t>
  </si>
  <si>
    <t>MM-0103</t>
  </si>
  <si>
    <t>MM-0104</t>
  </si>
  <si>
    <t>MM-0105</t>
  </si>
  <si>
    <t xml:space="preserve"> MINERAL WATER 1L </t>
  </si>
  <si>
    <t>MM-0106</t>
  </si>
  <si>
    <t>MM-0107</t>
  </si>
  <si>
    <t>MM-0108</t>
  </si>
  <si>
    <t>MM-0109</t>
  </si>
  <si>
    <t>MM-0110</t>
  </si>
  <si>
    <t>MM-0111</t>
  </si>
  <si>
    <t>MM-0112</t>
  </si>
  <si>
    <t>MM-0113</t>
  </si>
  <si>
    <t>MM-0114</t>
  </si>
  <si>
    <t>MM-0115</t>
  </si>
  <si>
    <t>MM-0116</t>
  </si>
  <si>
    <t>MM-0117</t>
  </si>
  <si>
    <t>MM-0118</t>
  </si>
  <si>
    <t>MM-0119</t>
  </si>
  <si>
    <t>MM-0120</t>
  </si>
  <si>
    <t>MM-0121</t>
  </si>
  <si>
    <t>MM-0122</t>
  </si>
  <si>
    <t>stationery</t>
  </si>
  <si>
    <t>MM-0123</t>
  </si>
  <si>
    <t>MM-0124</t>
  </si>
  <si>
    <t>MM-0125</t>
  </si>
  <si>
    <t>MM-0126</t>
  </si>
  <si>
    <t>MM-0127</t>
  </si>
  <si>
    <t>MM-0128</t>
  </si>
  <si>
    <t>MM-0129</t>
  </si>
  <si>
    <t>MM-0130</t>
  </si>
  <si>
    <t>MM-0131</t>
  </si>
  <si>
    <t>MM-0132</t>
  </si>
  <si>
    <t>MM-0133</t>
  </si>
  <si>
    <t>MM-0134</t>
  </si>
  <si>
    <t>MM-0135</t>
  </si>
  <si>
    <t>MM-0136</t>
  </si>
  <si>
    <t>MM-0137</t>
  </si>
  <si>
    <t>MM-0138</t>
  </si>
  <si>
    <t>household</t>
  </si>
  <si>
    <t>MM-0139</t>
  </si>
  <si>
    <t>MM-0140</t>
  </si>
  <si>
    <t>MM-0141</t>
  </si>
  <si>
    <t>MM-0142</t>
  </si>
  <si>
    <t>MM-0143</t>
  </si>
  <si>
    <t>MM-0144</t>
  </si>
  <si>
    <t>MM-0145</t>
  </si>
  <si>
    <t>MM-0146</t>
  </si>
  <si>
    <t>MM-0147</t>
  </si>
  <si>
    <t>MM-0148</t>
  </si>
  <si>
    <t>MM-0149</t>
  </si>
  <si>
    <t>MM-0150</t>
  </si>
  <si>
    <t>MM-0151</t>
  </si>
  <si>
    <t>MM-0152</t>
  </si>
  <si>
    <t>MM-0153</t>
  </si>
  <si>
    <t>MM-0154</t>
  </si>
  <si>
    <t>MM-0155</t>
  </si>
  <si>
    <t>MM-0156</t>
  </si>
  <si>
    <t>MM-0157</t>
  </si>
  <si>
    <t>MM-0158</t>
  </si>
  <si>
    <t>Mineral Water 1L</t>
  </si>
  <si>
    <t>MM-0159</t>
  </si>
  <si>
    <t>MM-0160</t>
  </si>
  <si>
    <t>MM-0161</t>
  </si>
  <si>
    <t>MM-0162</t>
  </si>
  <si>
    <t>MM-0163</t>
  </si>
  <si>
    <t>MM-0164</t>
  </si>
  <si>
    <t xml:space="preserve"> LAUNDRY DETERGENT 2KG </t>
  </si>
  <si>
    <t>MM-0165</t>
  </si>
  <si>
    <t>MM-0166</t>
  </si>
  <si>
    <t>MM-0167</t>
  </si>
  <si>
    <t>MM-0168</t>
  </si>
  <si>
    <t>MM-0169</t>
  </si>
  <si>
    <t>MM-0170</t>
  </si>
  <si>
    <t>MM-0171</t>
  </si>
  <si>
    <t>MM-0172</t>
  </si>
  <si>
    <t xml:space="preserve"> WHEAT FLOUR 5KG </t>
  </si>
  <si>
    <t>MM-0173</t>
  </si>
  <si>
    <t>MM-0174</t>
  </si>
  <si>
    <t>MM-0175</t>
  </si>
  <si>
    <t>MM-0176</t>
  </si>
  <si>
    <t>MM-0177</t>
  </si>
  <si>
    <t>MM-0178</t>
  </si>
  <si>
    <t>MM-0179</t>
  </si>
  <si>
    <t>MM-0180</t>
  </si>
  <si>
    <t>MM-0181</t>
  </si>
  <si>
    <t>MM-0182</t>
  </si>
  <si>
    <t>MM-0183</t>
  </si>
  <si>
    <t>MM-0184</t>
  </si>
  <si>
    <t xml:space="preserve"> COFFEE 200G </t>
  </si>
  <si>
    <t>MM-0185</t>
  </si>
  <si>
    <t>2</t>
  </si>
  <si>
    <t>MM-0186</t>
  </si>
  <si>
    <t>MM-0187</t>
  </si>
  <si>
    <t>MM-0188</t>
  </si>
  <si>
    <t>MM-0189</t>
  </si>
  <si>
    <t>MM-0190</t>
  </si>
  <si>
    <t>MM-0191</t>
  </si>
  <si>
    <t>MM-0192</t>
  </si>
  <si>
    <t>MM-0193</t>
  </si>
  <si>
    <t>MM-0194</t>
  </si>
  <si>
    <t>MM-0195</t>
  </si>
  <si>
    <t>MM-0196</t>
  </si>
  <si>
    <t>MM-0197</t>
  </si>
  <si>
    <t>electronics</t>
  </si>
  <si>
    <t>MM-0198</t>
  </si>
  <si>
    <t>MM-0199</t>
  </si>
  <si>
    <t>MM-0200</t>
  </si>
  <si>
    <t>MM-0201</t>
  </si>
  <si>
    <t>MM-0202</t>
  </si>
  <si>
    <t>MM-0203</t>
  </si>
  <si>
    <t>MM-0204</t>
  </si>
  <si>
    <t>MM-0205</t>
  </si>
  <si>
    <t>MM-0206</t>
  </si>
  <si>
    <t>MM-0207</t>
  </si>
  <si>
    <t>MM-0208</t>
  </si>
  <si>
    <t>MM-0209</t>
  </si>
  <si>
    <t>MM-0210</t>
  </si>
  <si>
    <t>MM-0211</t>
  </si>
  <si>
    <t>MM-0212</t>
  </si>
  <si>
    <t>MM-0213</t>
  </si>
  <si>
    <t>MM-0214</t>
  </si>
  <si>
    <t>MM-0215</t>
  </si>
  <si>
    <t>MM-0216</t>
  </si>
  <si>
    <t>MM-0217</t>
  </si>
  <si>
    <t>MM-0218</t>
  </si>
  <si>
    <t>MM-0219</t>
  </si>
  <si>
    <t>MM-0220</t>
  </si>
  <si>
    <t>MM-0221</t>
  </si>
  <si>
    <t>MM-0222</t>
  </si>
  <si>
    <t>MM-0223</t>
  </si>
  <si>
    <t>MM-0224</t>
  </si>
  <si>
    <t>MM-0225</t>
  </si>
  <si>
    <t>MM-0226</t>
  </si>
  <si>
    <t>MM-0227</t>
  </si>
  <si>
    <t>MM-0228</t>
  </si>
  <si>
    <t>MM-0229</t>
  </si>
  <si>
    <t>MM-0230</t>
  </si>
  <si>
    <t>MM-0231</t>
  </si>
  <si>
    <t>MM-0232</t>
  </si>
  <si>
    <t>MM-0233</t>
  </si>
  <si>
    <t>MM-0234</t>
  </si>
  <si>
    <t>MM-0235</t>
  </si>
  <si>
    <t>MM-0236</t>
  </si>
  <si>
    <t>MM-0237</t>
  </si>
  <si>
    <t>MM-0238</t>
  </si>
  <si>
    <t xml:space="preserve"> SOFT DRINK 750ML </t>
  </si>
  <si>
    <t>MM-0239</t>
  </si>
  <si>
    <t>MM-0240</t>
  </si>
  <si>
    <t>MM-0241</t>
  </si>
  <si>
    <t>MM-0242</t>
  </si>
  <si>
    <t>MM-0243</t>
  </si>
  <si>
    <t>MM-0244</t>
  </si>
  <si>
    <t>MM-0245</t>
  </si>
  <si>
    <t>MM-0246</t>
  </si>
  <si>
    <t>MM-0247</t>
  </si>
  <si>
    <t>MM-0248</t>
  </si>
  <si>
    <t>MM-0249</t>
  </si>
  <si>
    <t xml:space="preserve"> SUGAR 1KG </t>
  </si>
  <si>
    <t>MM-0250</t>
  </si>
  <si>
    <t>MM-0251</t>
  </si>
  <si>
    <t>MM-0252</t>
  </si>
  <si>
    <t xml:space="preserve"> Cash </t>
  </si>
  <si>
    <t>MM-0253</t>
  </si>
  <si>
    <t>MM-0254</t>
  </si>
  <si>
    <t>MM-0255</t>
  </si>
  <si>
    <t>MM-0256</t>
  </si>
  <si>
    <t>MM-0257</t>
  </si>
  <si>
    <t>MM-0258</t>
  </si>
  <si>
    <t>MM-0259</t>
  </si>
  <si>
    <t>MM-0260</t>
  </si>
  <si>
    <t>MM-0261</t>
  </si>
  <si>
    <t xml:space="preserve"> COOKING OIL 1L </t>
  </si>
  <si>
    <t>MM-0262</t>
  </si>
  <si>
    <t>MM-0263</t>
  </si>
  <si>
    <t>MM-0264</t>
  </si>
  <si>
    <t>MM-0265</t>
  </si>
  <si>
    <t>MM-0266</t>
  </si>
  <si>
    <t>MM-0267</t>
  </si>
  <si>
    <t>MM-0268</t>
  </si>
  <si>
    <t>MM-0269</t>
  </si>
  <si>
    <t>MM-0270</t>
  </si>
  <si>
    <t>MM-0271</t>
  </si>
  <si>
    <t>MM-0272</t>
  </si>
  <si>
    <t>MM-0273</t>
  </si>
  <si>
    <t>MM-0274</t>
  </si>
  <si>
    <t>MM-0275</t>
  </si>
  <si>
    <t>MM-0276</t>
  </si>
  <si>
    <t>MM-0277</t>
  </si>
  <si>
    <t>MM-0278</t>
  </si>
  <si>
    <t>MM-0279</t>
  </si>
  <si>
    <t>MM-0280</t>
  </si>
  <si>
    <t>MM-0281</t>
  </si>
  <si>
    <t>MM-0282</t>
  </si>
  <si>
    <t>MM-0283</t>
  </si>
  <si>
    <t>MM-0284</t>
  </si>
  <si>
    <t>MM-0285</t>
  </si>
  <si>
    <t>MM-0286</t>
  </si>
  <si>
    <t>MM-0287</t>
  </si>
  <si>
    <t>MM-0288</t>
  </si>
  <si>
    <t>MM-0289</t>
  </si>
  <si>
    <t>MM-0290</t>
  </si>
  <si>
    <t>MM-0291</t>
  </si>
  <si>
    <t>MM-0292</t>
  </si>
  <si>
    <t>MM-0293</t>
  </si>
  <si>
    <t>MM-0294</t>
  </si>
  <si>
    <t>MM-0295</t>
  </si>
  <si>
    <t>MM-0296</t>
  </si>
  <si>
    <t>MM-0297</t>
  </si>
  <si>
    <t>MM-0298</t>
  </si>
  <si>
    <t>MM-0299</t>
  </si>
  <si>
    <t>MM-0300</t>
  </si>
  <si>
    <t>MM-0301</t>
  </si>
  <si>
    <t>MM-0302</t>
  </si>
  <si>
    <t>MM-0303</t>
  </si>
  <si>
    <t>MM-0304</t>
  </si>
  <si>
    <t>MM-0305</t>
  </si>
  <si>
    <t>MM-0306</t>
  </si>
  <si>
    <t>MM-0307</t>
  </si>
  <si>
    <t>MM-0308</t>
  </si>
  <si>
    <t>MM-0309</t>
  </si>
  <si>
    <t>MM-0310</t>
  </si>
  <si>
    <t>MM-0311</t>
  </si>
  <si>
    <t xml:space="preserve"> FLOOR CLEANER 1L </t>
  </si>
  <si>
    <t>MM-0312</t>
  </si>
  <si>
    <t>MM-0313</t>
  </si>
  <si>
    <t>MM-0314</t>
  </si>
  <si>
    <t>MM-0315</t>
  </si>
  <si>
    <t>MM-0316</t>
  </si>
  <si>
    <t>MM-0317</t>
  </si>
  <si>
    <t>MM-0318</t>
  </si>
  <si>
    <t>MM-0319</t>
  </si>
  <si>
    <t>MM-0320</t>
  </si>
  <si>
    <t>MM-0321</t>
  </si>
  <si>
    <t>MM-0322</t>
  </si>
  <si>
    <t>MM-0323</t>
  </si>
  <si>
    <t>MM-0324</t>
  </si>
  <si>
    <t>MM-0325</t>
  </si>
  <si>
    <t>MM-0326</t>
  </si>
  <si>
    <t>MM-0327</t>
  </si>
  <si>
    <t>MM-0328</t>
  </si>
  <si>
    <t>MM-0329</t>
  </si>
  <si>
    <t>MM-0330</t>
  </si>
  <si>
    <t>MM-0331</t>
  </si>
  <si>
    <t>MM-0332</t>
  </si>
  <si>
    <t>MM-0333</t>
  </si>
  <si>
    <t>MM-0334</t>
  </si>
  <si>
    <t>MM-0335</t>
  </si>
  <si>
    <t>MM-0336</t>
  </si>
  <si>
    <t>MM-0337</t>
  </si>
  <si>
    <t>MM-0338</t>
  </si>
  <si>
    <t>MM-0339</t>
  </si>
  <si>
    <t>MM-0340</t>
  </si>
  <si>
    <t>MM-0341</t>
  </si>
  <si>
    <t>MM-0342</t>
  </si>
  <si>
    <t>MM-0343</t>
  </si>
  <si>
    <t>MM-0344</t>
  </si>
  <si>
    <t>MM-0345</t>
  </si>
  <si>
    <t>MM-0346</t>
  </si>
  <si>
    <t>MM-0347</t>
  </si>
  <si>
    <t>MM-0348</t>
  </si>
  <si>
    <t>MM-0349</t>
  </si>
  <si>
    <t>MM-0350</t>
  </si>
  <si>
    <t>MM-0351</t>
  </si>
  <si>
    <t>MM-0352</t>
  </si>
  <si>
    <t>MM-0353</t>
  </si>
  <si>
    <t>MM-0354</t>
  </si>
  <si>
    <t>MM-0355</t>
  </si>
  <si>
    <t>MM-0356</t>
  </si>
  <si>
    <t>MM-0357</t>
  </si>
  <si>
    <t>MM-0358</t>
  </si>
  <si>
    <t>MM-0359</t>
  </si>
  <si>
    <t>MM-0360</t>
  </si>
  <si>
    <t>MM-0361</t>
  </si>
  <si>
    <t>MM-0362</t>
  </si>
  <si>
    <t>MM-0363</t>
  </si>
  <si>
    <t>MM-0364</t>
  </si>
  <si>
    <t>MM-0365</t>
  </si>
  <si>
    <t>MM-0366</t>
  </si>
  <si>
    <t>MM-0367</t>
  </si>
  <si>
    <t>MM-0368</t>
  </si>
  <si>
    <t>MM-0369</t>
  </si>
  <si>
    <t>MM-0370</t>
  </si>
  <si>
    <t>MM-0371</t>
  </si>
  <si>
    <t>MM-0372</t>
  </si>
  <si>
    <t>MM-0373</t>
  </si>
  <si>
    <t>MM-0374</t>
  </si>
  <si>
    <t>MM-0375</t>
  </si>
  <si>
    <t>MM-0376</t>
  </si>
  <si>
    <t>MM-0377</t>
  </si>
  <si>
    <t>MM-0378</t>
  </si>
  <si>
    <t>MM-0379</t>
  </si>
  <si>
    <t xml:space="preserve"> TEA 250G </t>
  </si>
  <si>
    <t>MM-0380</t>
  </si>
  <si>
    <t>MM-0381</t>
  </si>
  <si>
    <t>MM-0382</t>
  </si>
  <si>
    <t>MM-0383</t>
  </si>
  <si>
    <t>MM-0384</t>
  </si>
  <si>
    <t>MM-0385</t>
  </si>
  <si>
    <t>MM-0386</t>
  </si>
  <si>
    <t>MM-0387</t>
  </si>
  <si>
    <t>MM-0388</t>
  </si>
  <si>
    <t>MM-0389</t>
  </si>
  <si>
    <t>MM-0390</t>
  </si>
  <si>
    <t>MM-0391</t>
  </si>
  <si>
    <t>MM-0392</t>
  </si>
  <si>
    <t>MM-0393</t>
  </si>
  <si>
    <t>MM-0394</t>
  </si>
  <si>
    <t>MM-0395</t>
  </si>
  <si>
    <t>MM-0396</t>
  </si>
  <si>
    <t>MM-0397</t>
  </si>
  <si>
    <t>MM-0398</t>
  </si>
  <si>
    <t>MM-0399</t>
  </si>
  <si>
    <t>MM-0400</t>
  </si>
  <si>
    <t>MM-0401</t>
  </si>
  <si>
    <t>MM-0402</t>
  </si>
  <si>
    <t>MM-0403</t>
  </si>
  <si>
    <t>MM-0404</t>
  </si>
  <si>
    <t>MM-0405</t>
  </si>
  <si>
    <t>MM-0406</t>
  </si>
  <si>
    <t>MM-0407</t>
  </si>
  <si>
    <t>MM-0408</t>
  </si>
  <si>
    <t>MM-0409</t>
  </si>
  <si>
    <t>MM-0410</t>
  </si>
  <si>
    <t>MM-0411</t>
  </si>
  <si>
    <t>MM-0412</t>
  </si>
  <si>
    <t>MM-0413</t>
  </si>
  <si>
    <t>MM-0414</t>
  </si>
  <si>
    <t>MM-0415</t>
  </si>
  <si>
    <t>MM-0416</t>
  </si>
  <si>
    <t>MM-0417</t>
  </si>
  <si>
    <t>MM-0418</t>
  </si>
  <si>
    <t>MM-0419</t>
  </si>
  <si>
    <t>MM-0420</t>
  </si>
  <si>
    <t>MM-0421</t>
  </si>
  <si>
    <t>MM-0422</t>
  </si>
  <si>
    <t>MM-0423</t>
  </si>
  <si>
    <t>MM-0424</t>
  </si>
  <si>
    <t>MM-0425</t>
  </si>
  <si>
    <t>MM-0426</t>
  </si>
  <si>
    <t>MM-0427</t>
  </si>
  <si>
    <t>MM-0428</t>
  </si>
  <si>
    <t>MM-0429</t>
  </si>
  <si>
    <t>MM-0430</t>
  </si>
  <si>
    <t>MM-0431</t>
  </si>
  <si>
    <t>MM-0432</t>
  </si>
  <si>
    <t>MM-0433</t>
  </si>
  <si>
    <t>MM-0434</t>
  </si>
  <si>
    <t>MM-0435</t>
  </si>
  <si>
    <t>MM-0436</t>
  </si>
  <si>
    <t>MM-0437</t>
  </si>
  <si>
    <t>MM-0438</t>
  </si>
  <si>
    <t>MM-0439</t>
  </si>
  <si>
    <t xml:space="preserve"> DISHWASH LIQUID 500ML </t>
  </si>
  <si>
    <t>MM-0440</t>
  </si>
  <si>
    <t>MM-0441</t>
  </si>
  <si>
    <t>MM-0442</t>
  </si>
  <si>
    <t>MM-0443</t>
  </si>
  <si>
    <t>MM-0444</t>
  </si>
  <si>
    <t>MM-0445</t>
  </si>
  <si>
    <t>MM-0446</t>
  </si>
  <si>
    <t>MM-0447</t>
  </si>
  <si>
    <t>MM-0448</t>
  </si>
  <si>
    <t>MM-0449</t>
  </si>
  <si>
    <t>MM-0450</t>
  </si>
  <si>
    <t>MM-0451</t>
  </si>
  <si>
    <t>MM-0452</t>
  </si>
  <si>
    <t>MM-0453</t>
  </si>
  <si>
    <t>MM-0454</t>
  </si>
  <si>
    <t>MM-0455</t>
  </si>
  <si>
    <t>MM-0456</t>
  </si>
  <si>
    <t>MM-0457</t>
  </si>
  <si>
    <t>MM-0458</t>
  </si>
  <si>
    <t>MM-0459</t>
  </si>
  <si>
    <t>MM-0460</t>
  </si>
  <si>
    <t>MM-0461</t>
  </si>
  <si>
    <t>MM-0462</t>
  </si>
  <si>
    <t>MM-0463</t>
  </si>
  <si>
    <t>MM-0464</t>
  </si>
  <si>
    <t>MM-0465</t>
  </si>
  <si>
    <t>MM-0466</t>
  </si>
  <si>
    <t>MM-0467</t>
  </si>
  <si>
    <t>MM-0468</t>
  </si>
  <si>
    <t>MM-0469</t>
  </si>
  <si>
    <t>MM-0470</t>
  </si>
  <si>
    <t>MM-0471</t>
  </si>
  <si>
    <t>MM-0472</t>
  </si>
  <si>
    <t>MM-0473</t>
  </si>
  <si>
    <t>MM-0474</t>
  </si>
  <si>
    <t>MM-0475</t>
  </si>
  <si>
    <t>MM-0476</t>
  </si>
  <si>
    <t>MM-0477</t>
  </si>
  <si>
    <t xml:space="preserve"> POTATO CHIPS </t>
  </si>
  <si>
    <t>MM-0478</t>
  </si>
  <si>
    <t>MM-0479</t>
  </si>
  <si>
    <t xml:space="preserve"> TOOTHPASTE 150G </t>
  </si>
  <si>
    <t>MM-0480</t>
  </si>
  <si>
    <t>MM-0481</t>
  </si>
  <si>
    <t>MM-0482</t>
  </si>
  <si>
    <t>MM-0483</t>
  </si>
  <si>
    <t>MM-0484</t>
  </si>
  <si>
    <t>MM-0485</t>
  </si>
  <si>
    <t>MM-0486</t>
  </si>
  <si>
    <t>MM-0487</t>
  </si>
  <si>
    <t>MM-0488</t>
  </si>
  <si>
    <t>MM-0489</t>
  </si>
  <si>
    <t>MM-0490</t>
  </si>
  <si>
    <t>MM-0491</t>
  </si>
  <si>
    <t>MM-0492</t>
  </si>
  <si>
    <t>MM-0493</t>
  </si>
  <si>
    <t>MM-0494</t>
  </si>
  <si>
    <t>MM-0495</t>
  </si>
  <si>
    <t>MM-0496</t>
  </si>
  <si>
    <t>MM-0497</t>
  </si>
  <si>
    <t>MM-0498</t>
  </si>
  <si>
    <t>MM-0499</t>
  </si>
  <si>
    <t>MM-0500</t>
  </si>
  <si>
    <t>MM-0501</t>
  </si>
  <si>
    <t>MM-0502</t>
  </si>
  <si>
    <t>MM-0503</t>
  </si>
  <si>
    <t>MM-0504</t>
  </si>
  <si>
    <t>MM-0505</t>
  </si>
  <si>
    <t>MM-0506</t>
  </si>
  <si>
    <t>MM-0507</t>
  </si>
  <si>
    <t>MM-0508</t>
  </si>
  <si>
    <t>MM-0509</t>
  </si>
  <si>
    <t>MM-0510</t>
  </si>
  <si>
    <t>MM-0511</t>
  </si>
  <si>
    <t>MM-0512</t>
  </si>
  <si>
    <t>MM-0513</t>
  </si>
  <si>
    <t>MM-0514</t>
  </si>
  <si>
    <t>MM-0515</t>
  </si>
  <si>
    <t>MM-0516</t>
  </si>
  <si>
    <t>MM-0517</t>
  </si>
  <si>
    <t>MM-0518</t>
  </si>
  <si>
    <t>MM-0519</t>
  </si>
  <si>
    <t>MM-0520</t>
  </si>
  <si>
    <t>MM-0521</t>
  </si>
  <si>
    <t>MM-0522</t>
  </si>
  <si>
    <t xml:space="preserve"> SHAMPOO 340ML </t>
  </si>
  <si>
    <t>MM-0523</t>
  </si>
  <si>
    <t>MM-0524</t>
  </si>
  <si>
    <t>MM-0525</t>
  </si>
  <si>
    <t>MM-0526</t>
  </si>
  <si>
    <t>MM-0527</t>
  </si>
  <si>
    <t>MM-0528</t>
  </si>
  <si>
    <t>MM-0529</t>
  </si>
  <si>
    <t>MM-0530</t>
  </si>
  <si>
    <t>MM-0531</t>
  </si>
  <si>
    <t>MM-0532</t>
  </si>
  <si>
    <t>MM-0533</t>
  </si>
  <si>
    <t>MM-0534</t>
  </si>
  <si>
    <t>MM-0535</t>
  </si>
  <si>
    <t>MM-0536</t>
  </si>
  <si>
    <t>MM-0537</t>
  </si>
  <si>
    <t>MM-0538</t>
  </si>
  <si>
    <t>MM-0539</t>
  </si>
  <si>
    <t>MM-0540</t>
  </si>
  <si>
    <t>MM-0541</t>
  </si>
  <si>
    <t>MM-0542</t>
  </si>
  <si>
    <t>MM-0543</t>
  </si>
  <si>
    <t>MM-0544</t>
  </si>
  <si>
    <t>MM-0545</t>
  </si>
  <si>
    <t>MM-0546</t>
  </si>
  <si>
    <t>MM-0547</t>
  </si>
  <si>
    <t>MM-0548</t>
  </si>
  <si>
    <t>MM-0549</t>
  </si>
  <si>
    <t xml:space="preserve"> BISCUITS PACK </t>
  </si>
  <si>
    <t>MM-0550</t>
  </si>
  <si>
    <t>MM-0551</t>
  </si>
  <si>
    <t>MM-0552</t>
  </si>
  <si>
    <t>MM-0553</t>
  </si>
  <si>
    <t>MM-0554</t>
  </si>
  <si>
    <t>MM-0555</t>
  </si>
  <si>
    <t>MM-0556</t>
  </si>
  <si>
    <t>MM-0557</t>
  </si>
  <si>
    <t>MM-0558</t>
  </si>
  <si>
    <t>MM-0559</t>
  </si>
  <si>
    <t>MM-0560</t>
  </si>
  <si>
    <t>personal care</t>
  </si>
  <si>
    <t>MM-0561</t>
  </si>
  <si>
    <t>MM-0562</t>
  </si>
  <si>
    <t>MM-0563</t>
  </si>
  <si>
    <t>MM-0564</t>
  </si>
  <si>
    <t>MM-0565</t>
  </si>
  <si>
    <t>MM-0566</t>
  </si>
  <si>
    <t>MM-0567</t>
  </si>
  <si>
    <t>MM-0568</t>
  </si>
  <si>
    <t>MM-0569</t>
  </si>
  <si>
    <t>MM-0570</t>
  </si>
  <si>
    <t>MM-0571</t>
  </si>
  <si>
    <t>MM-0572</t>
  </si>
  <si>
    <t>MM-0573</t>
  </si>
  <si>
    <t>MM-0574</t>
  </si>
  <si>
    <t>MM-0575</t>
  </si>
  <si>
    <t>MM-0576</t>
  </si>
  <si>
    <t>MM-0577</t>
  </si>
  <si>
    <t>MM-0578</t>
  </si>
  <si>
    <t>MM-0579</t>
  </si>
  <si>
    <t>MM-0580</t>
  </si>
  <si>
    <t>MM-0581</t>
  </si>
  <si>
    <t>MM-0582</t>
  </si>
  <si>
    <t>MM-0583</t>
  </si>
  <si>
    <t>MM-0584</t>
  </si>
  <si>
    <t>MM-0585</t>
  </si>
  <si>
    <t>MM-0586</t>
  </si>
  <si>
    <t>MM-0587</t>
  </si>
  <si>
    <t>MM-0588</t>
  </si>
  <si>
    <t>MM-0589</t>
  </si>
  <si>
    <t>MM-0590</t>
  </si>
  <si>
    <t>MM-0591</t>
  </si>
  <si>
    <t>MM-0592</t>
  </si>
  <si>
    <t>MM-0593</t>
  </si>
  <si>
    <t>MM-0594</t>
  </si>
  <si>
    <t>MM-0595</t>
  </si>
  <si>
    <t>MM-0596</t>
  </si>
  <si>
    <t>MM-0597</t>
  </si>
  <si>
    <t>MM-0598</t>
  </si>
  <si>
    <t>MM-0599</t>
  </si>
  <si>
    <t>MM-0600</t>
  </si>
  <si>
    <t>MM-0601</t>
  </si>
  <si>
    <t>MM-0602</t>
  </si>
  <si>
    <t>MM-0603</t>
  </si>
  <si>
    <t>MM-0604</t>
  </si>
  <si>
    <t>MM-0605</t>
  </si>
  <si>
    <t>MM-0606</t>
  </si>
  <si>
    <t>MM-0607</t>
  </si>
  <si>
    <t>MM-0608</t>
  </si>
  <si>
    <t>MM-0609</t>
  </si>
  <si>
    <t>MM-0610</t>
  </si>
  <si>
    <t>MM-0611</t>
  </si>
  <si>
    <t>MM-0612</t>
  </si>
  <si>
    <t>MM-0613</t>
  </si>
  <si>
    <t>MM-0614</t>
  </si>
  <si>
    <t>MM-0615</t>
  </si>
  <si>
    <t>MM-0616</t>
  </si>
  <si>
    <t>MM-0617</t>
  </si>
  <si>
    <t>MM-0618</t>
  </si>
  <si>
    <t>MM-0619</t>
  </si>
  <si>
    <t>MM-0620</t>
  </si>
  <si>
    <t>MM-0621</t>
  </si>
  <si>
    <t>MM-0622</t>
  </si>
  <si>
    <t>MM-0623</t>
  </si>
  <si>
    <t>MM-0624</t>
  </si>
  <si>
    <t>MM-0625</t>
  </si>
  <si>
    <t>MM-0626</t>
  </si>
  <si>
    <t>MM-0627</t>
  </si>
  <si>
    <t>MM-0628</t>
  </si>
  <si>
    <t>MM-0629</t>
  </si>
  <si>
    <t>MM-0630</t>
  </si>
  <si>
    <t>MM-0631</t>
  </si>
  <si>
    <t>1</t>
  </si>
  <si>
    <t>MM-0632</t>
  </si>
  <si>
    <t>MM-0633</t>
  </si>
  <si>
    <t>MM-0634</t>
  </si>
  <si>
    <t>MM-0635</t>
  </si>
  <si>
    <t>MM-0636</t>
  </si>
  <si>
    <t>MM-0637</t>
  </si>
  <si>
    <t>MM-0638</t>
  </si>
  <si>
    <t>MM-0639</t>
  </si>
  <si>
    <t>MM-0640</t>
  </si>
  <si>
    <t>MM-0641</t>
  </si>
  <si>
    <t>MM-0642</t>
  </si>
  <si>
    <t>MM-0643</t>
  </si>
  <si>
    <t>MM-0644</t>
  </si>
  <si>
    <t>MM-0645</t>
  </si>
  <si>
    <t>MM-0646</t>
  </si>
  <si>
    <t>MM-0647</t>
  </si>
  <si>
    <t>MM-0648</t>
  </si>
  <si>
    <t>MM-0649</t>
  </si>
  <si>
    <t>MM-0650</t>
  </si>
  <si>
    <t>MM-0651</t>
  </si>
  <si>
    <t>MM-0652</t>
  </si>
  <si>
    <t>MM-0653</t>
  </si>
  <si>
    <t>MM-0654</t>
  </si>
  <si>
    <t>MM-0655</t>
  </si>
  <si>
    <t>MM-0656</t>
  </si>
  <si>
    <t>MM-0657</t>
  </si>
  <si>
    <t>MM-0658</t>
  </si>
  <si>
    <t>MM-0659</t>
  </si>
  <si>
    <t>MM-0660</t>
  </si>
  <si>
    <t>MM-0661</t>
  </si>
  <si>
    <t>MM-0662</t>
  </si>
  <si>
    <t>MM-0663</t>
  </si>
  <si>
    <t>MM-0664</t>
  </si>
  <si>
    <t>MM-0665</t>
  </si>
  <si>
    <t>8</t>
  </si>
  <si>
    <t>MM-0666</t>
  </si>
  <si>
    <t>MM-0667</t>
  </si>
  <si>
    <t>MM-0668</t>
  </si>
  <si>
    <t>MM-0669</t>
  </si>
  <si>
    <t>MM-0670</t>
  </si>
  <si>
    <t>MM-0671</t>
  </si>
  <si>
    <t>MM-0672</t>
  </si>
  <si>
    <t>MM-0673</t>
  </si>
  <si>
    <t>MM-0674</t>
  </si>
  <si>
    <t>MM-0675</t>
  </si>
  <si>
    <t>MM-0676</t>
  </si>
  <si>
    <t>MM-0677</t>
  </si>
  <si>
    <t>MM-0678</t>
  </si>
  <si>
    <t>MM-0679</t>
  </si>
  <si>
    <t>MM-0680</t>
  </si>
  <si>
    <t>MM-0681</t>
  </si>
  <si>
    <t>MM-0682</t>
  </si>
  <si>
    <t>MM-0683</t>
  </si>
  <si>
    <t>MM-0684</t>
  </si>
  <si>
    <t>MM-0685</t>
  </si>
  <si>
    <t>MM-0686</t>
  </si>
  <si>
    <t>MM-0687</t>
  </si>
  <si>
    <t>MM-0688</t>
  </si>
  <si>
    <t>MM-0689</t>
  </si>
  <si>
    <t>MM-0690</t>
  </si>
  <si>
    <t>MM-0691</t>
  </si>
  <si>
    <t>MM-0692</t>
  </si>
  <si>
    <t>MM-0693</t>
  </si>
  <si>
    <t>MM-0694</t>
  </si>
  <si>
    <t>MM-0695</t>
  </si>
  <si>
    <t>MM-0696</t>
  </si>
  <si>
    <t>MM-0697</t>
  </si>
  <si>
    <t>MM-0698</t>
  </si>
  <si>
    <t>MM-0699</t>
  </si>
  <si>
    <t>MM-0700</t>
  </si>
  <si>
    <t>MM-0701</t>
  </si>
  <si>
    <t>MM-0702</t>
  </si>
  <si>
    <t>MM-0703</t>
  </si>
  <si>
    <t>MM-0704</t>
  </si>
  <si>
    <t>MM-0705</t>
  </si>
  <si>
    <t>MM-0706</t>
  </si>
  <si>
    <t>MM-0707</t>
  </si>
  <si>
    <t>MM-0708</t>
  </si>
  <si>
    <t xml:space="preserve"> LED BULB 9W </t>
  </si>
  <si>
    <t>MM-0709</t>
  </si>
  <si>
    <t>MM-0710</t>
  </si>
  <si>
    <t>MM-0711</t>
  </si>
  <si>
    <t>MM-0712</t>
  </si>
  <si>
    <t>MM-0713</t>
  </si>
  <si>
    <t>MM-0714</t>
  </si>
  <si>
    <t>MM-0715</t>
  </si>
  <si>
    <t>MM-0716</t>
  </si>
  <si>
    <t>MM-0717</t>
  </si>
  <si>
    <t>MM-0718</t>
  </si>
  <si>
    <t>MM-0719</t>
  </si>
  <si>
    <t>MM-0720</t>
  </si>
  <si>
    <t>MM-0721</t>
  </si>
  <si>
    <t>MM-0722</t>
  </si>
  <si>
    <t>MM-0723</t>
  </si>
  <si>
    <t>MM-0724</t>
  </si>
  <si>
    <t>MM-0725</t>
  </si>
  <si>
    <t>MM-0726</t>
  </si>
  <si>
    <t>MM-0727</t>
  </si>
  <si>
    <t>MM-0728</t>
  </si>
  <si>
    <t>MM-0729</t>
  </si>
  <si>
    <t>MM-0730</t>
  </si>
  <si>
    <t>MM-0731</t>
  </si>
  <si>
    <t>MM-0732</t>
  </si>
  <si>
    <t>MM-0733</t>
  </si>
  <si>
    <t>MM-0734</t>
  </si>
  <si>
    <t>MM-0735</t>
  </si>
  <si>
    <t>MM-0736</t>
  </si>
  <si>
    <t>MM-0737</t>
  </si>
  <si>
    <t>MM-0738</t>
  </si>
  <si>
    <t>MM-0739</t>
  </si>
  <si>
    <t>MM-0740</t>
  </si>
  <si>
    <t>MM-0741</t>
  </si>
  <si>
    <t>MM-0742</t>
  </si>
  <si>
    <t>MM-0743</t>
  </si>
  <si>
    <t>MM-0744</t>
  </si>
  <si>
    <t>MM-0745</t>
  </si>
  <si>
    <t>MM-0746</t>
  </si>
  <si>
    <t>MM-0747</t>
  </si>
  <si>
    <t>MM-0748</t>
  </si>
  <si>
    <t>MM-0749</t>
  </si>
  <si>
    <t>MM-0750</t>
  </si>
  <si>
    <t>MM-0751</t>
  </si>
  <si>
    <t>MM-0752</t>
  </si>
  <si>
    <t>MM-0753</t>
  </si>
  <si>
    <t>MM-0754</t>
  </si>
  <si>
    <t>MM-0755</t>
  </si>
  <si>
    <t>MM-0756</t>
  </si>
  <si>
    <t>MM-0757</t>
  </si>
  <si>
    <t>MM-0758</t>
  </si>
  <si>
    <t>MM-0759</t>
  </si>
  <si>
    <t>MM-0760</t>
  </si>
  <si>
    <t>MM-0761</t>
  </si>
  <si>
    <t>MM-0762</t>
  </si>
  <si>
    <t>MM-0763</t>
  </si>
  <si>
    <t>MM-0764</t>
  </si>
  <si>
    <t>MM-0765</t>
  </si>
  <si>
    <t>MM-0766</t>
  </si>
  <si>
    <t>MM-0767</t>
  </si>
  <si>
    <t>MM-0768</t>
  </si>
  <si>
    <t>MM-0769</t>
  </si>
  <si>
    <t>MM-0770</t>
  </si>
  <si>
    <t>MM-0771</t>
  </si>
  <si>
    <t>MM-0772</t>
  </si>
  <si>
    <t>MM-0773</t>
  </si>
  <si>
    <t>MM-0774</t>
  </si>
  <si>
    <t>MM-0775</t>
  </si>
  <si>
    <t>MM-0776</t>
  </si>
  <si>
    <t>MM-0777</t>
  </si>
  <si>
    <t>MM-0778</t>
  </si>
  <si>
    <t>MM-0779</t>
  </si>
  <si>
    <t>MM-0780</t>
  </si>
  <si>
    <t>MM-0781</t>
  </si>
  <si>
    <t>MM-0782</t>
  </si>
  <si>
    <t>MM-0783</t>
  </si>
  <si>
    <t>MM-0784</t>
  </si>
  <si>
    <t>MM-0785</t>
  </si>
  <si>
    <t>MM-0786</t>
  </si>
  <si>
    <t>MM-0787</t>
  </si>
  <si>
    <t>MM-0788</t>
  </si>
  <si>
    <t>MM-0789</t>
  </si>
  <si>
    <t>MM-0790</t>
  </si>
  <si>
    <t>MM-0791</t>
  </si>
  <si>
    <t>MM-0792</t>
  </si>
  <si>
    <t>MM-0793</t>
  </si>
  <si>
    <t>MM-0794</t>
  </si>
  <si>
    <t>MM-0795</t>
  </si>
  <si>
    <t>MM-0796</t>
  </si>
  <si>
    <t>MM-0797</t>
  </si>
  <si>
    <t>MM-0798</t>
  </si>
  <si>
    <t>MM-0799</t>
  </si>
  <si>
    <t>MM-0800</t>
  </si>
  <si>
    <t>MM-0801</t>
  </si>
  <si>
    <t>MM-0802</t>
  </si>
  <si>
    <t>MM-0803</t>
  </si>
  <si>
    <t>MM-0804</t>
  </si>
  <si>
    <t>MM-0805</t>
  </si>
  <si>
    <t>MM-0806</t>
  </si>
  <si>
    <t>MM-0807</t>
  </si>
  <si>
    <t>MM-0808</t>
  </si>
  <si>
    <t>MM-0809</t>
  </si>
  <si>
    <t>MM-0810</t>
  </si>
  <si>
    <t>MM-0811</t>
  </si>
  <si>
    <t>MM-0812</t>
  </si>
  <si>
    <t>MM-0813</t>
  </si>
  <si>
    <t>MM-0814</t>
  </si>
  <si>
    <t>MM-0815</t>
  </si>
  <si>
    <t>MM-0816</t>
  </si>
  <si>
    <t>MM-0817</t>
  </si>
  <si>
    <t>MM-0818</t>
  </si>
  <si>
    <t>MM-0819</t>
  </si>
  <si>
    <t>MM-0820</t>
  </si>
  <si>
    <t>MM-0821</t>
  </si>
  <si>
    <t>MM-0822</t>
  </si>
  <si>
    <t>MM-0823</t>
  </si>
  <si>
    <t>MM-0824</t>
  </si>
  <si>
    <t>MM-0825</t>
  </si>
  <si>
    <t>MM-0826</t>
  </si>
  <si>
    <t>MM-0827</t>
  </si>
  <si>
    <t>MM-0828</t>
  </si>
  <si>
    <t>MM-0829</t>
  </si>
  <si>
    <t>MM-0830</t>
  </si>
  <si>
    <t>MM-0831</t>
  </si>
  <si>
    <t>MM-0832</t>
  </si>
  <si>
    <t>MM-0833</t>
  </si>
  <si>
    <t>MM-0834</t>
  </si>
  <si>
    <t>MM-0835</t>
  </si>
  <si>
    <t>MM-0836</t>
  </si>
  <si>
    <t>MM-0837</t>
  </si>
  <si>
    <t>MM-0838</t>
  </si>
  <si>
    <t>MM-0839</t>
  </si>
  <si>
    <t>MM-0840</t>
  </si>
  <si>
    <t>MM-0841</t>
  </si>
  <si>
    <t>MM-0842</t>
  </si>
  <si>
    <t>MM-0843</t>
  </si>
  <si>
    <t>MM-0844</t>
  </si>
  <si>
    <t>MM-0845</t>
  </si>
  <si>
    <t>MM-0846</t>
  </si>
  <si>
    <t>MM-0847</t>
  </si>
  <si>
    <t>MM-0848</t>
  </si>
  <si>
    <t>MM-0849</t>
  </si>
  <si>
    <t>MM-0850</t>
  </si>
  <si>
    <t>MM-0851</t>
  </si>
  <si>
    <t>MM-0852</t>
  </si>
  <si>
    <t>MM-0853</t>
  </si>
  <si>
    <t>MM-0854</t>
  </si>
  <si>
    <t>MM-0855</t>
  </si>
  <si>
    <t>MM-0856</t>
  </si>
  <si>
    <t>MM-0857</t>
  </si>
  <si>
    <t>MM-0858</t>
  </si>
  <si>
    <t>MM-0859</t>
  </si>
  <si>
    <t>MM-0860</t>
  </si>
  <si>
    <t>MM-0861</t>
  </si>
  <si>
    <t>MM-0862</t>
  </si>
  <si>
    <t>MM-0863</t>
  </si>
  <si>
    <t>MM-0864</t>
  </si>
  <si>
    <t>MM-0865</t>
  </si>
  <si>
    <t>MM-0866</t>
  </si>
  <si>
    <t>MM-0867</t>
  </si>
  <si>
    <t>MM-0868</t>
  </si>
  <si>
    <t>MM-0869</t>
  </si>
  <si>
    <t>MM-0870</t>
  </si>
  <si>
    <t>MM-0871</t>
  </si>
  <si>
    <t>MM-0872</t>
  </si>
  <si>
    <t>MM-0873</t>
  </si>
  <si>
    <t>MM-0874</t>
  </si>
  <si>
    <t>MM-0875</t>
  </si>
  <si>
    <t>MM-0876</t>
  </si>
  <si>
    <t>MM-0877</t>
  </si>
  <si>
    <t>MM-0878</t>
  </si>
  <si>
    <t>MM-0879</t>
  </si>
  <si>
    <t>MM-0880</t>
  </si>
  <si>
    <t>MM-0881</t>
  </si>
  <si>
    <t>MM-0882</t>
  </si>
  <si>
    <t>MM-0883</t>
  </si>
  <si>
    <t>MM-0884</t>
  </si>
  <si>
    <t>MM-0885</t>
  </si>
  <si>
    <t>MM-0886</t>
  </si>
  <si>
    <t>MM-0887</t>
  </si>
  <si>
    <t>MM-0888</t>
  </si>
  <si>
    <t>MM-0889</t>
  </si>
  <si>
    <t>MM-0890</t>
  </si>
  <si>
    <t>MM-0891</t>
  </si>
  <si>
    <t>MM-0892</t>
  </si>
  <si>
    <t>MM-0893</t>
  </si>
  <si>
    <t>MM-0894</t>
  </si>
  <si>
    <t>MM-0895</t>
  </si>
  <si>
    <t>MM-0896</t>
  </si>
  <si>
    <t>MM-0897</t>
  </si>
  <si>
    <t>MM-0898</t>
  </si>
  <si>
    <t>MM-0899</t>
  </si>
  <si>
    <t>MM-0900</t>
  </si>
  <si>
    <t>MM-0901</t>
  </si>
  <si>
    <t>MM-0902</t>
  </si>
  <si>
    <t>MM-0903</t>
  </si>
  <si>
    <t>MM-0904</t>
  </si>
  <si>
    <t>MM-0905</t>
  </si>
  <si>
    <t>MM-0906</t>
  </si>
  <si>
    <t>MM-0907</t>
  </si>
  <si>
    <t>MM-0908</t>
  </si>
  <si>
    <t>MM-0909</t>
  </si>
  <si>
    <t>MM-0910</t>
  </si>
  <si>
    <t>MM-0911</t>
  </si>
  <si>
    <t>MM-0912</t>
  </si>
  <si>
    <t>MM-0913</t>
  </si>
  <si>
    <t>MM-0914</t>
  </si>
  <si>
    <t>MM-0915</t>
  </si>
  <si>
    <t>MM-0916</t>
  </si>
  <si>
    <t>MM-0917</t>
  </si>
  <si>
    <t>MM-0918</t>
  </si>
  <si>
    <t>MM-0919</t>
  </si>
  <si>
    <t>MM-0920</t>
  </si>
  <si>
    <t>MM-0921</t>
  </si>
  <si>
    <t>MM-0922</t>
  </si>
  <si>
    <t>MM-0923</t>
  </si>
  <si>
    <t>MM-0924</t>
  </si>
  <si>
    <t>MM-0925</t>
  </si>
  <si>
    <t>MM-0926</t>
  </si>
  <si>
    <t>MM-0927</t>
  </si>
  <si>
    <t>MM-0928</t>
  </si>
  <si>
    <t>MM-0929</t>
  </si>
  <si>
    <t>MM-0930</t>
  </si>
  <si>
    <t>MM-0931</t>
  </si>
  <si>
    <t>MM-0932</t>
  </si>
  <si>
    <t>MM-0933</t>
  </si>
  <si>
    <t>MM-0934</t>
  </si>
  <si>
    <t>MM-0935</t>
  </si>
  <si>
    <t>MM-0936</t>
  </si>
  <si>
    <t>MM-0937</t>
  </si>
  <si>
    <t>MM-0938</t>
  </si>
  <si>
    <t>MM-0939</t>
  </si>
  <si>
    <t>MM-0940</t>
  </si>
  <si>
    <t>MM-0941</t>
  </si>
  <si>
    <t>MM-0942</t>
  </si>
  <si>
    <t>MM-0943</t>
  </si>
  <si>
    <t>MM-0944</t>
  </si>
  <si>
    <t xml:space="preserve"> NOTEBOOK </t>
  </si>
  <si>
    <t>MM-0945</t>
  </si>
  <si>
    <t>MM-0946</t>
  </si>
  <si>
    <t>MM-0947</t>
  </si>
  <si>
    <t>MM-0948</t>
  </si>
  <si>
    <t>MM-0949</t>
  </si>
  <si>
    <t>MM-0950</t>
  </si>
  <si>
    <t>MM-0951</t>
  </si>
  <si>
    <t>MM-0952</t>
  </si>
  <si>
    <t>MM-0953</t>
  </si>
  <si>
    <t>MM-0954</t>
  </si>
  <si>
    <t>MM-0955</t>
  </si>
  <si>
    <t>MM-0956</t>
  </si>
  <si>
    <t>3</t>
  </si>
  <si>
    <t>MM-0957</t>
  </si>
  <si>
    <t>MM-0958</t>
  </si>
  <si>
    <t>MM-0959</t>
  </si>
  <si>
    <t>MM-0960</t>
  </si>
  <si>
    <t>MM-0961</t>
  </si>
  <si>
    <t>MM-0962</t>
  </si>
  <si>
    <t>MM-0963</t>
  </si>
  <si>
    <t>MM-0964</t>
  </si>
  <si>
    <t>MM-0965</t>
  </si>
  <si>
    <t>MM-0966</t>
  </si>
  <si>
    <t>MM-0967</t>
  </si>
  <si>
    <t>MM-0968</t>
  </si>
  <si>
    <t>MM-0969</t>
  </si>
  <si>
    <t>MM-0970</t>
  </si>
  <si>
    <t>MM-0971</t>
  </si>
  <si>
    <t>MM-0972</t>
  </si>
  <si>
    <t>MM-0973</t>
  </si>
  <si>
    <t>MM-0974</t>
  </si>
  <si>
    <t>MM-0975</t>
  </si>
  <si>
    <t>MM-0976</t>
  </si>
  <si>
    <t>MM-0977</t>
  </si>
  <si>
    <t>MM-0978</t>
  </si>
  <si>
    <t>MM-0979</t>
  </si>
  <si>
    <t>MM-0980</t>
  </si>
  <si>
    <t>MM-0981</t>
  </si>
  <si>
    <t>MM-0982</t>
  </si>
  <si>
    <t>MM-0983</t>
  </si>
  <si>
    <t>MM-0984</t>
  </si>
  <si>
    <t>MM-0985</t>
  </si>
  <si>
    <t>MM-0986</t>
  </si>
  <si>
    <t>MM-0987</t>
  </si>
  <si>
    <t>MM-0988</t>
  </si>
  <si>
    <t>MM-0989</t>
  </si>
  <si>
    <t>MM-0990</t>
  </si>
  <si>
    <t>MM-0991</t>
  </si>
  <si>
    <t>MM-0992</t>
  </si>
  <si>
    <t>MM-0993</t>
  </si>
  <si>
    <t>MM-0994</t>
  </si>
  <si>
    <t>MM-0995</t>
  </si>
  <si>
    <t>MM-0996</t>
  </si>
  <si>
    <t>MM-0997</t>
  </si>
  <si>
    <t>MM-0998</t>
  </si>
  <si>
    <t>MM-0999</t>
  </si>
  <si>
    <t>MM-1000</t>
  </si>
  <si>
    <t>MM-1001</t>
  </si>
  <si>
    <t>MM-1002</t>
  </si>
  <si>
    <t>MM-1003</t>
  </si>
  <si>
    <t>MM-1004</t>
  </si>
  <si>
    <t>MM-1005</t>
  </si>
  <si>
    <t>MM-1006</t>
  </si>
  <si>
    <t>MM-1007</t>
  </si>
  <si>
    <t>MM-1008</t>
  </si>
  <si>
    <t>MM-1009</t>
  </si>
  <si>
    <t>MM-1010</t>
  </si>
  <si>
    <t>MM-1011</t>
  </si>
  <si>
    <t>MM-1012</t>
  </si>
  <si>
    <t>MM-1013</t>
  </si>
  <si>
    <t>MM-1014</t>
  </si>
  <si>
    <t>MM-1015</t>
  </si>
  <si>
    <t>MM-1016</t>
  </si>
  <si>
    <t>MM-1017</t>
  </si>
  <si>
    <t>MM-1018</t>
  </si>
  <si>
    <t>MM-1019</t>
  </si>
  <si>
    <t>MM-1020</t>
  </si>
  <si>
    <t>MM-1021</t>
  </si>
  <si>
    <t>MM-1022</t>
  </si>
  <si>
    <t>MM-1023</t>
  </si>
  <si>
    <t>MM-1024</t>
  </si>
  <si>
    <t>MM-1025</t>
  </si>
  <si>
    <t>MM-1026</t>
  </si>
  <si>
    <t>MM-1027</t>
  </si>
  <si>
    <t>MM-1028</t>
  </si>
  <si>
    <t>MM-1029</t>
  </si>
  <si>
    <t>MM-1030</t>
  </si>
  <si>
    <t>MM-1031</t>
  </si>
  <si>
    <t>MM-1032</t>
  </si>
  <si>
    <t>MM-1033</t>
  </si>
  <si>
    <t>MM-1034</t>
  </si>
  <si>
    <t>MM-1035</t>
  </si>
  <si>
    <t>MM-1036</t>
  </si>
  <si>
    <t>MM-1037</t>
  </si>
  <si>
    <t>MM-1038</t>
  </si>
  <si>
    <t>MM-1039</t>
  </si>
  <si>
    <t>MM-1040</t>
  </si>
  <si>
    <t>MM-1041</t>
  </si>
  <si>
    <t>MM-1042</t>
  </si>
  <si>
    <t>MM-1043</t>
  </si>
  <si>
    <t>MM-1044</t>
  </si>
  <si>
    <t>MM-1045</t>
  </si>
  <si>
    <t>MM-1046</t>
  </si>
  <si>
    <t>MM-1047</t>
  </si>
  <si>
    <t>MM-1048</t>
  </si>
  <si>
    <t>MM-1049</t>
  </si>
  <si>
    <t>MM-1050</t>
  </si>
  <si>
    <t>MM-1051</t>
  </si>
  <si>
    <t>MM-1052</t>
  </si>
  <si>
    <t>MM-1053</t>
  </si>
  <si>
    <t>MM-1054</t>
  </si>
  <si>
    <t>MM-1055</t>
  </si>
  <si>
    <t>MM-1056</t>
  </si>
  <si>
    <t>MM-1057</t>
  </si>
  <si>
    <t>MM-1058</t>
  </si>
  <si>
    <t>MM-1059</t>
  </si>
  <si>
    <t>MM-1060</t>
  </si>
  <si>
    <t>MM-1061</t>
  </si>
  <si>
    <t>MM-1062</t>
  </si>
  <si>
    <t>MM-1063</t>
  </si>
  <si>
    <t>MM-1064</t>
  </si>
  <si>
    <t>MM-1065</t>
  </si>
  <si>
    <t>MM-1066</t>
  </si>
  <si>
    <t>MM-1067</t>
  </si>
  <si>
    <t>MM-1068</t>
  </si>
  <si>
    <t>MM-1069</t>
  </si>
  <si>
    <t>MM-1070</t>
  </si>
  <si>
    <t>MM-1071</t>
  </si>
  <si>
    <t>MM-1072</t>
  </si>
  <si>
    <t>MM-1073</t>
  </si>
  <si>
    <t>MM-1074</t>
  </si>
  <si>
    <t>MM-1075</t>
  </si>
  <si>
    <t>MM-1076</t>
  </si>
  <si>
    <t>MM-1077</t>
  </si>
  <si>
    <t>MM-1078</t>
  </si>
  <si>
    <t>MM-1079</t>
  </si>
  <si>
    <t>MM-1080</t>
  </si>
  <si>
    <t>MM-1081</t>
  </si>
  <si>
    <t>MM-1082</t>
  </si>
  <si>
    <t>MM-1083</t>
  </si>
  <si>
    <t>MM-1084</t>
  </si>
  <si>
    <t>MM-1085</t>
  </si>
  <si>
    <t>MM-1086</t>
  </si>
  <si>
    <t>MM-1087</t>
  </si>
  <si>
    <t>MM-1088</t>
  </si>
  <si>
    <t>MM-1089</t>
  </si>
  <si>
    <t>MM-1090</t>
  </si>
  <si>
    <t>MM-1091</t>
  </si>
  <si>
    <t>MM-1092</t>
  </si>
  <si>
    <t>MM-1093</t>
  </si>
  <si>
    <t>MM-1094</t>
  </si>
  <si>
    <t>MM-1095</t>
  </si>
  <si>
    <t>MM-1096</t>
  </si>
  <si>
    <t>MM-1097</t>
  </si>
  <si>
    <t>MM-1098</t>
  </si>
  <si>
    <t>MM-1099</t>
  </si>
  <si>
    <t>MM-1100</t>
  </si>
  <si>
    <t>MM-1101</t>
  </si>
  <si>
    <t>MM-1102</t>
  </si>
  <si>
    <t>MM-1103</t>
  </si>
  <si>
    <t>MM-1104</t>
  </si>
  <si>
    <t>MM-1105</t>
  </si>
  <si>
    <t>MM-1106</t>
  </si>
  <si>
    <t>MM-1107</t>
  </si>
  <si>
    <t>MM-1108</t>
  </si>
  <si>
    <t>MM-1109</t>
  </si>
  <si>
    <t>MM-1110</t>
  </si>
  <si>
    <t>MM-1111</t>
  </si>
  <si>
    <t>MM-1112</t>
  </si>
  <si>
    <t>MM-1113</t>
  </si>
  <si>
    <t>MM-1114</t>
  </si>
  <si>
    <t>MM-1115</t>
  </si>
  <si>
    <t>MM-1116</t>
  </si>
  <si>
    <t>MM-1117</t>
  </si>
  <si>
    <t>MM-1118</t>
  </si>
  <si>
    <t>MM-1119</t>
  </si>
  <si>
    <t xml:space="preserve"> CHOCOLATE BAR </t>
  </si>
  <si>
    <t>MM-1120</t>
  </si>
  <si>
    <t>MM-1121</t>
  </si>
  <si>
    <t>MM-1122</t>
  </si>
  <si>
    <t>MM-1123</t>
  </si>
  <si>
    <t>MM-1124</t>
  </si>
  <si>
    <t>MM-1125</t>
  </si>
  <si>
    <t>MM-1126</t>
  </si>
  <si>
    <t>MM-1127</t>
  </si>
  <si>
    <t>MM-1128</t>
  </si>
  <si>
    <t>MM-1129</t>
  </si>
  <si>
    <t>MM-1130</t>
  </si>
  <si>
    <t>MM-1131</t>
  </si>
  <si>
    <t>MM-1132</t>
  </si>
  <si>
    <t>MM-1133</t>
  </si>
  <si>
    <t>MM-1134</t>
  </si>
  <si>
    <t>MM-1135</t>
  </si>
  <si>
    <t>MM-1136</t>
  </si>
  <si>
    <t>MM-1137</t>
  </si>
  <si>
    <t>MM-1138</t>
  </si>
  <si>
    <t>MM-1139</t>
  </si>
  <si>
    <t>MM-1140</t>
  </si>
  <si>
    <t>MM-1141</t>
  </si>
  <si>
    <t>MM-1142</t>
  </si>
  <si>
    <t>MM-1143</t>
  </si>
  <si>
    <t>MM-1144</t>
  </si>
  <si>
    <t>MM-1145</t>
  </si>
  <si>
    <t>MM-1146</t>
  </si>
  <si>
    <t>MM-1147</t>
  </si>
  <si>
    <t>MM-1148</t>
  </si>
  <si>
    <t>MM-1149</t>
  </si>
  <si>
    <t>MM-1150</t>
  </si>
  <si>
    <t>MM-1151</t>
  </si>
  <si>
    <t>MM-1152</t>
  </si>
  <si>
    <t>MM-1153</t>
  </si>
  <si>
    <t>MM-1154</t>
  </si>
  <si>
    <t>MM-1155</t>
  </si>
  <si>
    <t>MM-1156</t>
  </si>
  <si>
    <t>MM-1157</t>
  </si>
  <si>
    <t>MM-1158</t>
  </si>
  <si>
    <t>MM-1159</t>
  </si>
  <si>
    <t>MM-1160</t>
  </si>
  <si>
    <t>MM-1161</t>
  </si>
  <si>
    <t>MM-1162</t>
  </si>
  <si>
    <t>MM-1163</t>
  </si>
  <si>
    <t>MM-1164</t>
  </si>
  <si>
    <t>MM-1165</t>
  </si>
  <si>
    <t>MM-1166</t>
  </si>
  <si>
    <t>MM-1167</t>
  </si>
  <si>
    <t>MM-1168</t>
  </si>
  <si>
    <t>MM-1169</t>
  </si>
  <si>
    <t>MM-1170</t>
  </si>
  <si>
    <t>MM-1171</t>
  </si>
  <si>
    <t>MM-1172</t>
  </si>
  <si>
    <t>MM-1173</t>
  </si>
  <si>
    <t>MM-1174</t>
  </si>
  <si>
    <t>MM-1175</t>
  </si>
  <si>
    <t>MM-1176</t>
  </si>
  <si>
    <t>MM-1177</t>
  </si>
  <si>
    <t>MM-1178</t>
  </si>
  <si>
    <t>MM-1179</t>
  </si>
  <si>
    <t>MM-1180</t>
  </si>
  <si>
    <t>MM-1181</t>
  </si>
  <si>
    <t>MM-1182</t>
  </si>
  <si>
    <t>MM-1183</t>
  </si>
  <si>
    <t>MM-1184</t>
  </si>
  <si>
    <t>MM-1185</t>
  </si>
  <si>
    <t>MM-1186</t>
  </si>
  <si>
    <t>MM-1187</t>
  </si>
  <si>
    <t>MM-1188</t>
  </si>
  <si>
    <t>MM-1189</t>
  </si>
  <si>
    <t>MM-1190</t>
  </si>
  <si>
    <t>MM-1191</t>
  </si>
  <si>
    <t>MM-1192</t>
  </si>
  <si>
    <t>MM-1193</t>
  </si>
  <si>
    <t>MM-1194</t>
  </si>
  <si>
    <t>MM-1195</t>
  </si>
  <si>
    <t>MM-1196</t>
  </si>
  <si>
    <t>MM-1197</t>
  </si>
  <si>
    <t>MM-1198</t>
  </si>
  <si>
    <t>MM-1199</t>
  </si>
  <si>
    <t>MM-1200</t>
  </si>
  <si>
    <t>MM-1201</t>
  </si>
  <si>
    <t>MM-1202</t>
  </si>
  <si>
    <t>MM-1203</t>
  </si>
  <si>
    <t>MM-1204</t>
  </si>
  <si>
    <t>MM-1205</t>
  </si>
  <si>
    <t>MM-1206</t>
  </si>
  <si>
    <t>MM-1207</t>
  </si>
  <si>
    <t>MM-1208</t>
  </si>
  <si>
    <t>MM-1209</t>
  </si>
  <si>
    <t>MM-1210</t>
  </si>
  <si>
    <t>MM-1211</t>
  </si>
  <si>
    <t>MM-1212</t>
  </si>
  <si>
    <t>MM-1213</t>
  </si>
  <si>
    <t>MM-1214</t>
  </si>
  <si>
    <t>MM-1215</t>
  </si>
  <si>
    <t>MM-1216</t>
  </si>
  <si>
    <t>MM-1217</t>
  </si>
  <si>
    <t>MM-1218</t>
  </si>
  <si>
    <t>MM-1219</t>
  </si>
  <si>
    <t>MM-1220</t>
  </si>
  <si>
    <t>MM-1221</t>
  </si>
  <si>
    <t>MM-1222</t>
  </si>
  <si>
    <t>MM-1223</t>
  </si>
  <si>
    <t>MM-1224</t>
  </si>
  <si>
    <t>MM-1225</t>
  </si>
  <si>
    <t>MM-1226</t>
  </si>
  <si>
    <t>MM-1227</t>
  </si>
  <si>
    <t>MM-1228</t>
  </si>
  <si>
    <t>MM-1229</t>
  </si>
  <si>
    <t>MM-1230</t>
  </si>
  <si>
    <t>MM-1231</t>
  </si>
  <si>
    <t>MM-1232</t>
  </si>
  <si>
    <t>MM-1233</t>
  </si>
  <si>
    <t>MM-1234</t>
  </si>
  <si>
    <t>MM-1235</t>
  </si>
  <si>
    <t>MM-1236</t>
  </si>
  <si>
    <t>MM-1237</t>
  </si>
  <si>
    <t>MM-1238</t>
  </si>
  <si>
    <t>MM-1239</t>
  </si>
  <si>
    <t>MM-1240</t>
  </si>
  <si>
    <t>MM-1241</t>
  </si>
  <si>
    <t>MM-1242</t>
  </si>
  <si>
    <t>MM-1243</t>
  </si>
  <si>
    <t>MM-1244</t>
  </si>
  <si>
    <t>MM-1245</t>
  </si>
  <si>
    <t>MM-1246</t>
  </si>
  <si>
    <t>MM-1247</t>
  </si>
  <si>
    <t>MM-1248</t>
  </si>
  <si>
    <t>MM-1249</t>
  </si>
  <si>
    <t>MM-1250</t>
  </si>
  <si>
    <t>MM-1251</t>
  </si>
  <si>
    <t>MM-1252</t>
  </si>
  <si>
    <t>MM-1253</t>
  </si>
  <si>
    <t>MM-1254</t>
  </si>
  <si>
    <t>MM-1255</t>
  </si>
  <si>
    <t>MM-1256</t>
  </si>
  <si>
    <t>MM-1257</t>
  </si>
  <si>
    <t>MM-1258</t>
  </si>
  <si>
    <t>MM-1259</t>
  </si>
  <si>
    <t>MM-1260</t>
  </si>
  <si>
    <t>MM-1261</t>
  </si>
  <si>
    <t>MM-1262</t>
  </si>
  <si>
    <t>MM-1263</t>
  </si>
  <si>
    <t>MM-1264</t>
  </si>
  <si>
    <t>MM-1265</t>
  </si>
  <si>
    <t>MM-1266</t>
  </si>
  <si>
    <t>MM-1267</t>
  </si>
  <si>
    <t>MM-1268</t>
  </si>
  <si>
    <t>MM-1269</t>
  </si>
  <si>
    <t>MM-1270</t>
  </si>
  <si>
    <t>MM-1271</t>
  </si>
  <si>
    <t>MM-1272</t>
  </si>
  <si>
    <t>MM-1273</t>
  </si>
  <si>
    <t>MM-1274</t>
  </si>
  <si>
    <t>MM-1275</t>
  </si>
  <si>
    <t>MM-1276</t>
  </si>
  <si>
    <t>MM-1277</t>
  </si>
  <si>
    <t>MM-1278</t>
  </si>
  <si>
    <t>MM-1279</t>
  </si>
  <si>
    <t>MM-1280</t>
  </si>
  <si>
    <t>MM-1281</t>
  </si>
  <si>
    <t>MM-1282</t>
  </si>
  <si>
    <t>MM-1283</t>
  </si>
  <si>
    <t>MM-1284</t>
  </si>
  <si>
    <t xml:space="preserve"> SOAP BAR </t>
  </si>
  <si>
    <t>MM-1285</t>
  </si>
  <si>
    <t>MM-1286</t>
  </si>
  <si>
    <t>MM-1287</t>
  </si>
  <si>
    <t>MM-1288</t>
  </si>
  <si>
    <t>MM-1289</t>
  </si>
  <si>
    <t>MM-1290</t>
  </si>
  <si>
    <t>MM-1291</t>
  </si>
  <si>
    <t>MM-1292</t>
  </si>
  <si>
    <t>MM-1293</t>
  </si>
  <si>
    <t>MM-1294</t>
  </si>
  <si>
    <t>MM-1295</t>
  </si>
  <si>
    <t>MM-1296</t>
  </si>
  <si>
    <t>MM-1297</t>
  </si>
  <si>
    <t>MM-1298</t>
  </si>
  <si>
    <t>MM-1299</t>
  </si>
  <si>
    <t>MM-1300</t>
  </si>
  <si>
    <t>MM-1301</t>
  </si>
  <si>
    <t>MM-1302</t>
  </si>
  <si>
    <t>MM-1303</t>
  </si>
  <si>
    <t>MM-1304</t>
  </si>
  <si>
    <t>MM-1305</t>
  </si>
  <si>
    <t>MM-1306</t>
  </si>
  <si>
    <t>MM-1307</t>
  </si>
  <si>
    <t>MM-1308</t>
  </si>
  <si>
    <t>MM-1309</t>
  </si>
  <si>
    <t>MM-1310</t>
  </si>
  <si>
    <t>MM-1311</t>
  </si>
  <si>
    <t>MM-1312</t>
  </si>
  <si>
    <t>MM-1313</t>
  </si>
  <si>
    <t>MM-1314</t>
  </si>
  <si>
    <t>MM-1315</t>
  </si>
  <si>
    <t>MM-1316</t>
  </si>
  <si>
    <t>MM-1317</t>
  </si>
  <si>
    <t>MM-1318</t>
  </si>
  <si>
    <t>MM-1319</t>
  </si>
  <si>
    <t>MM-1320</t>
  </si>
  <si>
    <t>MM-1321</t>
  </si>
  <si>
    <t>MM-1322</t>
  </si>
  <si>
    <t>MM-1323</t>
  </si>
  <si>
    <t>MM-1324</t>
  </si>
  <si>
    <t>MM-1325</t>
  </si>
  <si>
    <t>MM-1326</t>
  </si>
  <si>
    <t>MM-1327</t>
  </si>
  <si>
    <t>MM-1328</t>
  </si>
  <si>
    <t>MM-1329</t>
  </si>
  <si>
    <t>MM-1330</t>
  </si>
  <si>
    <t>MM-1331</t>
  </si>
  <si>
    <t>MM-1332</t>
  </si>
  <si>
    <t>MM-1333</t>
  </si>
  <si>
    <t>MM-1334</t>
  </si>
  <si>
    <t>MM-1335</t>
  </si>
  <si>
    <t>MM-1336</t>
  </si>
  <si>
    <t>MM-1337</t>
  </si>
  <si>
    <t>MM-1338</t>
  </si>
  <si>
    <t>MM-1339</t>
  </si>
  <si>
    <t>MM-1340</t>
  </si>
  <si>
    <t>MM-1341</t>
  </si>
  <si>
    <t>MM-1342</t>
  </si>
  <si>
    <t>MM-1343</t>
  </si>
  <si>
    <t>MM-1344</t>
  </si>
  <si>
    <t>MM-1345</t>
  </si>
  <si>
    <t>MM-1346</t>
  </si>
  <si>
    <t>MM-1347</t>
  </si>
  <si>
    <t>MM-1348</t>
  </si>
  <si>
    <t>MM-1349</t>
  </si>
  <si>
    <t>MM-1350</t>
  </si>
  <si>
    <t>MM-1351</t>
  </si>
  <si>
    <t>MM-1352</t>
  </si>
  <si>
    <t>MM-1353</t>
  </si>
  <si>
    <t>MM-1354</t>
  </si>
  <si>
    <t>MM-1355</t>
  </si>
  <si>
    <t>MM-1356</t>
  </si>
  <si>
    <t>MM-1357</t>
  </si>
  <si>
    <t>MM-1358</t>
  </si>
  <si>
    <t>MM-1359</t>
  </si>
  <si>
    <t>MM-1360</t>
  </si>
  <si>
    <t>MM-1361</t>
  </si>
  <si>
    <t>MM-1362</t>
  </si>
  <si>
    <t>MM-1363</t>
  </si>
  <si>
    <t>MM-1364</t>
  </si>
  <si>
    <t>MM-1365</t>
  </si>
  <si>
    <t>MM-1366</t>
  </si>
  <si>
    <t>MM-1367</t>
  </si>
  <si>
    <t>MM-1368</t>
  </si>
  <si>
    <t>MM-1369</t>
  </si>
  <si>
    <t>MM-1370</t>
  </si>
  <si>
    <t>MM-1371</t>
  </si>
  <si>
    <t>MM-1372</t>
  </si>
  <si>
    <t>MM-1373</t>
  </si>
  <si>
    <t>MM-1374</t>
  </si>
  <si>
    <t>MM-1375</t>
  </si>
  <si>
    <t>MM-1376</t>
  </si>
  <si>
    <t>MM-1377</t>
  </si>
  <si>
    <t>MM-1378</t>
  </si>
  <si>
    <t>MM-1379</t>
  </si>
  <si>
    <t>MM-1380</t>
  </si>
  <si>
    <t>MM-1381</t>
  </si>
  <si>
    <t>MM-1382</t>
  </si>
  <si>
    <t>MM-1383</t>
  </si>
  <si>
    <t>MM-1384</t>
  </si>
  <si>
    <t>MM-1385</t>
  </si>
  <si>
    <t>MM-1386</t>
  </si>
  <si>
    <t>MM-1387</t>
  </si>
  <si>
    <t>MM-1388</t>
  </si>
  <si>
    <t>MM-1389</t>
  </si>
  <si>
    <t>MM-1390</t>
  </si>
  <si>
    <t>MM-1391</t>
  </si>
  <si>
    <t>MM-1392</t>
  </si>
  <si>
    <t>MM-1393</t>
  </si>
  <si>
    <t>MM-1394</t>
  </si>
  <si>
    <t>MM-1395</t>
  </si>
  <si>
    <t>MM-1396</t>
  </si>
  <si>
    <t>MM-1397</t>
  </si>
  <si>
    <t>MM-1398</t>
  </si>
  <si>
    <t>MM-1399</t>
  </si>
  <si>
    <t>MM-1400</t>
  </si>
  <si>
    <t>MM-1401</t>
  </si>
  <si>
    <t>MM-1402</t>
  </si>
  <si>
    <t>MM-1403</t>
  </si>
  <si>
    <t>MM-1404</t>
  </si>
  <si>
    <t>MM-1405</t>
  </si>
  <si>
    <t>MM-1406</t>
  </si>
  <si>
    <t>MM-1407</t>
  </si>
  <si>
    <t>MM-1408</t>
  </si>
  <si>
    <t>MM-1409</t>
  </si>
  <si>
    <t>MM-1410</t>
  </si>
  <si>
    <t>MM-1411</t>
  </si>
  <si>
    <t>MM-1412</t>
  </si>
  <si>
    <t>MM-1413</t>
  </si>
  <si>
    <t>MM-1414</t>
  </si>
  <si>
    <t>MM-1415</t>
  </si>
  <si>
    <t>MM-1416</t>
  </si>
  <si>
    <t>MM-1417</t>
  </si>
  <si>
    <t>MM-1418</t>
  </si>
  <si>
    <t>MM-1419</t>
  </si>
  <si>
    <t>MM-1420</t>
  </si>
  <si>
    <t>MM-1421</t>
  </si>
  <si>
    <t>MM-1422</t>
  </si>
  <si>
    <t>MM-1423</t>
  </si>
  <si>
    <t>MM-1424</t>
  </si>
  <si>
    <t>MM-1425</t>
  </si>
  <si>
    <t>MM-1426</t>
  </si>
  <si>
    <t>MM-1427</t>
  </si>
  <si>
    <t>MM-1428</t>
  </si>
  <si>
    <t>MM-1429</t>
  </si>
  <si>
    <t>MM-1430</t>
  </si>
  <si>
    <t>MM-1431</t>
  </si>
  <si>
    <t>MM-1432</t>
  </si>
  <si>
    <t>MM-1433</t>
  </si>
  <si>
    <t>MM-1434</t>
  </si>
  <si>
    <t>MM-1435</t>
  </si>
  <si>
    <t>MM-1436</t>
  </si>
  <si>
    <t>MM-1437</t>
  </si>
  <si>
    <t>MM-1438</t>
  </si>
  <si>
    <t>MM-1439</t>
  </si>
  <si>
    <t>MM-1440</t>
  </si>
  <si>
    <t>MM-1441</t>
  </si>
  <si>
    <t>MM-1442</t>
  </si>
  <si>
    <t>MM-1443</t>
  </si>
  <si>
    <t>MM-1444</t>
  </si>
  <si>
    <t>MM-1445</t>
  </si>
  <si>
    <t>MM-1446</t>
  </si>
  <si>
    <t>MM-1447</t>
  </si>
  <si>
    <t>MM-1448</t>
  </si>
  <si>
    <t>MM-1449</t>
  </si>
  <si>
    <t>MM-1450</t>
  </si>
  <si>
    <t>MM-1451</t>
  </si>
  <si>
    <t>MM-1452</t>
  </si>
  <si>
    <t>MM-1453</t>
  </si>
  <si>
    <t>MM-1454</t>
  </si>
  <si>
    <t>MM-1455</t>
  </si>
  <si>
    <t>MM-1456</t>
  </si>
  <si>
    <t>MM-1457</t>
  </si>
  <si>
    <t>MM-1458</t>
  </si>
  <si>
    <t>MM-1459</t>
  </si>
  <si>
    <t>MM-1460</t>
  </si>
  <si>
    <t>MM-1461</t>
  </si>
  <si>
    <t>MM-1462</t>
  </si>
  <si>
    <t>MM-1463</t>
  </si>
  <si>
    <t>MM-1464</t>
  </si>
  <si>
    <t>MM-1465</t>
  </si>
  <si>
    <t>MM-1466</t>
  </si>
  <si>
    <t>MM-1467</t>
  </si>
  <si>
    <t>MM-1468</t>
  </si>
  <si>
    <t>MM-1469</t>
  </si>
  <si>
    <t>MM-1470</t>
  </si>
  <si>
    <t>MM-1471</t>
  </si>
  <si>
    <t>MM-1472</t>
  </si>
  <si>
    <t>MM-1473</t>
  </si>
  <si>
    <t>MM-1474</t>
  </si>
  <si>
    <t>MM-1475</t>
  </si>
  <si>
    <t>MM-1476</t>
  </si>
  <si>
    <t>MM-1477</t>
  </si>
  <si>
    <t>MM-1478</t>
  </si>
  <si>
    <t>MM-1479</t>
  </si>
  <si>
    <t>MM-1480</t>
  </si>
  <si>
    <t>MM-1481</t>
  </si>
  <si>
    <t>MM-1482</t>
  </si>
  <si>
    <t>MM-1483</t>
  </si>
  <si>
    <t>MM-1484</t>
  </si>
  <si>
    <t>MM-1485</t>
  </si>
  <si>
    <t>MM-1486</t>
  </si>
  <si>
    <t>MM-1487</t>
  </si>
  <si>
    <t>MM-1488</t>
  </si>
  <si>
    <t>MM-1489</t>
  </si>
  <si>
    <t>MM-1490</t>
  </si>
  <si>
    <t>MM-1491</t>
  </si>
  <si>
    <t>MM-1492</t>
  </si>
  <si>
    <t>MM-1493</t>
  </si>
  <si>
    <t>MM-1494</t>
  </si>
  <si>
    <t>MM-1495</t>
  </si>
  <si>
    <t>MM-1496</t>
  </si>
  <si>
    <t>MM-1497</t>
  </si>
  <si>
    <t>MM-1498</t>
  </si>
  <si>
    <t>MM-1499</t>
  </si>
  <si>
    <t>MM-1500</t>
  </si>
  <si>
    <t>MM-1501</t>
  </si>
  <si>
    <t>MM-1502</t>
  </si>
  <si>
    <t>MM-1503</t>
  </si>
  <si>
    <t>MM-1504</t>
  </si>
  <si>
    <t>MM-1505</t>
  </si>
  <si>
    <t>MM-1506</t>
  </si>
  <si>
    <t>MM-1507</t>
  </si>
  <si>
    <t>MM-1508</t>
  </si>
  <si>
    <t>MM-1509</t>
  </si>
  <si>
    <t>MM-1510</t>
  </si>
  <si>
    <t>MM-1511</t>
  </si>
  <si>
    <t>MM-1512</t>
  </si>
  <si>
    <t>MM-1513</t>
  </si>
  <si>
    <t>MM-1514</t>
  </si>
  <si>
    <t>MM-1515</t>
  </si>
  <si>
    <t>MM-1516</t>
  </si>
  <si>
    <t>MM-1517</t>
  </si>
  <si>
    <t>MM-1518</t>
  </si>
  <si>
    <t>MM-1519</t>
  </si>
  <si>
    <t>MM-1520</t>
  </si>
  <si>
    <t>MM-1521</t>
  </si>
  <si>
    <t>MM-1522</t>
  </si>
  <si>
    <t>MM-1523</t>
  </si>
  <si>
    <t>MM-1524</t>
  </si>
  <si>
    <t>MM-1525</t>
  </si>
  <si>
    <t>MM-1526</t>
  </si>
  <si>
    <t>MM-1527</t>
  </si>
  <si>
    <t>MM-1528</t>
  </si>
  <si>
    <t>MM-1529</t>
  </si>
  <si>
    <t>MM-1530</t>
  </si>
  <si>
    <t>MM-1531</t>
  </si>
  <si>
    <t>MM-1532</t>
  </si>
  <si>
    <t>MM-1533</t>
  </si>
  <si>
    <t>MM-1534</t>
  </si>
  <si>
    <t>MM-1535</t>
  </si>
  <si>
    <t>MM-1536</t>
  </si>
  <si>
    <t>MM-1537</t>
  </si>
  <si>
    <t>MM-1538</t>
  </si>
  <si>
    <t>MM-1539</t>
  </si>
  <si>
    <t>MM-1540</t>
  </si>
  <si>
    <t>MM-1541</t>
  </si>
  <si>
    <t>MM-1542</t>
  </si>
  <si>
    <t>MM-1543</t>
  </si>
  <si>
    <t>MM-1544</t>
  </si>
  <si>
    <t>MM-1545</t>
  </si>
  <si>
    <t>MM-1546</t>
  </si>
  <si>
    <t>MM-1547</t>
  </si>
  <si>
    <t>MM-1548</t>
  </si>
  <si>
    <t>MM-1549</t>
  </si>
  <si>
    <t>MM-1550</t>
  </si>
  <si>
    <t>MM-1551</t>
  </si>
  <si>
    <t>MM-1552</t>
  </si>
  <si>
    <t>MM-1553</t>
  </si>
  <si>
    <t>MM-1554</t>
  </si>
  <si>
    <t>MM-1555</t>
  </si>
  <si>
    <t>MM-1556</t>
  </si>
  <si>
    <t>MM-1557</t>
  </si>
  <si>
    <t>MM-1558</t>
  </si>
  <si>
    <t>MM-1559</t>
  </si>
  <si>
    <t>MM-1560</t>
  </si>
  <si>
    <t>MM-1561</t>
  </si>
  <si>
    <t>MM-1562</t>
  </si>
  <si>
    <t>MM-1563</t>
  </si>
  <si>
    <t>MM-1564</t>
  </si>
  <si>
    <t>MM-1565</t>
  </si>
  <si>
    <t>MM-1566</t>
  </si>
  <si>
    <t>MM-1567</t>
  </si>
  <si>
    <t>MM-1568</t>
  </si>
  <si>
    <t>MM-1569</t>
  </si>
  <si>
    <t>MM-1570</t>
  </si>
  <si>
    <t>MM-1571</t>
  </si>
  <si>
    <t>MM-1572</t>
  </si>
  <si>
    <t>MM-1573</t>
  </si>
  <si>
    <t>MM-1574</t>
  </si>
  <si>
    <t>MM-1575</t>
  </si>
  <si>
    <t>MM-1576</t>
  </si>
  <si>
    <t>MM-1577</t>
  </si>
  <si>
    <t>MM-1578</t>
  </si>
  <si>
    <t>MM-1579</t>
  </si>
  <si>
    <t>MM-1580</t>
  </si>
  <si>
    <t>MM-1581</t>
  </si>
  <si>
    <t>MM-1582</t>
  </si>
  <si>
    <t>MM-1583</t>
  </si>
  <si>
    <t>MM-1584</t>
  </si>
  <si>
    <t>MM-1585</t>
  </si>
  <si>
    <t>MM-1586</t>
  </si>
  <si>
    <t>MM-1587</t>
  </si>
  <si>
    <t>MM-1588</t>
  </si>
  <si>
    <t>MM-1589</t>
  </si>
  <si>
    <t>MM-1590</t>
  </si>
  <si>
    <t>MM-1591</t>
  </si>
  <si>
    <t>MM-1592</t>
  </si>
  <si>
    <t>MM-1593</t>
  </si>
  <si>
    <t>MM-1594</t>
  </si>
  <si>
    <t>MM-1595</t>
  </si>
  <si>
    <t>MM-1596</t>
  </si>
  <si>
    <t>MM-1597</t>
  </si>
  <si>
    <t>MM-1598</t>
  </si>
  <si>
    <t>MM-1599</t>
  </si>
  <si>
    <t>MM-1600</t>
  </si>
  <si>
    <t>MM-1601</t>
  </si>
  <si>
    <t>MM-1602</t>
  </si>
  <si>
    <t>MM-1603</t>
  </si>
  <si>
    <t>MM-1604</t>
  </si>
  <si>
    <t>MM-1605</t>
  </si>
  <si>
    <t>MM-1606</t>
  </si>
  <si>
    <t>MM-1607</t>
  </si>
  <si>
    <t>MM-1608</t>
  </si>
  <si>
    <t>MM-1609</t>
  </si>
  <si>
    <t>MM-1610</t>
  </si>
  <si>
    <t>MM-1611</t>
  </si>
  <si>
    <t>MM-1612</t>
  </si>
  <si>
    <t>MM-1613</t>
  </si>
  <si>
    <t>MM-1614</t>
  </si>
  <si>
    <t>MM-1615</t>
  </si>
  <si>
    <t>MM-1616</t>
  </si>
  <si>
    <t>MM-1617</t>
  </si>
  <si>
    <t>MM-1618</t>
  </si>
  <si>
    <t>MM-1619</t>
  </si>
  <si>
    <t>MM-1620</t>
  </si>
  <si>
    <t>MM-1621</t>
  </si>
  <si>
    <t>MM-1622</t>
  </si>
  <si>
    <t>MM-1623</t>
  </si>
  <si>
    <t>MM-1624</t>
  </si>
  <si>
    <t>MM-1625</t>
  </si>
  <si>
    <t>MM-1626</t>
  </si>
  <si>
    <t>MM-1627</t>
  </si>
  <si>
    <t>MM-1628</t>
  </si>
  <si>
    <t>MM-1629</t>
  </si>
  <si>
    <t>MM-1630</t>
  </si>
  <si>
    <t>MM-1631</t>
  </si>
  <si>
    <t>MM-1632</t>
  </si>
  <si>
    <t>MM-1633</t>
  </si>
  <si>
    <t>MM-1634</t>
  </si>
  <si>
    <t>MM-1635</t>
  </si>
  <si>
    <t>MM-1636</t>
  </si>
  <si>
    <t>MM-1637</t>
  </si>
  <si>
    <t>MM-1638</t>
  </si>
  <si>
    <t>MM-1639</t>
  </si>
  <si>
    <t>MM-1640</t>
  </si>
  <si>
    <t>MM-1641</t>
  </si>
  <si>
    <t>MM-1642</t>
  </si>
  <si>
    <t>MM-1643</t>
  </si>
  <si>
    <t>MM-1644</t>
  </si>
  <si>
    <t>MM-1645</t>
  </si>
  <si>
    <t>MM-1646</t>
  </si>
  <si>
    <t>MM-1647</t>
  </si>
  <si>
    <t>MM-1648</t>
  </si>
  <si>
    <t>MM-1649</t>
  </si>
  <si>
    <t>MM-1650</t>
  </si>
  <si>
    <t>MM-1651</t>
  </si>
  <si>
    <t>MM-1652</t>
  </si>
  <si>
    <t>MM-1653</t>
  </si>
  <si>
    <t>MM-1654</t>
  </si>
  <si>
    <t>MM-1655</t>
  </si>
  <si>
    <t>MM-1656</t>
  </si>
  <si>
    <t>MM-1657</t>
  </si>
  <si>
    <t>MM-1658</t>
  </si>
  <si>
    <t>MM-1659</t>
  </si>
  <si>
    <t>MM-1660</t>
  </si>
  <si>
    <t>MM-1661</t>
  </si>
  <si>
    <t>MM-1662</t>
  </si>
  <si>
    <t>MM-1663</t>
  </si>
  <si>
    <t>MM-1664</t>
  </si>
  <si>
    <t>MM-1665</t>
  </si>
  <si>
    <t>MM-1666</t>
  </si>
  <si>
    <t>MM-1667</t>
  </si>
  <si>
    <t>MM-1668</t>
  </si>
  <si>
    <t>MM-1669</t>
  </si>
  <si>
    <t>MM-1670</t>
  </si>
  <si>
    <t>MM-1671</t>
  </si>
  <si>
    <t>MM-1672</t>
  </si>
  <si>
    <t>MM-1673</t>
  </si>
  <si>
    <t>MM-1674</t>
  </si>
  <si>
    <t>MM-1675</t>
  </si>
  <si>
    <t>MM-1676</t>
  </si>
  <si>
    <t>MM-1677</t>
  </si>
  <si>
    <t>MM-1678</t>
  </si>
  <si>
    <t>MM-1679</t>
  </si>
  <si>
    <t>MM-1680</t>
  </si>
  <si>
    <t>MM-1681</t>
  </si>
  <si>
    <t>MM-1682</t>
  </si>
  <si>
    <t>MM-1683</t>
  </si>
  <si>
    <t>MM-1684</t>
  </si>
  <si>
    <t>MM-1685</t>
  </si>
  <si>
    <t>MM-1686</t>
  </si>
  <si>
    <t>MM-1687</t>
  </si>
  <si>
    <t>MM-1688</t>
  </si>
  <si>
    <t>MM-1689</t>
  </si>
  <si>
    <t>MM-1690</t>
  </si>
  <si>
    <t>MM-1691</t>
  </si>
  <si>
    <t>MM-1692</t>
  </si>
  <si>
    <t>MM-1693</t>
  </si>
  <si>
    <t>MM-1694</t>
  </si>
  <si>
    <t>MM-1695</t>
  </si>
  <si>
    <t>MM-1696</t>
  </si>
  <si>
    <t>MM-1697</t>
  </si>
  <si>
    <t>MM-1698</t>
  </si>
  <si>
    <t>MM-1699</t>
  </si>
  <si>
    <t>MM-1700</t>
  </si>
  <si>
    <t>MM-1701</t>
  </si>
  <si>
    <t>MM-1702</t>
  </si>
  <si>
    <t>MM-1703</t>
  </si>
  <si>
    <t>MM-1704</t>
  </si>
  <si>
    <t>MM-1705</t>
  </si>
  <si>
    <t>MM-1706</t>
  </si>
  <si>
    <t>MM-1707</t>
  </si>
  <si>
    <t>MM-1708</t>
  </si>
  <si>
    <t>MM-1709</t>
  </si>
  <si>
    <t>MM-1710</t>
  </si>
  <si>
    <t>MM-1711</t>
  </si>
  <si>
    <t>MM-1712</t>
  </si>
  <si>
    <t>MM-1713</t>
  </si>
  <si>
    <t>MM-1714</t>
  </si>
  <si>
    <t>MM-1715</t>
  </si>
  <si>
    <t>MM-1716</t>
  </si>
  <si>
    <t>MM-1717</t>
  </si>
  <si>
    <t>MM-1718</t>
  </si>
  <si>
    <t>MM-1719</t>
  </si>
  <si>
    <t>MM-1720</t>
  </si>
  <si>
    <t>MM-1721</t>
  </si>
  <si>
    <t>MM-1722</t>
  </si>
  <si>
    <t>MM-1723</t>
  </si>
  <si>
    <t>MM-1724</t>
  </si>
  <si>
    <t>MM-1725</t>
  </si>
  <si>
    <t>MM-1726</t>
  </si>
  <si>
    <t>MM-1727</t>
  </si>
  <si>
    <t>MM-1728</t>
  </si>
  <si>
    <t>MM-1729</t>
  </si>
  <si>
    <t>MM-1730</t>
  </si>
  <si>
    <t>MM-1731</t>
  </si>
  <si>
    <t>MM-1732</t>
  </si>
  <si>
    <t>MM-1733</t>
  </si>
  <si>
    <t>MM-1734</t>
  </si>
  <si>
    <t>MM-1735</t>
  </si>
  <si>
    <t>MM-1736</t>
  </si>
  <si>
    <t>MM-1737</t>
  </si>
  <si>
    <t>MM-1738</t>
  </si>
  <si>
    <t>MM-1739</t>
  </si>
  <si>
    <t>MM-1740</t>
  </si>
  <si>
    <t>MM-1741</t>
  </si>
  <si>
    <t>MM-1742</t>
  </si>
  <si>
    <t>MM-1743</t>
  </si>
  <si>
    <t>MM-1744</t>
  </si>
  <si>
    <t>MM-1745</t>
  </si>
  <si>
    <t>MM-1746</t>
  </si>
  <si>
    <t>MM-1747</t>
  </si>
  <si>
    <t>MM-1748</t>
  </si>
  <si>
    <t>MM-1749</t>
  </si>
  <si>
    <t>MM-1750</t>
  </si>
  <si>
    <t>MM-1751</t>
  </si>
  <si>
    <t>MM-1752</t>
  </si>
  <si>
    <t>MM-1753</t>
  </si>
  <si>
    <t>MM-1754</t>
  </si>
  <si>
    <t>MM-1755</t>
  </si>
  <si>
    <t>MM-1756</t>
  </si>
  <si>
    <t>MM-1757</t>
  </si>
  <si>
    <t>MM-1758</t>
  </si>
  <si>
    <t>MM-1759</t>
  </si>
  <si>
    <t>MM-1760</t>
  </si>
  <si>
    <t>MM-1761</t>
  </si>
  <si>
    <t>MM-1762</t>
  </si>
  <si>
    <t>MM-1763</t>
  </si>
  <si>
    <t>MM-1764</t>
  </si>
  <si>
    <t>MM-1765</t>
  </si>
  <si>
    <t>MM-1766</t>
  </si>
  <si>
    <t>MM-1767</t>
  </si>
  <si>
    <t>MM-1768</t>
  </si>
  <si>
    <t>MM-1769</t>
  </si>
  <si>
    <t>MM-1770</t>
  </si>
  <si>
    <t>MM-1771</t>
  </si>
  <si>
    <t>MM-1772</t>
  </si>
  <si>
    <t>MM-1773</t>
  </si>
  <si>
    <t>MM-1774</t>
  </si>
  <si>
    <t>MM-1775</t>
  </si>
  <si>
    <t>MM-1776</t>
  </si>
  <si>
    <t>MM-1777</t>
  </si>
  <si>
    <t>MM-1778</t>
  </si>
  <si>
    <t>MM-1779</t>
  </si>
  <si>
    <t>MM-1780</t>
  </si>
  <si>
    <t>MM-1781</t>
  </si>
  <si>
    <t>MM-1782</t>
  </si>
  <si>
    <t>MM-1783</t>
  </si>
  <si>
    <t>MM-1784</t>
  </si>
  <si>
    <t>MM-1785</t>
  </si>
  <si>
    <t>MM-1786</t>
  </si>
  <si>
    <t>MM-1787</t>
  </si>
  <si>
    <t>MM-1788</t>
  </si>
  <si>
    <t>MM-1789</t>
  </si>
  <si>
    <t>MM-1790</t>
  </si>
  <si>
    <t>MM-1791</t>
  </si>
  <si>
    <t>MM-1792</t>
  </si>
  <si>
    <t>MM-1793</t>
  </si>
  <si>
    <t>MM-1794</t>
  </si>
  <si>
    <t>MM-1795</t>
  </si>
  <si>
    <t>MM-1796</t>
  </si>
  <si>
    <t>MM-1797</t>
  </si>
  <si>
    <t>MM-1798</t>
  </si>
  <si>
    <t>MM-1799</t>
  </si>
  <si>
    <t>MM-1800</t>
  </si>
  <si>
    <t>MM-1801</t>
  </si>
  <si>
    <t>MM-1802</t>
  </si>
  <si>
    <t>MM-1803</t>
  </si>
  <si>
    <t>MM-1804</t>
  </si>
  <si>
    <t>MM-1805</t>
  </si>
  <si>
    <t>MM-1806</t>
  </si>
  <si>
    <t>MM-1807</t>
  </si>
  <si>
    <t>MM-1808</t>
  </si>
  <si>
    <t>MM-1809</t>
  </si>
  <si>
    <t>MM-1810</t>
  </si>
  <si>
    <t>MM-1811</t>
  </si>
  <si>
    <t>MM-1812</t>
  </si>
  <si>
    <t>MM-1813</t>
  </si>
  <si>
    <t>MM-1814</t>
  </si>
  <si>
    <t>MM-1815</t>
  </si>
  <si>
    <t>MM-1816</t>
  </si>
  <si>
    <t>MM-1817</t>
  </si>
  <si>
    <t>MM-1818</t>
  </si>
  <si>
    <t>MM-1819</t>
  </si>
  <si>
    <t>MM-1820</t>
  </si>
  <si>
    <t>MM-1821</t>
  </si>
  <si>
    <t>MM-1822</t>
  </si>
  <si>
    <t>MM-1823</t>
  </si>
  <si>
    <t>MM-1824</t>
  </si>
  <si>
    <t>MM-1825</t>
  </si>
  <si>
    <t>MM-1826</t>
  </si>
  <si>
    <t>MM-1827</t>
  </si>
  <si>
    <t>MM-1828</t>
  </si>
  <si>
    <t>MM-1829</t>
  </si>
  <si>
    <t>MM-1830</t>
  </si>
  <si>
    <t>MM-1831</t>
  </si>
  <si>
    <t>MM-1832</t>
  </si>
  <si>
    <t>MM-1833</t>
  </si>
  <si>
    <t>MM-1834</t>
  </si>
  <si>
    <t>MM-1835</t>
  </si>
  <si>
    <t>MM-1836</t>
  </si>
  <si>
    <t>MM-1837</t>
  </si>
  <si>
    <t>MM-1838</t>
  </si>
  <si>
    <t>MM-1839</t>
  </si>
  <si>
    <t>MM-1840</t>
  </si>
  <si>
    <t>MM-1841</t>
  </si>
  <si>
    <t>MM-1842</t>
  </si>
  <si>
    <t>MM-1843</t>
  </si>
  <si>
    <t>MM-1844</t>
  </si>
  <si>
    <t>MM-1845</t>
  </si>
  <si>
    <t>MM-1846</t>
  </si>
  <si>
    <t>MM-1847</t>
  </si>
  <si>
    <t>MM-1848</t>
  </si>
  <si>
    <t>MM-1849</t>
  </si>
  <si>
    <t>MM-1850</t>
  </si>
  <si>
    <t>MM-1851</t>
  </si>
  <si>
    <t>MM-1852</t>
  </si>
  <si>
    <t>MM-1853</t>
  </si>
  <si>
    <t>MM-1854</t>
  </si>
  <si>
    <t>MM-1855</t>
  </si>
  <si>
    <t>MM-1856</t>
  </si>
  <si>
    <t>MM-1857</t>
  </si>
  <si>
    <t>MM-1858</t>
  </si>
  <si>
    <t>MM-1859</t>
  </si>
  <si>
    <t>MM-1860</t>
  </si>
  <si>
    <t>MM-1861</t>
  </si>
  <si>
    <t>MM-1862</t>
  </si>
  <si>
    <t>MM-1863</t>
  </si>
  <si>
    <t>MM-1864</t>
  </si>
  <si>
    <t>MM-1865</t>
  </si>
  <si>
    <t>MM-1866</t>
  </si>
  <si>
    <t>MM-1867</t>
  </si>
  <si>
    <t>MM-1868</t>
  </si>
  <si>
    <t>MM-1869</t>
  </si>
  <si>
    <t>MM-1870</t>
  </si>
  <si>
    <t>MM-1871</t>
  </si>
  <si>
    <t>MM-1872</t>
  </si>
  <si>
    <t>MM-1873</t>
  </si>
  <si>
    <t>MM-1874</t>
  </si>
  <si>
    <t>MM-1875</t>
  </si>
  <si>
    <t>MM-1876</t>
  </si>
  <si>
    <t>MM-1877</t>
  </si>
  <si>
    <t>MM-1878</t>
  </si>
  <si>
    <t>MM-1879</t>
  </si>
  <si>
    <t>MM-1880</t>
  </si>
  <si>
    <t>MM-1881</t>
  </si>
  <si>
    <t>MM-1882</t>
  </si>
  <si>
    <t>MM-1883</t>
  </si>
  <si>
    <t>MM-1884</t>
  </si>
  <si>
    <t>MM-1885</t>
  </si>
  <si>
    <t>MM-1886</t>
  </si>
  <si>
    <t>MM-1887</t>
  </si>
  <si>
    <t>MM-1888</t>
  </si>
  <si>
    <t>MM-1889</t>
  </si>
  <si>
    <t>MM-1890</t>
  </si>
  <si>
    <t>MM-1891</t>
  </si>
  <si>
    <t>MM-1892</t>
  </si>
  <si>
    <t>MM-1893</t>
  </si>
  <si>
    <t>MM-1894</t>
  </si>
  <si>
    <t>MM-1895</t>
  </si>
  <si>
    <t>MM-1896</t>
  </si>
  <si>
    <t>MM-1897</t>
  </si>
  <si>
    <t>MM-1898</t>
  </si>
  <si>
    <t>MM-1899</t>
  </si>
  <si>
    <t>MM-1900</t>
  </si>
  <si>
    <t>MM-1901</t>
  </si>
  <si>
    <t>MM-1902</t>
  </si>
  <si>
    <t>MM-1903</t>
  </si>
  <si>
    <t>MM-1904</t>
  </si>
  <si>
    <t>MM-1905</t>
  </si>
  <si>
    <t>MM-1906</t>
  </si>
  <si>
    <t>MM-1907</t>
  </si>
  <si>
    <t>MM-1908</t>
  </si>
  <si>
    <t>MM-1909</t>
  </si>
  <si>
    <t>MM-1910</t>
  </si>
  <si>
    <t>MM-1911</t>
  </si>
  <si>
    <t>MM-1912</t>
  </si>
  <si>
    <t>MM-1913</t>
  </si>
  <si>
    <t>MM-1914</t>
  </si>
  <si>
    <t>MM-1915</t>
  </si>
  <si>
    <t>MM-1916</t>
  </si>
  <si>
    <t>MM-1917</t>
  </si>
  <si>
    <t>MM-1918</t>
  </si>
  <si>
    <t>MM-1919</t>
  </si>
  <si>
    <t>MM-1920</t>
  </si>
  <si>
    <t>MM-1921</t>
  </si>
  <si>
    <t>MM-1922</t>
  </si>
  <si>
    <t>MM-1923</t>
  </si>
  <si>
    <t>MM-1924</t>
  </si>
  <si>
    <t>MM-1925</t>
  </si>
  <si>
    <t>MM-1926</t>
  </si>
  <si>
    <t>MM-1927</t>
  </si>
  <si>
    <t>MM-1928</t>
  </si>
  <si>
    <t>MM-1929</t>
  </si>
  <si>
    <t>MM-1930</t>
  </si>
  <si>
    <t>MM-1931</t>
  </si>
  <si>
    <t>MM-1932</t>
  </si>
  <si>
    <t>MM-1933</t>
  </si>
  <si>
    <t>MM-1934</t>
  </si>
  <si>
    <t>MM-1935</t>
  </si>
  <si>
    <t>MM-1936</t>
  </si>
  <si>
    <t>MM-1937</t>
  </si>
  <si>
    <t>MM-1938</t>
  </si>
  <si>
    <t>MM-1939</t>
  </si>
  <si>
    <t>MM-1940</t>
  </si>
  <si>
    <t>MM-1941</t>
  </si>
  <si>
    <t>MM-1942</t>
  </si>
  <si>
    <t>MM-1943</t>
  </si>
  <si>
    <t>MM-1944</t>
  </si>
  <si>
    <t>MM-1945</t>
  </si>
  <si>
    <t>MM-1946</t>
  </si>
  <si>
    <t>MM-1947</t>
  </si>
  <si>
    <t>MM-1948</t>
  </si>
  <si>
    <t>MM-1949</t>
  </si>
  <si>
    <t>MM-1950</t>
  </si>
  <si>
    <t>MM-1951</t>
  </si>
  <si>
    <t>MM-1952</t>
  </si>
  <si>
    <t>MM-1953</t>
  </si>
  <si>
    <t>MM-1954</t>
  </si>
  <si>
    <t>MM-1955</t>
  </si>
  <si>
    <t>MM-1956</t>
  </si>
  <si>
    <t>MM-1957</t>
  </si>
  <si>
    <t>MM-1958</t>
  </si>
  <si>
    <t>MM-1959</t>
  </si>
  <si>
    <t>MM-1960</t>
  </si>
  <si>
    <t>MM-1961</t>
  </si>
  <si>
    <t>MM-1962</t>
  </si>
  <si>
    <t>MM-1963</t>
  </si>
  <si>
    <t>MM-1964</t>
  </si>
  <si>
    <t>MM-1965</t>
  </si>
  <si>
    <t>MM-1966</t>
  </si>
  <si>
    <t>MM-1967</t>
  </si>
  <si>
    <t>MM-1968</t>
  </si>
  <si>
    <t>MM-1969</t>
  </si>
  <si>
    <t>MM-1970</t>
  </si>
  <si>
    <t>MM-1971</t>
  </si>
  <si>
    <t>MM-1972</t>
  </si>
  <si>
    <t>MM-1973</t>
  </si>
  <si>
    <t>MM-1974</t>
  </si>
  <si>
    <t>MM-1975</t>
  </si>
  <si>
    <t>MM-1976</t>
  </si>
  <si>
    <t>MM-1977</t>
  </si>
  <si>
    <t>MM-1978</t>
  </si>
  <si>
    <t>MM-1979</t>
  </si>
  <si>
    <t>MM-1980</t>
  </si>
  <si>
    <t>MM-1981</t>
  </si>
  <si>
    <t>MM-1982</t>
  </si>
  <si>
    <t>MM-1983</t>
  </si>
  <si>
    <t>MM-1984</t>
  </si>
  <si>
    <t>MM-1985</t>
  </si>
  <si>
    <t>MM-1986</t>
  </si>
  <si>
    <t>MM-1987</t>
  </si>
  <si>
    <t>MM-1988</t>
  </si>
  <si>
    <t>MM-1989</t>
  </si>
  <si>
    <t>MM-1990</t>
  </si>
  <si>
    <t>MM-1991</t>
  </si>
  <si>
    <t>MM-1992</t>
  </si>
  <si>
    <t>MM-1993</t>
  </si>
  <si>
    <t>MM-1994</t>
  </si>
  <si>
    <t>MM-1995</t>
  </si>
  <si>
    <t>MM-1996</t>
  </si>
  <si>
    <t>MM-1997</t>
  </si>
  <si>
    <t>MM-1998</t>
  </si>
  <si>
    <t>MM-1999</t>
  </si>
  <si>
    <t>MM-2000</t>
  </si>
  <si>
    <t>Gross Profit Margin</t>
  </si>
  <si>
    <t>Net Profit Margin</t>
  </si>
  <si>
    <t>Unknown</t>
  </si>
  <si>
    <t>MEGA MARKET — SALES &amp; PROFIT EXECUTIVE DASHBOARD</t>
  </si>
  <si>
    <t>Delhi-NCR multi-category retail  ·  FY2025 (Jan–Dec)  ·  All figures are live formulas from the "Cleaned Data" table (Calc sheet) — nothing is hardcoded</t>
  </si>
  <si>
    <t>FILTERS  (choose from each dropdown — every KPI, chart and insight below updates instantly; pick "All" / "Jan"–"Dec" to reset)</t>
  </si>
  <si>
    <t>From month</t>
  </si>
  <si>
    <t>To month</t>
  </si>
  <si>
    <t>All</t>
  </si>
  <si>
    <t>Jan</t>
  </si>
  <si>
    <t>Dec</t>
  </si>
  <si>
    <t>Total Sales (₹)</t>
  </si>
  <si>
    <t>Return Rate (units)</t>
  </si>
  <si>
    <t>Net Qty Sold (units)</t>
  </si>
  <si>
    <t>Average Order Value (₹)</t>
  </si>
  <si>
    <t>MONTHLY TREND &amp; CATEGORY PERFORMANCE</t>
  </si>
  <si>
    <t>TOP/BOTTOM PRODUCTS  &amp;  CITY / CUSTOMER / PAYMENT MIX</t>
  </si>
  <si>
    <t>CITY CONTRIBUTION  &amp;  CUSTOMER / PAYMENT MIX</t>
  </si>
  <si>
    <t>RETURNS ANALYSIS</t>
  </si>
  <si>
    <t>MEGA MARKET — KEY INSIGHTS &amp; RECOMMENDATIONS  (FY2025)</t>
  </si>
  <si>
    <t>Figures below are computed live from the "Calc" sheet, which sums the "Cleaned Data" table — nothing here is typed in by hand. Numbers reflect the full-year, all-filters dataset (₹779,939.05 Net Sales) as documented in the Requirements sheet.</t>
  </si>
  <si>
    <t>1. SALES &amp; PROFIT DRIVERS</t>
  </si>
  <si>
    <t>2. WEAK PERFORMERS</t>
  </si>
  <si>
    <t>3. TREND TAKEAWAYS</t>
  </si>
  <si>
    <t>4. RETURNS</t>
  </si>
  <si>
    <t>5. RECOMMENDATIONS</t>
  </si>
  <si>
    <t>•  Protect and extend the Groceries/Household hero SKUs (Rice 5kg, Wheat Flour 5kg, Laundry Detergent 2kg, Coffee 200g, Shampoo 340ml): prioritise these for stock cover and end-of-aisle promotion, since they already anchor both revenue and profit.</t>
  </si>
  <si>
    <t>•  Give Stationery and Snacks a defined promotional and merchandising push (bundle offers, cross-placement near Groceries) — their margins are normal, so the fix is demand, not price.</t>
  </si>
  <si>
    <t>•  Investigate Stationery returns specifically: its Return Rate is the highest of any category despite modest sales, which points to a quality, sizing, or expectation-mismatch issue worth a root-cause review rather than a blanket discount cut.</t>
  </si>
  <si>
    <t>•  Tighten checkout data capture for Customer Type, Payment Method and City — even a short mandatory prompt at the till would close the "Unknown" gap and materially improve segment-level targeting.</t>
  </si>
  <si>
    <t>•  Keep discounting concentrated where it already performs (0% and 10-15% bands show the healthiest margins in the Cleaned Data); review the 2-6% discount band, whose margin sits slightly below the other bands for no clear return in volume.</t>
  </si>
  <si>
    <t>•  Watch Net Profit Margin monthly rather than only annually — it is flat year-over-year in aggregate, but the Dashboard's month filter should be used at each business review to catch any emerging dip early.</t>
  </si>
  <si>
    <t>ASSUMPTIONS &amp; DATA NOTES (also see "Quality Checks" sheet)</t>
  </si>
  <si>
    <t>•  Blank Customer Type, Payment Method and City values were retained as "Unknown" rather than guessed, per the original cleaning log — they remain visible in every chart and KPI (never filtered out silently).</t>
  </si>
  <si>
    <t>•  Net Sales (₹) — after returns — is used as the primary revenue metric throughout this dashboard, per the brief; "Total Sales" is shown separately as the pre-return gross figure.</t>
  </si>
  <si>
    <t>•  Every figure on the Dashboard and in this sheet is a live formula referencing the "Cleaned Data" table via the "Calc" sheet — see the reconciliation checks at the bottom of "Calc" (section 11), which confirm every total ties back to "Cleaned Data" to the rupee.</t>
  </si>
  <si>
    <t>Mega Market — Data Quality &amp; Cleaning Summary</t>
  </si>
  <si>
    <t>Check</t>
  </si>
  <si>
    <t>Result</t>
  </si>
  <si>
    <t>Original transaction rows</t>
  </si>
  <si>
    <t>Exact duplicate rows removed</t>
  </si>
  <si>
    <t>Cleaned transaction rows</t>
  </si>
  <si>
    <t>Missing Customer Type handled</t>
  </si>
  <si>
    <t>Missing Payment Method handled</t>
  </si>
  <si>
    <t>Missing City handled</t>
  </si>
  <si>
    <t>Financial calculation mismatches</t>
  </si>
  <si>
    <t>Quantity/return validation issues</t>
  </si>
  <si>
    <t>Date format</t>
  </si>
  <si>
    <t>dd-mmm-yyyy</t>
  </si>
  <si>
    <t>Currency format</t>
  </si>
  <si>
    <t>₹#,##0 (no decimals)</t>
  </si>
  <si>
    <t>Discount format</t>
  </si>
  <si>
    <t>0% (converted from whole percentage points)</t>
  </si>
  <si>
    <t>Missing-value treatment</t>
  </si>
  <si>
    <t>Blank Customer Type, Payment Method, and City values were retained as 'Unknown' rather than guessed.</t>
  </si>
  <si>
    <t>Calc — formula layer feeding the Dashboard (replaces PivotTables; every value is a live formula on "Cleaned Data")</t>
  </si>
  <si>
    <t>All blocks respond to the Dashboard dropdowns. Named ranges d_* point at the "Cleaned Data" table columns; fCat/fCity/fCust/fPay/fStart/fEnd are the active filter criteria ("*" = all).</t>
  </si>
  <si>
    <t>1. FILTER CRITERIA (linked to Dashboard dropdowns)</t>
  </si>
  <si>
    <t>Dropdown lists →  Category | City | Customer | Payment | Month</t>
  </si>
  <si>
    <t>Feb</t>
  </si>
  <si>
    <t>Mar</t>
  </si>
  <si>
    <t>Apr</t>
  </si>
  <si>
    <t>May</t>
  </si>
  <si>
    <t>Jun</t>
  </si>
  <si>
    <t>Data year</t>
  </si>
  <si>
    <t>Jul</t>
  </si>
  <si>
    <t>Period start date</t>
  </si>
  <si>
    <t>Aug</t>
  </si>
  <si>
    <t>Period end date</t>
  </si>
  <si>
    <t>Sep</t>
  </si>
  <si>
    <t>Filters at default (All / Jan–Dec)?</t>
  </si>
  <si>
    <t>Oct</t>
  </si>
  <si>
    <t>Nov</t>
  </si>
  <si>
    <t>2. KPI SUMMARY (all filters applied, incl. period)  +  month-over-month (To-month vs prior month)</t>
  </si>
  <si>
    <t>Metric</t>
  </si>
  <si>
    <t>Value</t>
  </si>
  <si>
    <t>To-month value</t>
  </si>
  <si>
    <t>Prior-month value</t>
  </si>
  <si>
    <t>Change</t>
  </si>
  <si>
    <t>Indicator text</t>
  </si>
  <si>
    <t>Total Sales (₹) — gross</t>
  </si>
  <si>
    <t>Total Quantity Sold (gross units)</t>
  </si>
  <si>
    <t>Return Qty (units)</t>
  </si>
  <si>
    <t>Net Quantity Sold (units)</t>
  </si>
  <si>
    <t>Invoices (distinct Invoice IDs)</t>
  </si>
  <si>
    <t>Return Rate (Return Qty ÷ Qty)</t>
  </si>
  <si>
    <t>3. MONTHLY (all filters EXCEPT the period — always Jan–Dec so the trend context is visible)</t>
  </si>
  <si>
    <t>Month #</t>
  </si>
  <si>
    <t>Month</t>
  </si>
  <si>
    <t>Start</t>
  </si>
  <si>
    <t>End</t>
  </si>
  <si>
    <t>Invoices</t>
  </si>
  <si>
    <t>GP Margin</t>
  </si>
  <si>
    <t>NP Margin</t>
  </si>
  <si>
    <t>Return Rate (Qty)</t>
  </si>
  <si>
    <t>Avg Order Value (₹)</t>
  </si>
  <si>
    <t>Key: weakest month</t>
  </si>
  <si>
    <t>Total (full year, filtered)</t>
  </si>
  <si>
    <t>4. CATEGORY (all filters applied)</t>
  </si>
  <si>
    <t>Share of Net Sales</t>
  </si>
  <si>
    <t>Key: weakest</t>
  </si>
  <si>
    <t>Key: return rate</t>
  </si>
  <si>
    <t>Total</t>
  </si>
  <si>
    <t>5. PRODUCT (all filters applied)  — list ordered by full-year Net Sales at build time; rankings below are dynamic</t>
  </si>
  <si>
    <t>Key: top sales</t>
  </si>
  <si>
    <t>Key: bottom sales</t>
  </si>
  <si>
    <t>Key: returns ₹</t>
  </si>
  <si>
    <t>6. TOP 5 / BOTTOM 5 PRODUCTS (dynamic ranking; bottom list ignores products with zero sales; "—" = none)</t>
  </si>
  <si>
    <t>Rank</t>
  </si>
  <si>
    <t>Top 5 product (Net Sales)</t>
  </si>
  <si>
    <t>Bottom 5 product (Net Sales)</t>
  </si>
  <si>
    <t>Top 5 product (Sales Return ₹)</t>
  </si>
  <si>
    <t>7. CITY (all filters applied)</t>
  </si>
  <si>
    <t>8. CUSTOMER TYPE (all filters applied)</t>
  </si>
  <si>
    <t>9. PAYMENT METHOD (all filters applied)</t>
  </si>
  <si>
    <t>10. DASHBOARD "LIVE HIGHLIGHTS" TEXT (formulas)</t>
  </si>
  <si>
    <t>Top category (Net Sales)</t>
  </si>
  <si>
    <t>Weakest category (Net Sales, with sales)</t>
  </si>
  <si>
    <t>Top product (Net Sales)</t>
  </si>
  <si>
    <t>Weakest product (Net Sales, with sales)</t>
  </si>
  <si>
    <t>Peak month (Net Sales, full year)</t>
  </si>
  <si>
    <t>Weakest month (Net Sales, full year)</t>
  </si>
  <si>
    <t>Highest category return rate</t>
  </si>
  <si>
    <t>11. RECONCILIATION CHECKS</t>
  </si>
  <si>
    <t>Value A</t>
  </si>
  <si>
    <t>Value B</t>
  </si>
  <si>
    <t>Difference</t>
  </si>
  <si>
    <t>Status</t>
  </si>
  <si>
    <t>KPI Net Sales = Category total</t>
  </si>
  <si>
    <t>KPI Net Sales = Product total</t>
  </si>
  <si>
    <t>KPI Net Sales = City total</t>
  </si>
  <si>
    <t>KPI Net Sales = Customer Type total</t>
  </si>
  <si>
    <t>KPI Net Sales = Payment Method total</t>
  </si>
  <si>
    <t>KPI Invoices = City invoices total</t>
  </si>
  <si>
    <t>KPI Net Qty = Category Net Qty total</t>
  </si>
  <si>
    <t>Monthly total (all months, filters ex-period) = KPI when period is Jan–Dec</t>
  </si>
  <si>
    <t>Net Sales = Total Sales − Sales Return</t>
  </si>
  <si>
    <t>Unfiltered: Net Sales = SUM of Cleaned Data column</t>
  </si>
  <si>
    <t>Unfiltered: Gross Profit = SUM of Cleaned Data column</t>
  </si>
  <si>
    <t>Unfiltered: Net Profit = SUM of Cleaned Data column</t>
  </si>
  <si>
    <t>OVERALL STATUS</t>
  </si>
  <si>
    <t>A genuine data-quality gap sits in three fields: 20 rows (Customer Type), 15 rows (Payment Method) and 12 rows (City) are recorded as 'Unknown' — small in absolute terms (well under 1% of the 2,000 invoices each) but concentrated at checkout, meaning the gap is operational (a step being skipped) rather than random. These rows are retained as 'Unknown' rather than guessed, per the cleaning log on the Quality Checks sheet, so they remain visible here rather than silently disappearing from the analysis.</t>
  </si>
  <si>
    <t xml:space="preserve">Net Sales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</si>
</sst>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0"/>
    <numFmt numFmtId="166" formatCode="0.0"/>
    <numFmt numFmtId="167" formatCode="\₹#,##0;[Red]&quot;-₹&quot;#,##0"/>
    <numFmt numFmtId="168" formatCode="0.0%"/>
    <numFmt numFmtId="169" formatCode="\₹#,##0"/>
  </numFmts>
  <fonts count="35" x14ac:knownFonts="1">
    <font>
      <sz val="11"/>
      <color theme="1"/>
      <name val="Calibri"/>
      <family val="2"/>
      <charset val="1"/>
    </font>
    <font>
      <b/>
      <sz val="14"/>
      <color rgb="FFFFFFFF"/>
      <name val="Calibri"/>
      <family val="2"/>
      <charset val="1"/>
    </font>
    <font>
      <b/>
      <sz val="11"/>
      <name val="Calibri"/>
      <charset val="1"/>
    </font>
    <font>
      <b/>
      <sz val="11"/>
      <color theme="1"/>
      <name val="Calibri"/>
      <family val="2"/>
      <charset val="1"/>
    </font>
    <font>
      <b/>
      <sz val="11"/>
      <color rgb="FFFFFFFF"/>
      <name val="Calibri"/>
      <charset val="1"/>
    </font>
    <font>
      <sz val="9"/>
      <color rgb="FF595959"/>
      <name val="Calibri"/>
      <charset val="1"/>
    </font>
    <font>
      <b/>
      <sz val="10"/>
      <color rgb="FFFFFFFF"/>
      <name val="Calibri"/>
      <charset val="1"/>
    </font>
    <font>
      <b/>
      <sz val="11"/>
      <color rgb="FF1F4E78"/>
      <name val="Calibri"/>
      <charset val="1"/>
    </font>
    <font>
      <b/>
      <sz val="9"/>
      <color rgb="FF2A9D8F"/>
      <name val="Calibri"/>
      <charset val="1"/>
    </font>
    <font>
      <b/>
      <sz val="20"/>
      <color rgb="FF1A1A1A"/>
      <name val="Calibri"/>
      <charset val="1"/>
    </font>
    <font>
      <b/>
      <sz val="16"/>
      <color rgb="FFFFFFFF"/>
      <name val="Calibri"/>
      <charset val="1"/>
    </font>
    <font>
      <i/>
      <sz val="9"/>
      <color rgb="FF595959"/>
      <name val="Calibri"/>
      <charset val="1"/>
    </font>
    <font>
      <sz val="10"/>
      <color rgb="FF000000"/>
      <name val="Calibri"/>
      <charset val="1"/>
    </font>
    <font>
      <b/>
      <sz val="14"/>
      <color rgb="FF1F4E78"/>
      <name val="Calibri"/>
      <charset val="1"/>
    </font>
    <font>
      <b/>
      <sz val="9"/>
      <color rgb="FFFFFFFF"/>
      <name val="Calibri"/>
      <charset val="1"/>
    </font>
    <font>
      <b/>
      <sz val="10"/>
      <color rgb="FF000000"/>
      <name val="Calibri"/>
      <charset val="1"/>
    </font>
    <font>
      <sz val="10"/>
      <color rgb="FF008000"/>
      <name val="Calibri"/>
      <charset val="1"/>
    </font>
    <font>
      <b/>
      <sz val="10"/>
      <color rgb="FF1F4E78"/>
      <name val="Calibri"/>
      <charset val="1"/>
    </font>
    <font>
      <b/>
      <sz val="10"/>
      <color rgb="FF2A9D8F"/>
      <name val="Calibri"/>
      <charset val="1"/>
    </font>
    <font>
      <b/>
      <sz val="22"/>
      <color rgb="FFFFFFFF"/>
      <name val="Calibri"/>
      <family val="2"/>
    </font>
    <font>
      <b/>
      <sz val="12"/>
      <color rgb="FF1F4E78"/>
      <name val="Calibri"/>
      <family val="2"/>
    </font>
    <font>
      <b/>
      <sz val="14"/>
      <color rgb="FF595959"/>
      <name val="Calibri"/>
      <family val="2"/>
    </font>
    <font>
      <b/>
      <sz val="14"/>
      <color theme="1"/>
      <name val="Calibri"/>
      <family val="2"/>
    </font>
    <font>
      <b/>
      <sz val="16"/>
      <color rgb="FF1F4E78"/>
      <name val="Calibri"/>
      <family val="2"/>
    </font>
    <font>
      <sz val="16"/>
      <color theme="1"/>
      <name val="Calibri"/>
      <family val="2"/>
    </font>
    <font>
      <b/>
      <sz val="16"/>
      <color rgb="FF2A9D8F"/>
      <name val="Calibri"/>
      <family val="2"/>
    </font>
    <font>
      <b/>
      <sz val="16"/>
      <color rgb="FF5B9BD5"/>
      <name val="Calibri"/>
      <family val="2"/>
    </font>
    <font>
      <b/>
      <sz val="16"/>
      <color rgb="FFF4A261"/>
      <name val="Calibri"/>
      <family val="2"/>
    </font>
    <font>
      <b/>
      <sz val="16"/>
      <color rgb="FFE76F51"/>
      <name val="Calibri"/>
      <family val="2"/>
    </font>
    <font>
      <b/>
      <i/>
      <sz val="9"/>
      <color rgb="FF595959"/>
      <name val="Calibri"/>
      <family val="2"/>
    </font>
    <font>
      <b/>
      <sz val="11"/>
      <color theme="1"/>
      <name val="Calibri"/>
      <family val="2"/>
    </font>
    <font>
      <b/>
      <sz val="12"/>
      <color rgb="FFFFFFFF"/>
      <name val="Calibri"/>
      <family val="2"/>
    </font>
    <font>
      <b/>
      <sz val="10"/>
      <color rgb="FF000000"/>
      <name val="Calibri"/>
      <family val="2"/>
    </font>
    <font>
      <b/>
      <sz val="14"/>
      <color rgb="FF404040"/>
      <name val="Calibri"/>
      <family val="2"/>
    </font>
    <font>
      <b/>
      <sz val="16"/>
      <color theme="1"/>
      <name val="Calibri"/>
      <family val="2"/>
    </font>
  </fonts>
  <fills count="6">
    <fill>
      <patternFill patternType="none"/>
    </fill>
    <fill>
      <patternFill patternType="gray125"/>
    </fill>
    <fill>
      <patternFill patternType="solid">
        <fgColor rgb="FF1F4E78"/>
        <bgColor rgb="FF003366"/>
      </patternFill>
    </fill>
    <fill>
      <patternFill patternType="solid">
        <fgColor theme="0"/>
        <bgColor rgb="FFF2F6FA"/>
      </patternFill>
    </fill>
    <fill>
      <patternFill patternType="solid">
        <fgColor rgb="FFF2F6FA"/>
        <bgColor rgb="FFFFFFFF"/>
      </patternFill>
    </fill>
    <fill>
      <patternFill patternType="solid">
        <fgColor rgb="FFE1E9F2"/>
        <bgColor rgb="FFD9E1F2"/>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style="thin">
        <color rgb="FFD0D7E2"/>
      </left>
      <right style="thin">
        <color rgb="FFD0D7E2"/>
      </right>
      <top style="thin">
        <color rgb="FFD0D7E2"/>
      </top>
      <bottom style="thin">
        <color rgb="FFD0D7E2"/>
      </bottom>
      <diagonal/>
    </border>
    <border>
      <left style="thin">
        <color rgb="FFD0D7E2"/>
      </left>
      <right style="thin">
        <color rgb="FFD0D7E2"/>
      </right>
      <top style="medium">
        <color rgb="FF1F4E78"/>
      </top>
      <bottom style="thin">
        <color rgb="FFD0D7E2"/>
      </bottom>
      <diagonal/>
    </border>
    <border>
      <left style="thin">
        <color rgb="FFD0D7E2"/>
      </left>
      <right style="thin">
        <color rgb="FFD0D7E2"/>
      </right>
      <top style="medium">
        <color rgb="FF2A9D8F"/>
      </top>
      <bottom style="thin">
        <color rgb="FFD0D7E2"/>
      </bottom>
      <diagonal/>
    </border>
    <border>
      <left style="thin">
        <color rgb="FFD0D7E2"/>
      </left>
      <right style="thin">
        <color rgb="FFD0D7E2"/>
      </right>
      <top style="medium">
        <color rgb="FF5B9BD5"/>
      </top>
      <bottom style="thin">
        <color rgb="FFD0D7E2"/>
      </bottom>
      <diagonal/>
    </border>
    <border>
      <left style="thin">
        <color rgb="FFD0D7E2"/>
      </left>
      <right style="thin">
        <color rgb="FFD0D7E2"/>
      </right>
      <top style="medium">
        <color rgb="FFF4A261"/>
      </top>
      <bottom style="thin">
        <color rgb="FFD0D7E2"/>
      </bottom>
      <diagonal/>
    </border>
    <border>
      <left style="thin">
        <color rgb="FFD0D7E2"/>
      </left>
      <right style="thin">
        <color rgb="FFD0D7E2"/>
      </right>
      <top style="medium">
        <color rgb="FFE76F51"/>
      </top>
      <bottom style="thin">
        <color rgb="FFD0D7E2"/>
      </bottom>
      <diagonal/>
    </border>
    <border>
      <left style="thin">
        <color rgb="FFD0D7E2"/>
      </left>
      <right style="thin">
        <color rgb="FFD0D7E2"/>
      </right>
      <top style="thin">
        <color rgb="FFD0D7E2"/>
      </top>
      <bottom style="medium">
        <color rgb="FF1F4E78"/>
      </bottom>
      <diagonal/>
    </border>
    <border>
      <left style="thin">
        <color rgb="FFD0D7E2"/>
      </left>
      <right style="thin">
        <color rgb="FFD0D7E2"/>
      </right>
      <top style="thin">
        <color rgb="FFD0D7E2"/>
      </top>
      <bottom style="medium">
        <color rgb="FF2A9D8F"/>
      </bottom>
      <diagonal/>
    </border>
    <border>
      <left style="thin">
        <color rgb="FFD0D7E2"/>
      </left>
      <right style="thin">
        <color rgb="FFD0D7E2"/>
      </right>
      <top style="thin">
        <color rgb="FFD0D7E2"/>
      </top>
      <bottom style="medium">
        <color rgb="FF5B9BD5"/>
      </bottom>
      <diagonal/>
    </border>
    <border>
      <left style="thin">
        <color rgb="FFD0D7E2"/>
      </left>
      <right style="thin">
        <color rgb="FFD0D7E2"/>
      </right>
      <top style="thin">
        <color rgb="FFD0D7E2"/>
      </top>
      <bottom style="medium">
        <color rgb="FFF4A261"/>
      </bottom>
      <diagonal/>
    </border>
    <border>
      <left style="thin">
        <color rgb="FFD0D7E2"/>
      </left>
      <right style="thin">
        <color rgb="FFD0D7E2"/>
      </right>
      <top style="thin">
        <color rgb="FFD0D7E2"/>
      </top>
      <bottom style="medium">
        <color rgb="FFE76F51"/>
      </bottom>
      <diagonal/>
    </border>
    <border>
      <left/>
      <right/>
      <top/>
      <bottom style="thin">
        <color rgb="FFD0D7E2"/>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xf>
    <xf numFmtId="0" fontId="3" fillId="0" borderId="1" xfId="0" applyFont="1" applyBorder="1" applyAlignment="1">
      <alignment horizontal="left" vertical="top" wrapText="1"/>
    </xf>
    <xf numFmtId="0" fontId="4" fillId="2" borderId="1" xfId="0" applyFont="1" applyFill="1"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0" fontId="4" fillId="2" borderId="2" xfId="0" applyFont="1" applyFill="1" applyBorder="1" applyAlignment="1">
      <alignment horizontal="center" vertical="center"/>
    </xf>
    <xf numFmtId="1" fontId="0" fillId="0" borderId="0" xfId="0" applyNumberFormat="1"/>
    <xf numFmtId="167" fontId="0" fillId="0" borderId="0" xfId="0" applyNumberFormat="1"/>
    <xf numFmtId="168" fontId="0" fillId="0" borderId="0" xfId="0" applyNumberFormat="1"/>
    <xf numFmtId="0" fontId="10" fillId="2" borderId="0" xfId="0" applyFont="1" applyFill="1" applyAlignment="1">
      <alignment horizontal="left" vertical="center"/>
    </xf>
    <xf numFmtId="0" fontId="4" fillId="2" borderId="0" xfId="0" applyFont="1" applyFill="1" applyAlignment="1">
      <alignment horizontal="center" vertical="center"/>
    </xf>
    <xf numFmtId="0" fontId="0" fillId="0" borderId="2" xfId="0" applyBorder="1"/>
    <xf numFmtId="0" fontId="13" fillId="0" borderId="0" xfId="0" applyFont="1"/>
    <xf numFmtId="0" fontId="11" fillId="0" borderId="0" xfId="0" applyFont="1"/>
    <xf numFmtId="0" fontId="4" fillId="2" borderId="0" xfId="0" applyFont="1" applyFill="1"/>
    <xf numFmtId="0" fontId="0" fillId="2" borderId="0" xfId="0" applyFill="1"/>
    <xf numFmtId="0" fontId="14" fillId="2" borderId="0" xfId="0" applyFont="1" applyFill="1"/>
    <xf numFmtId="0" fontId="15" fillId="0" borderId="0" xfId="0" applyFont="1"/>
    <xf numFmtId="0" fontId="16" fillId="0" borderId="0" xfId="0" applyFont="1"/>
    <xf numFmtId="0" fontId="12" fillId="0" borderId="0" xfId="0" applyFont="1"/>
    <xf numFmtId="164" fontId="12" fillId="0" borderId="0" xfId="0" applyNumberFormat="1" applyFont="1"/>
    <xf numFmtId="0" fontId="17" fillId="5" borderId="14" xfId="0" applyFont="1" applyFill="1" applyBorder="1" applyAlignment="1">
      <alignment horizontal="center" vertical="center" wrapText="1"/>
    </xf>
    <xf numFmtId="169" fontId="12" fillId="0" borderId="0" xfId="0" applyNumberFormat="1" applyFont="1"/>
    <xf numFmtId="168" fontId="12" fillId="0" borderId="0" xfId="0" applyNumberFormat="1" applyFont="1"/>
    <xf numFmtId="3" fontId="12" fillId="0" borderId="0" xfId="0" applyNumberFormat="1" applyFont="1"/>
    <xf numFmtId="169" fontId="0" fillId="0" borderId="0" xfId="0" applyNumberFormat="1"/>
    <xf numFmtId="3" fontId="0" fillId="0" borderId="0" xfId="0" applyNumberFormat="1"/>
    <xf numFmtId="11" fontId="0" fillId="0" borderId="0" xfId="0" applyNumberFormat="1"/>
    <xf numFmtId="169" fontId="15" fillId="0" borderId="0" xfId="0" applyNumberFormat="1" applyFont="1"/>
    <xf numFmtId="3" fontId="15" fillId="0" borderId="0" xfId="0" applyNumberFormat="1" applyFont="1"/>
    <xf numFmtId="4" fontId="0" fillId="0" borderId="0" xfId="0" applyNumberFormat="1"/>
    <xf numFmtId="0" fontId="18" fillId="0" borderId="0" xfId="0" applyFont="1"/>
    <xf numFmtId="0" fontId="21" fillId="0" borderId="0" xfId="0" applyFont="1" applyAlignment="1">
      <alignment horizontal="center" vertical="center"/>
    </xf>
    <xf numFmtId="0" fontId="22" fillId="0" borderId="0" xfId="0" applyFont="1" applyAlignment="1">
      <alignment horizontal="center" vertical="center"/>
    </xf>
    <xf numFmtId="0" fontId="24" fillId="0" borderId="0" xfId="0" applyFont="1"/>
    <xf numFmtId="0" fontId="29" fillId="0" borderId="0" xfId="0" applyFont="1" applyAlignment="1">
      <alignment vertical="top" wrapText="1"/>
    </xf>
    <xf numFmtId="0" fontId="30" fillId="0" borderId="0" xfId="0" applyFont="1"/>
    <xf numFmtId="0" fontId="31" fillId="2" borderId="0" xfId="0" applyFont="1" applyFill="1"/>
    <xf numFmtId="0" fontId="32" fillId="0" borderId="0" xfId="0" applyFont="1" applyAlignment="1">
      <alignment vertical="top" wrapText="1"/>
    </xf>
    <xf numFmtId="0" fontId="32" fillId="0" borderId="0" xfId="0" applyFont="1" applyAlignment="1">
      <alignment vertical="top" wrapText="1" indent="1"/>
    </xf>
    <xf numFmtId="0" fontId="23" fillId="3" borderId="3" xfId="0" applyFont="1" applyFill="1" applyBorder="1" applyAlignment="1" applyProtection="1">
      <alignment horizontal="center" vertical="center"/>
      <protection locked="0"/>
    </xf>
    <xf numFmtId="0" fontId="34" fillId="0" borderId="0" xfId="0" applyFont="1" applyAlignment="1">
      <alignment vertical="center"/>
    </xf>
    <xf numFmtId="0" fontId="19" fillId="2" borderId="0" xfId="0" applyFont="1" applyFill="1" applyAlignment="1">
      <alignment horizontal="center" vertical="center"/>
    </xf>
    <xf numFmtId="0" fontId="5" fillId="4" borderId="0" xfId="0" applyFont="1" applyFill="1" applyAlignment="1">
      <alignment horizontal="center" vertical="center"/>
    </xf>
    <xf numFmtId="0" fontId="6" fillId="2" borderId="0" xfId="0" applyFont="1" applyFill="1" applyAlignment="1">
      <alignment horizontal="center" vertical="center"/>
    </xf>
    <xf numFmtId="0" fontId="8" fillId="0" borderId="0" xfId="0" applyFont="1" applyAlignment="1">
      <alignment horizontal="center" vertical="center"/>
    </xf>
    <xf numFmtId="0" fontId="23" fillId="4" borderId="4" xfId="0" applyFont="1" applyFill="1" applyBorder="1" applyAlignment="1">
      <alignment horizontal="center" vertical="center"/>
    </xf>
    <xf numFmtId="0" fontId="25" fillId="4" borderId="5" xfId="0" applyFont="1" applyFill="1" applyBorder="1" applyAlignment="1">
      <alignment horizontal="center" vertical="center"/>
    </xf>
    <xf numFmtId="0" fontId="26" fillId="4" borderId="6" xfId="0" applyFont="1" applyFill="1" applyBorder="1" applyAlignment="1">
      <alignment horizontal="center" vertical="center"/>
    </xf>
    <xf numFmtId="0" fontId="27" fillId="4" borderId="7" xfId="0" applyFont="1" applyFill="1" applyBorder="1" applyAlignment="1">
      <alignment horizontal="center" vertical="center"/>
    </xf>
    <xf numFmtId="0" fontId="28" fillId="4" borderId="8" xfId="0" applyFont="1" applyFill="1" applyBorder="1" applyAlignment="1">
      <alignment horizontal="center" vertical="center"/>
    </xf>
    <xf numFmtId="169" fontId="9" fillId="4" borderId="9" xfId="0" applyNumberFormat="1" applyFont="1" applyFill="1" applyBorder="1" applyAlignment="1">
      <alignment horizontal="center" vertical="center"/>
    </xf>
    <xf numFmtId="169" fontId="9" fillId="4" borderId="10" xfId="0" applyNumberFormat="1" applyFont="1" applyFill="1" applyBorder="1" applyAlignment="1">
      <alignment horizontal="center" vertical="center"/>
    </xf>
    <xf numFmtId="169" fontId="9" fillId="4" borderId="11" xfId="0" applyNumberFormat="1" applyFont="1" applyFill="1" applyBorder="1" applyAlignment="1">
      <alignment horizontal="center" vertical="center"/>
    </xf>
    <xf numFmtId="169" fontId="9" fillId="4" borderId="12" xfId="0" applyNumberFormat="1" applyFont="1" applyFill="1" applyBorder="1" applyAlignment="1">
      <alignment horizontal="center" vertical="center"/>
    </xf>
    <xf numFmtId="168" fontId="9" fillId="4" borderId="13" xfId="0" applyNumberFormat="1" applyFont="1" applyFill="1" applyBorder="1" applyAlignment="1">
      <alignment horizontal="center" vertical="center"/>
    </xf>
    <xf numFmtId="168" fontId="9" fillId="4" borderId="9" xfId="0" applyNumberFormat="1" applyFont="1" applyFill="1" applyBorder="1" applyAlignment="1">
      <alignment horizontal="center" vertical="center"/>
    </xf>
    <xf numFmtId="168" fontId="9" fillId="4" borderId="10" xfId="0" applyNumberFormat="1" applyFont="1" applyFill="1" applyBorder="1" applyAlignment="1">
      <alignment horizontal="center" vertical="center"/>
    </xf>
    <xf numFmtId="3" fontId="9" fillId="4" borderId="11" xfId="0" applyNumberFormat="1" applyFont="1" applyFill="1" applyBorder="1" applyAlignment="1">
      <alignment horizontal="center" vertical="center"/>
    </xf>
    <xf numFmtId="169" fontId="9" fillId="4" borderId="13" xfId="0" applyNumberFormat="1" applyFont="1" applyFill="1" applyBorder="1" applyAlignment="1">
      <alignment horizontal="center" vertical="center"/>
    </xf>
    <xf numFmtId="0" fontId="33" fillId="0" borderId="0" xfId="0" applyFont="1" applyAlignment="1">
      <alignment horizontal="center" vertical="center"/>
    </xf>
    <xf numFmtId="0" fontId="7" fillId="4" borderId="0" xfId="0" applyFont="1" applyFill="1" applyAlignment="1">
      <alignment horizontal="center" vertical="center"/>
    </xf>
    <xf numFmtId="0" fontId="20" fillId="4" borderId="0" xfId="0" applyFont="1" applyFill="1" applyAlignment="1">
      <alignment horizontal="center" vertical="center"/>
    </xf>
    <xf numFmtId="0" fontId="10" fillId="2" borderId="0" xfId="0" applyFont="1" applyFill="1" applyAlignment="1">
      <alignment horizontal="center" vertical="center"/>
    </xf>
    <xf numFmtId="0" fontId="2" fillId="0" borderId="0" xfId="0" applyFont="1" applyAlignment="1">
      <alignment horizontal="center"/>
    </xf>
    <xf numFmtId="0" fontId="0" fillId="0" borderId="0" xfId="0"/>
  </cellXfs>
  <cellStyles count="1">
    <cellStyle name="Normal" xfId="0" builtinId="0"/>
  </cellStyles>
  <dxfs count="2">
    <dxf>
      <font>
        <b/>
        <color rgb="FF7F6000"/>
      </font>
      <fill>
        <patternFill>
          <bgColor rgb="FFFFE699"/>
        </patternFill>
      </fill>
    </dxf>
    <dxf>
      <font>
        <b/>
        <color rgb="FF9C00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D9D9D9"/>
      <rgbColor rgb="FF878787"/>
      <rgbColor rgb="FF5B9BD5"/>
      <rgbColor rgb="FF993366"/>
      <rgbColor rgb="FFF2F6FA"/>
      <rgbColor rgb="FFE1E9F2"/>
      <rgbColor rgb="FF660066"/>
      <rgbColor rgb="FFE76F51"/>
      <rgbColor rgb="FF0066CC"/>
      <rgbColor rgb="FFD0D7E2"/>
      <rgbColor rgb="FF000080"/>
      <rgbColor rgb="FFFF00FF"/>
      <rgbColor rgb="FFFFFF00"/>
      <rgbColor rgb="FF00FFFF"/>
      <rgbColor rgb="FF800080"/>
      <rgbColor rgb="FF800000"/>
      <rgbColor rgb="FF008080"/>
      <rgbColor rgb="FF0000FF"/>
      <rgbColor rgb="FF00CCFF"/>
      <rgbColor rgb="FFD9E1F2"/>
      <rgbColor rgb="FFCCFFCC"/>
      <rgbColor rgb="FFFFE699"/>
      <rgbColor rgb="FF99CCFF"/>
      <rgbColor rgb="FFFF99CC"/>
      <rgbColor rgb="FFCC99FF"/>
      <rgbColor rgb="FFFFCC99"/>
      <rgbColor rgb="FF4F81BD"/>
      <rgbColor rgb="FF33CCCC"/>
      <rgbColor rgb="FF99CC00"/>
      <rgbColor rgb="FFFFCC00"/>
      <rgbColor rgb="FFF4A261"/>
      <rgbColor rgb="FFFF6600"/>
      <rgbColor rgb="FF595959"/>
      <rgbColor rgb="FF8C99A6"/>
      <rgbColor rgb="FF003366"/>
      <rgbColor rgb="FF2A9D8F"/>
      <rgbColor rgb="FF003300"/>
      <rgbColor rgb="FF1A1A1A"/>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Sales &amp; Profit Trend — FY2025</a:t>
            </a:r>
          </a:p>
        </c:rich>
      </c:tx>
      <c:overlay val="0"/>
      <c:spPr>
        <a:noFill/>
        <a:ln w="0">
          <a:noFill/>
        </a:ln>
      </c:spPr>
    </c:title>
    <c:autoTitleDeleted val="0"/>
    <c:plotArea>
      <c:layout/>
      <c:barChart>
        <c:barDir val="col"/>
        <c:grouping val="clustered"/>
        <c:varyColors val="0"/>
        <c:ser>
          <c:idx val="0"/>
          <c:order val="0"/>
          <c:tx>
            <c:strRef>
              <c:f>Calc!$G$36</c:f>
              <c:strCache>
                <c:ptCount val="1"/>
                <c:pt idx="0">
                  <c:v>Net Sales (₹)</c:v>
                </c:pt>
              </c:strCache>
            </c:strRef>
          </c:tx>
          <c:spPr>
            <a:solidFill>
              <a:srgbClr val="2A9D8F"/>
            </a:solidFill>
            <a:ln w="0">
              <a:solidFill>
                <a:srgbClr val="2A9D8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Calc!$B$37:$B$48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Calc!$G$37:$G$48</c:f>
              <c:numCache>
                <c:formatCode>\₹#,##0</c:formatCode>
                <c:ptCount val="12"/>
                <c:pt idx="0">
                  <c:v>70583.470000000016</c:v>
                </c:pt>
                <c:pt idx="1">
                  <c:v>53366.979999999996</c:v>
                </c:pt>
                <c:pt idx="2">
                  <c:v>70159.490000000005</c:v>
                </c:pt>
                <c:pt idx="3">
                  <c:v>60368.94000000001</c:v>
                </c:pt>
                <c:pt idx="4">
                  <c:v>73575.219999999987</c:v>
                </c:pt>
                <c:pt idx="5">
                  <c:v>56391.890000000007</c:v>
                </c:pt>
                <c:pt idx="6">
                  <c:v>64737.969999999994</c:v>
                </c:pt>
                <c:pt idx="7">
                  <c:v>79101.460000000006</c:v>
                </c:pt>
                <c:pt idx="8">
                  <c:v>63266.549999999988</c:v>
                </c:pt>
                <c:pt idx="9">
                  <c:v>72272.500000000015</c:v>
                </c:pt>
                <c:pt idx="10">
                  <c:v>53495.630000000012</c:v>
                </c:pt>
                <c:pt idx="11">
                  <c:v>62618.950000000004</c:v>
                </c:pt>
              </c:numCache>
            </c:numRef>
          </c:val>
          <c:extLst>
            <c:ext xmlns:c16="http://schemas.microsoft.com/office/drawing/2014/chart" uri="{C3380CC4-5D6E-409C-BE32-E72D297353CC}">
              <c16:uniqueId val="{00000000-ED48-4625-81AB-D55E961ACA19}"/>
            </c:ext>
          </c:extLst>
        </c:ser>
        <c:dLbls>
          <c:showLegendKey val="0"/>
          <c:showVal val="0"/>
          <c:showCatName val="0"/>
          <c:showSerName val="0"/>
          <c:showPercent val="0"/>
          <c:showBubbleSize val="0"/>
        </c:dLbls>
        <c:gapWidth val="60"/>
        <c:axId val="15892733"/>
        <c:axId val="89034815"/>
      </c:barChart>
      <c:lineChart>
        <c:grouping val="standard"/>
        <c:varyColors val="0"/>
        <c:ser>
          <c:idx val="1"/>
          <c:order val="1"/>
          <c:tx>
            <c:strRef>
              <c:f>Calc!$H$36</c:f>
              <c:strCache>
                <c:ptCount val="1"/>
                <c:pt idx="0">
                  <c:v>Gross Profit (₹)</c:v>
                </c:pt>
              </c:strCache>
            </c:strRef>
          </c:tx>
          <c:spPr>
            <a:ln w="20160">
              <a:solidFill>
                <a:srgbClr val="1F4E78"/>
              </a:solidFill>
              <a:round/>
            </a:ln>
          </c:spPr>
          <c:marker>
            <c:symbol val="circle"/>
            <c:size val="6"/>
            <c:spPr>
              <a:solidFill>
                <a:srgbClr val="1F4E78"/>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Calc!$B$37:$B$48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Calc!$H$37:$H$48</c:f>
              <c:numCache>
                <c:formatCode>\₹#,##0</c:formatCode>
                <c:ptCount val="12"/>
                <c:pt idx="0">
                  <c:v>18094.270000000008</c:v>
                </c:pt>
                <c:pt idx="1">
                  <c:v>13968.500000000002</c:v>
                </c:pt>
                <c:pt idx="2">
                  <c:v>17819.070000000007</c:v>
                </c:pt>
                <c:pt idx="3">
                  <c:v>15471.459999999992</c:v>
                </c:pt>
                <c:pt idx="4">
                  <c:v>19322.34</c:v>
                </c:pt>
                <c:pt idx="5">
                  <c:v>14085.299999999996</c:v>
                </c:pt>
                <c:pt idx="6">
                  <c:v>17542.899999999994</c:v>
                </c:pt>
                <c:pt idx="7">
                  <c:v>19450.44999999999</c:v>
                </c:pt>
                <c:pt idx="8">
                  <c:v>17065.839999999997</c:v>
                </c:pt>
                <c:pt idx="9">
                  <c:v>19282.54</c:v>
                </c:pt>
                <c:pt idx="10">
                  <c:v>13783.699999999999</c:v>
                </c:pt>
                <c:pt idx="11">
                  <c:v>16403.21</c:v>
                </c:pt>
              </c:numCache>
            </c:numRef>
          </c:val>
          <c:smooth val="0"/>
          <c:extLst>
            <c:ext xmlns:c16="http://schemas.microsoft.com/office/drawing/2014/chart" uri="{C3380CC4-5D6E-409C-BE32-E72D297353CC}">
              <c16:uniqueId val="{00000001-ED48-4625-81AB-D55E961ACA19}"/>
            </c:ext>
          </c:extLst>
        </c:ser>
        <c:ser>
          <c:idx val="2"/>
          <c:order val="2"/>
          <c:tx>
            <c:strRef>
              <c:f>Calc!$I$36</c:f>
              <c:strCache>
                <c:ptCount val="1"/>
                <c:pt idx="0">
                  <c:v>Net Profit (₹)</c:v>
                </c:pt>
              </c:strCache>
            </c:strRef>
          </c:tx>
          <c:spPr>
            <a:ln w="20160">
              <a:solidFill>
                <a:srgbClr val="E76F51"/>
              </a:solidFill>
              <a:round/>
            </a:ln>
          </c:spPr>
          <c:marker>
            <c:symbol val="circle"/>
            <c:size val="6"/>
            <c:spPr>
              <a:solidFill>
                <a:srgbClr val="E76F5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Calc!$B$37:$B$48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Calc!$I$37:$I$48</c:f>
              <c:numCache>
                <c:formatCode>\₹#,##0</c:formatCode>
                <c:ptCount val="12"/>
                <c:pt idx="0">
                  <c:v>11832.229999999994</c:v>
                </c:pt>
                <c:pt idx="1">
                  <c:v>9247.8799999999974</c:v>
                </c:pt>
                <c:pt idx="2">
                  <c:v>11568.419999999998</c:v>
                </c:pt>
                <c:pt idx="3">
                  <c:v>10106.410000000003</c:v>
                </c:pt>
                <c:pt idx="4">
                  <c:v>12855.669999999995</c:v>
                </c:pt>
                <c:pt idx="5">
                  <c:v>8930.5800000000036</c:v>
                </c:pt>
                <c:pt idx="6">
                  <c:v>11793.700000000006</c:v>
                </c:pt>
                <c:pt idx="7">
                  <c:v>12142.130000000001</c:v>
                </c:pt>
                <c:pt idx="8">
                  <c:v>11353.66</c:v>
                </c:pt>
                <c:pt idx="9">
                  <c:v>12894.699999999999</c:v>
                </c:pt>
                <c:pt idx="10">
                  <c:v>8836.6099999999933</c:v>
                </c:pt>
                <c:pt idx="11">
                  <c:v>10760.399999999998</c:v>
                </c:pt>
              </c:numCache>
            </c:numRef>
          </c:val>
          <c:smooth val="0"/>
          <c:extLst>
            <c:ext xmlns:c16="http://schemas.microsoft.com/office/drawing/2014/chart" uri="{C3380CC4-5D6E-409C-BE32-E72D297353CC}">
              <c16:uniqueId val="{00000002-ED48-4625-81AB-D55E961ACA19}"/>
            </c:ext>
          </c:extLst>
        </c:ser>
        <c:dLbls>
          <c:showLegendKey val="0"/>
          <c:showVal val="0"/>
          <c:showCatName val="0"/>
          <c:showSerName val="0"/>
          <c:showPercent val="0"/>
          <c:showBubbleSize val="0"/>
        </c:dLbls>
        <c:hiLowLines>
          <c:spPr>
            <a:ln w="0">
              <a:noFill/>
            </a:ln>
          </c:spPr>
        </c:hiLowLines>
        <c:marker val="1"/>
        <c:smooth val="0"/>
        <c:axId val="67357603"/>
        <c:axId val="62728387"/>
      </c:lineChart>
      <c:catAx>
        <c:axId val="158927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89034815"/>
        <c:crosses val="autoZero"/>
        <c:auto val="1"/>
        <c:lblAlgn val="ctr"/>
        <c:lblOffset val="100"/>
        <c:noMultiLvlLbl val="0"/>
      </c:catAx>
      <c:valAx>
        <c:axId val="89034815"/>
        <c:scaling>
          <c:orientation val="minMax"/>
        </c:scaling>
        <c:delete val="0"/>
        <c:axPos val="l"/>
        <c:numFmt formatCode="#,##0,\K" sourceLinked="0"/>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15892733"/>
        <c:crosses val="autoZero"/>
        <c:crossBetween val="between"/>
      </c:valAx>
      <c:catAx>
        <c:axId val="67357603"/>
        <c:scaling>
          <c:orientation val="minMax"/>
        </c:scaling>
        <c:delete val="1"/>
        <c:axPos val="b"/>
        <c:numFmt formatCode="General" sourceLinked="1"/>
        <c:majorTickMark val="none"/>
        <c:minorTickMark val="none"/>
        <c:tickLblPos val="nextTo"/>
        <c:crossAx val="62728387"/>
        <c:crosses val="autoZero"/>
        <c:auto val="1"/>
        <c:lblAlgn val="ctr"/>
        <c:lblOffset val="100"/>
        <c:noMultiLvlLbl val="0"/>
      </c:catAx>
      <c:valAx>
        <c:axId val="62728387"/>
        <c:scaling>
          <c:orientation val="minMax"/>
        </c:scaling>
        <c:delete val="0"/>
        <c:axPos val="r"/>
        <c:numFmt formatCode="\₹#,##0" sourceLinked="1"/>
        <c:majorTickMark val="none"/>
        <c:minorTickMark val="none"/>
        <c:tickLblPos val="nextTo"/>
        <c:spPr>
          <a:ln w="9360">
            <a:solidFill>
              <a:srgbClr val="878787"/>
            </a:solidFill>
            <a:round/>
          </a:ln>
        </c:spPr>
        <c:txPr>
          <a:bodyPr/>
          <a:lstStyle/>
          <a:p>
            <a:pPr>
              <a:defRPr sz="1000" b="1" strike="noStrike" spc="-1">
                <a:solidFill>
                  <a:srgbClr val="000000"/>
                </a:solidFill>
                <a:latin typeface="Calibri"/>
              </a:defRPr>
            </a:pPr>
            <a:endParaRPr lang="en-US"/>
          </a:p>
        </c:txPr>
        <c:crossAx val="67357603"/>
        <c:crosses val="max"/>
        <c:crossBetween val="between"/>
      </c:valAx>
      <c:spPr>
        <a:noFill/>
        <a:ln w="0">
          <a:noFill/>
        </a:ln>
      </c:spPr>
    </c:plotArea>
    <c:legend>
      <c:legendPos val="r"/>
      <c:overlay val="0"/>
      <c:spPr>
        <a:noFill/>
        <a:ln w="0">
          <a:noFill/>
        </a:ln>
      </c:spPr>
      <c:txPr>
        <a:bodyPr/>
        <a:lstStyle/>
        <a:p>
          <a:pPr>
            <a:defRPr sz="1000" b="1"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Category Performance — Net Sales, Gross &amp; Net Profit</a:t>
            </a:r>
          </a:p>
        </c:rich>
      </c:tx>
      <c:layout>
        <c:manualLayout>
          <c:xMode val="edge"/>
          <c:yMode val="edge"/>
          <c:x val="0.13542553432380988"/>
          <c:y val="1.7224122451304558E-2"/>
        </c:manualLayout>
      </c:layout>
      <c:overlay val="0"/>
      <c:spPr>
        <a:noFill/>
        <a:ln w="0">
          <a:noFill/>
        </a:ln>
      </c:spPr>
    </c:title>
    <c:autoTitleDeleted val="0"/>
    <c:plotArea>
      <c:layout>
        <c:manualLayout>
          <c:layoutTarget val="inner"/>
          <c:xMode val="edge"/>
          <c:yMode val="edge"/>
          <c:x val="0.15659967771613287"/>
          <c:y val="0.21993948176468961"/>
          <c:w val="0.59342596104325696"/>
          <c:h val="0.68184656290492862"/>
        </c:manualLayout>
      </c:layout>
      <c:barChart>
        <c:barDir val="bar"/>
        <c:grouping val="clustered"/>
        <c:varyColors val="0"/>
        <c:ser>
          <c:idx val="0"/>
          <c:order val="0"/>
          <c:tx>
            <c:strRef>
              <c:f>Calc!$B$53</c:f>
              <c:strCache>
                <c:ptCount val="1"/>
                <c:pt idx="0">
                  <c:v>Net Sales (₹)</c:v>
                </c:pt>
              </c:strCache>
            </c:strRef>
          </c:tx>
          <c:spPr>
            <a:solidFill>
              <a:srgbClr val="2A9D8F"/>
            </a:solidFill>
            <a:ln w="0">
              <a:solidFill>
                <a:srgbClr val="2A9D8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Calc!$A$54:$A$60</c:f>
              <c:strCache>
                <c:ptCount val="7"/>
                <c:pt idx="0">
                  <c:v>Groceries</c:v>
                </c:pt>
                <c:pt idx="1">
                  <c:v>Household</c:v>
                </c:pt>
                <c:pt idx="2">
                  <c:v>Beverages</c:v>
                </c:pt>
                <c:pt idx="3">
                  <c:v>Personal Care</c:v>
                </c:pt>
                <c:pt idx="4">
                  <c:v>Electronics</c:v>
                </c:pt>
                <c:pt idx="5">
                  <c:v>Snacks</c:v>
                </c:pt>
                <c:pt idx="6">
                  <c:v>Stationery</c:v>
                </c:pt>
              </c:strCache>
            </c:strRef>
          </c:cat>
          <c:val>
            <c:numRef>
              <c:f>Calc!$B$54:$B$60</c:f>
              <c:numCache>
                <c:formatCode>\₹#,##0</c:formatCode>
                <c:ptCount val="7"/>
                <c:pt idx="0">
                  <c:v>201363.76000000004</c:v>
                </c:pt>
                <c:pt idx="1">
                  <c:v>101609.34999999999</c:v>
                </c:pt>
                <c:pt idx="2">
                  <c:v>79609.659999999989</c:v>
                </c:pt>
                <c:pt idx="3">
                  <c:v>68748.7</c:v>
                </c:pt>
                <c:pt idx="4">
                  <c:v>40416.300000000003</c:v>
                </c:pt>
                <c:pt idx="5">
                  <c:v>24327.05</c:v>
                </c:pt>
                <c:pt idx="6">
                  <c:v>9385.3499999999985</c:v>
                </c:pt>
              </c:numCache>
            </c:numRef>
          </c:val>
          <c:extLst>
            <c:ext xmlns:c16="http://schemas.microsoft.com/office/drawing/2014/chart" uri="{C3380CC4-5D6E-409C-BE32-E72D297353CC}">
              <c16:uniqueId val="{00000000-E0B2-40A6-A389-67D66D7A2C30}"/>
            </c:ext>
          </c:extLst>
        </c:ser>
        <c:ser>
          <c:idx val="1"/>
          <c:order val="1"/>
          <c:tx>
            <c:strRef>
              <c:f>Calc!$C$53</c:f>
              <c:strCache>
                <c:ptCount val="1"/>
                <c:pt idx="0">
                  <c:v>Gross Profit (₹)</c:v>
                </c:pt>
              </c:strCache>
            </c:strRef>
          </c:tx>
          <c:spPr>
            <a:solidFill>
              <a:srgbClr val="1F4E78"/>
            </a:solidFill>
            <a:ln w="0">
              <a:solidFill>
                <a:srgbClr val="1F4E78"/>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Calc!$A$54:$A$60</c:f>
              <c:strCache>
                <c:ptCount val="7"/>
                <c:pt idx="0">
                  <c:v>Groceries</c:v>
                </c:pt>
                <c:pt idx="1">
                  <c:v>Household</c:v>
                </c:pt>
                <c:pt idx="2">
                  <c:v>Beverages</c:v>
                </c:pt>
                <c:pt idx="3">
                  <c:v>Personal Care</c:v>
                </c:pt>
                <c:pt idx="4">
                  <c:v>Electronics</c:v>
                </c:pt>
                <c:pt idx="5">
                  <c:v>Snacks</c:v>
                </c:pt>
                <c:pt idx="6">
                  <c:v>Stationery</c:v>
                </c:pt>
              </c:strCache>
            </c:strRef>
          </c:cat>
          <c:val>
            <c:numRef>
              <c:f>Calc!$C$54:$C$60</c:f>
              <c:numCache>
                <c:formatCode>\₹#,##0</c:formatCode>
                <c:ptCount val="7"/>
                <c:pt idx="0">
                  <c:v>53116</c:v>
                </c:pt>
                <c:pt idx="1">
                  <c:v>25848.169999999995</c:v>
                </c:pt>
                <c:pt idx="2">
                  <c:v>21508.810000000012</c:v>
                </c:pt>
                <c:pt idx="3">
                  <c:v>17026.089999999989</c:v>
                </c:pt>
                <c:pt idx="4">
                  <c:v>10478.619999999999</c:v>
                </c:pt>
                <c:pt idx="5">
                  <c:v>6522.2300000000005</c:v>
                </c:pt>
                <c:pt idx="6">
                  <c:v>2436.36</c:v>
                </c:pt>
              </c:numCache>
            </c:numRef>
          </c:val>
          <c:extLst>
            <c:ext xmlns:c16="http://schemas.microsoft.com/office/drawing/2014/chart" uri="{C3380CC4-5D6E-409C-BE32-E72D297353CC}">
              <c16:uniqueId val="{00000001-E0B2-40A6-A389-67D66D7A2C30}"/>
            </c:ext>
          </c:extLst>
        </c:ser>
        <c:ser>
          <c:idx val="2"/>
          <c:order val="2"/>
          <c:tx>
            <c:strRef>
              <c:f>Calc!$D$53</c:f>
              <c:strCache>
                <c:ptCount val="1"/>
                <c:pt idx="0">
                  <c:v>Net Profit (₹)</c:v>
                </c:pt>
              </c:strCache>
            </c:strRef>
          </c:tx>
          <c:spPr>
            <a:solidFill>
              <a:srgbClr val="F4A261"/>
            </a:solidFill>
            <a:ln w="0">
              <a:solidFill>
                <a:srgbClr val="F4A261"/>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Calc!$A$54:$A$60</c:f>
              <c:strCache>
                <c:ptCount val="7"/>
                <c:pt idx="0">
                  <c:v>Groceries</c:v>
                </c:pt>
                <c:pt idx="1">
                  <c:v>Household</c:v>
                </c:pt>
                <c:pt idx="2">
                  <c:v>Beverages</c:v>
                </c:pt>
                <c:pt idx="3">
                  <c:v>Personal Care</c:v>
                </c:pt>
                <c:pt idx="4">
                  <c:v>Electronics</c:v>
                </c:pt>
                <c:pt idx="5">
                  <c:v>Snacks</c:v>
                </c:pt>
                <c:pt idx="6">
                  <c:v>Stationery</c:v>
                </c:pt>
              </c:strCache>
            </c:strRef>
          </c:cat>
          <c:val>
            <c:numRef>
              <c:f>Calc!$D$54:$D$60</c:f>
              <c:numCache>
                <c:formatCode>\₹#,##0</c:formatCode>
                <c:ptCount val="7"/>
                <c:pt idx="0">
                  <c:v>34797.470000000023</c:v>
                </c:pt>
                <c:pt idx="1">
                  <c:v>16689.659999999989</c:v>
                </c:pt>
                <c:pt idx="2">
                  <c:v>14498.660000000002</c:v>
                </c:pt>
                <c:pt idx="3">
                  <c:v>10854.590000000006</c:v>
                </c:pt>
                <c:pt idx="4">
                  <c:v>6865.7699999999995</c:v>
                </c:pt>
                <c:pt idx="5">
                  <c:v>4238.4999999999991</c:v>
                </c:pt>
                <c:pt idx="6">
                  <c:v>1622.7999999999997</c:v>
                </c:pt>
              </c:numCache>
            </c:numRef>
          </c:val>
          <c:extLst>
            <c:ext xmlns:c16="http://schemas.microsoft.com/office/drawing/2014/chart" uri="{C3380CC4-5D6E-409C-BE32-E72D297353CC}">
              <c16:uniqueId val="{00000002-E0B2-40A6-A389-67D66D7A2C30}"/>
            </c:ext>
          </c:extLst>
        </c:ser>
        <c:dLbls>
          <c:showLegendKey val="0"/>
          <c:showVal val="0"/>
          <c:showCatName val="0"/>
          <c:showSerName val="0"/>
          <c:showPercent val="0"/>
          <c:showBubbleSize val="0"/>
        </c:dLbls>
        <c:gapWidth val="60"/>
        <c:overlap val="-10"/>
        <c:axId val="92275792"/>
        <c:axId val="45208942"/>
      </c:barChart>
      <c:catAx>
        <c:axId val="9227579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45208942"/>
        <c:crosses val="autoZero"/>
        <c:auto val="1"/>
        <c:lblAlgn val="ctr"/>
        <c:lblOffset val="100"/>
        <c:noMultiLvlLbl val="0"/>
      </c:catAx>
      <c:valAx>
        <c:axId val="45208942"/>
        <c:scaling>
          <c:orientation val="minMax"/>
        </c:scaling>
        <c:delete val="0"/>
        <c:axPos val="b"/>
        <c:numFmt formatCode="#,##0,\K" sourceLinked="0"/>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92275792"/>
        <c:crosses val="autoZero"/>
        <c:crossBetween val="between"/>
      </c:valAx>
      <c:spPr>
        <a:noFill/>
        <a:ln w="0">
          <a:noFill/>
        </a:ln>
      </c:spPr>
    </c:plotArea>
    <c:legend>
      <c:legendPos val="r"/>
      <c:overlay val="0"/>
      <c:spPr>
        <a:noFill/>
        <a:ln w="0">
          <a:noFill/>
        </a:ln>
      </c:spPr>
      <c:txPr>
        <a:bodyPr/>
        <a:lstStyle/>
        <a:p>
          <a:pPr>
            <a:defRPr sz="1000" b="1"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5 Products by Net Sales</a:t>
            </a:r>
          </a:p>
        </c:rich>
      </c:tx>
      <c:overlay val="0"/>
      <c:spPr>
        <a:noFill/>
        <a:ln w="0">
          <a:noFill/>
        </a:ln>
      </c:spPr>
    </c:title>
    <c:autoTitleDeleted val="0"/>
    <c:plotArea>
      <c:layout>
        <c:manualLayout>
          <c:layoutTarget val="inner"/>
          <c:xMode val="edge"/>
          <c:yMode val="edge"/>
          <c:x val="0.23295875770471386"/>
          <c:y val="0.18935792993102551"/>
          <c:w val="0.69907314619432581"/>
          <c:h val="0.71936164939337499"/>
        </c:manualLayout>
      </c:layout>
      <c:barChart>
        <c:barDir val="bar"/>
        <c:grouping val="clustered"/>
        <c:varyColors val="0"/>
        <c:ser>
          <c:idx val="0"/>
          <c:order val="0"/>
          <c:tx>
            <c:strRef>
              <c:f>Calc!$C$90</c:f>
              <c:strCache>
                <c:ptCount val="1"/>
                <c:pt idx="0">
                  <c:v>Net Sales (₹)</c:v>
                </c:pt>
              </c:strCache>
            </c:strRef>
          </c:tx>
          <c:spPr>
            <a:solidFill>
              <a:srgbClr val="2A9D8F"/>
            </a:solidFill>
            <a:ln w="0">
              <a:solidFill>
                <a:srgbClr val="2A9D8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Calc!$B$91:$B$95</c:f>
              <c:strCache>
                <c:ptCount val="5"/>
                <c:pt idx="0">
                  <c:v>Rice 5kg</c:v>
                </c:pt>
                <c:pt idx="1">
                  <c:v>Wheat Flour 5kg</c:v>
                </c:pt>
                <c:pt idx="2">
                  <c:v>Laundry Detergent 2kg</c:v>
                </c:pt>
                <c:pt idx="3">
                  <c:v>Coffee 200g</c:v>
                </c:pt>
                <c:pt idx="4">
                  <c:v>Shampoo 340ml</c:v>
                </c:pt>
              </c:strCache>
            </c:strRef>
          </c:cat>
          <c:val>
            <c:numRef>
              <c:f>Calc!$C$91:$C$95</c:f>
              <c:numCache>
                <c:formatCode>\₹#,##0</c:formatCode>
                <c:ptCount val="5"/>
                <c:pt idx="0">
                  <c:v>82152</c:v>
                </c:pt>
                <c:pt idx="1">
                  <c:v>77599.199999999997</c:v>
                </c:pt>
                <c:pt idx="2">
                  <c:v>55955.199999999997</c:v>
                </c:pt>
                <c:pt idx="3">
                  <c:v>44530.2</c:v>
                </c:pt>
                <c:pt idx="4">
                  <c:v>36071.699999999997</c:v>
                </c:pt>
              </c:numCache>
            </c:numRef>
          </c:val>
          <c:extLst>
            <c:ext xmlns:c16="http://schemas.microsoft.com/office/drawing/2014/chart" uri="{C3380CC4-5D6E-409C-BE32-E72D297353CC}">
              <c16:uniqueId val="{00000000-52FC-42C2-B180-18CB0DB30BD2}"/>
            </c:ext>
          </c:extLst>
        </c:ser>
        <c:dLbls>
          <c:showLegendKey val="0"/>
          <c:showVal val="0"/>
          <c:showCatName val="0"/>
          <c:showSerName val="0"/>
          <c:showPercent val="0"/>
          <c:showBubbleSize val="0"/>
        </c:dLbls>
        <c:gapWidth val="150"/>
        <c:axId val="56760082"/>
        <c:axId val="66655899"/>
      </c:barChart>
      <c:catAx>
        <c:axId val="5676008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66655899"/>
        <c:crosses val="autoZero"/>
        <c:auto val="1"/>
        <c:lblAlgn val="ctr"/>
        <c:lblOffset val="100"/>
        <c:noMultiLvlLbl val="0"/>
      </c:catAx>
      <c:valAx>
        <c:axId val="66655899"/>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5676008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Bottom 5 Products by Net Sales</a:t>
            </a:r>
          </a:p>
        </c:rich>
      </c:tx>
      <c:overlay val="0"/>
      <c:spPr>
        <a:noFill/>
        <a:ln w="0">
          <a:noFill/>
        </a:ln>
      </c:spPr>
    </c:title>
    <c:autoTitleDeleted val="0"/>
    <c:plotArea>
      <c:layout>
        <c:manualLayout>
          <c:layoutTarget val="inner"/>
          <c:xMode val="edge"/>
          <c:yMode val="edge"/>
          <c:x val="0.19218702367289009"/>
          <c:y val="0.18074586578538804"/>
          <c:w val="0.74877662589595106"/>
          <c:h val="0.71936164939337499"/>
        </c:manualLayout>
      </c:layout>
      <c:barChart>
        <c:barDir val="bar"/>
        <c:grouping val="clustered"/>
        <c:varyColors val="0"/>
        <c:ser>
          <c:idx val="0"/>
          <c:order val="0"/>
          <c:tx>
            <c:strRef>
              <c:f>Calc!$E$90</c:f>
              <c:strCache>
                <c:ptCount val="1"/>
                <c:pt idx="0">
                  <c:v>Net Sales (₹)</c:v>
                </c:pt>
              </c:strCache>
            </c:strRef>
          </c:tx>
          <c:spPr>
            <a:solidFill>
              <a:srgbClr val="E76F51"/>
            </a:solidFill>
            <a:ln w="0">
              <a:solidFill>
                <a:srgbClr val="E76F51"/>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Calc!$D$91:$D$95</c:f>
              <c:strCache>
                <c:ptCount val="5"/>
                <c:pt idx="0">
                  <c:v>Mineral Water 1L</c:v>
                </c:pt>
                <c:pt idx="1">
                  <c:v>Potato Chips</c:v>
                </c:pt>
                <c:pt idx="2">
                  <c:v>Biscuits Pack</c:v>
                </c:pt>
                <c:pt idx="3">
                  <c:v>Soap Bar</c:v>
                </c:pt>
                <c:pt idx="4">
                  <c:v>Notebook</c:v>
                </c:pt>
              </c:strCache>
            </c:strRef>
          </c:cat>
          <c:val>
            <c:numRef>
              <c:f>Calc!$E$91:$E$95</c:f>
              <c:numCache>
                <c:formatCode>\₹#,##0</c:formatCode>
                <c:ptCount val="5"/>
                <c:pt idx="0">
                  <c:v>3398.1999999999994</c:v>
                </c:pt>
                <c:pt idx="1">
                  <c:v>6232.7999999999993</c:v>
                </c:pt>
                <c:pt idx="2">
                  <c:v>7640.4000000000005</c:v>
                </c:pt>
                <c:pt idx="3">
                  <c:v>8643.1</c:v>
                </c:pt>
                <c:pt idx="4">
                  <c:v>9385.3499999999985</c:v>
                </c:pt>
              </c:numCache>
            </c:numRef>
          </c:val>
          <c:extLst>
            <c:ext xmlns:c16="http://schemas.microsoft.com/office/drawing/2014/chart" uri="{C3380CC4-5D6E-409C-BE32-E72D297353CC}">
              <c16:uniqueId val="{00000000-975E-431D-A0AA-BA398A45C775}"/>
            </c:ext>
          </c:extLst>
        </c:ser>
        <c:dLbls>
          <c:showLegendKey val="0"/>
          <c:showVal val="0"/>
          <c:showCatName val="0"/>
          <c:showSerName val="0"/>
          <c:showPercent val="0"/>
          <c:showBubbleSize val="0"/>
        </c:dLbls>
        <c:gapWidth val="150"/>
        <c:axId val="58302784"/>
        <c:axId val="52587029"/>
      </c:barChart>
      <c:catAx>
        <c:axId val="5830278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52587029"/>
        <c:crosses val="autoZero"/>
        <c:auto val="1"/>
        <c:lblAlgn val="ctr"/>
        <c:lblOffset val="100"/>
        <c:noMultiLvlLbl val="0"/>
      </c:catAx>
      <c:valAx>
        <c:axId val="52587029"/>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5830278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600"/>
            </a:pPr>
            <a:r>
              <a:rPr lang="en-US" sz="1600"/>
              <a:t>Net Sales by</a:t>
            </a:r>
            <a:r>
              <a:rPr lang="en-US" sz="1600" baseline="0"/>
              <a:t> Region</a:t>
            </a:r>
            <a:endParaRPr lang="en-US" sz="1600"/>
          </a:p>
        </c:rich>
      </c:tx>
      <c:overlay val="0"/>
    </c:title>
    <c:autoTitleDeleted val="0"/>
    <c:plotArea>
      <c:layout>
        <c:manualLayout>
          <c:layoutTarget val="inner"/>
          <c:xMode val="edge"/>
          <c:yMode val="edge"/>
          <c:x val="0.13492713862350453"/>
          <c:y val="0.1868416939829021"/>
          <c:w val="0.52495586950230044"/>
          <c:h val="0.70039302155363692"/>
        </c:manualLayout>
      </c:layout>
      <c:pieChart>
        <c:varyColors val="1"/>
        <c:ser>
          <c:idx val="0"/>
          <c:order val="0"/>
          <c:tx>
            <c:strRef>
              <c:f>Calc!$B$99</c:f>
              <c:strCache>
                <c:ptCount val="1"/>
                <c:pt idx="0">
                  <c:v>Net Sales (₹)</c:v>
                </c:pt>
              </c:strCache>
            </c:strRef>
          </c:tx>
          <c:spPr>
            <a:solidFill>
              <a:srgbClr val="4F81BD"/>
            </a:solidFill>
            <a:ln w="0">
              <a:noFill/>
            </a:ln>
          </c:spPr>
          <c:explosion val="1"/>
          <c:dPt>
            <c:idx val="0"/>
            <c:bubble3D val="0"/>
            <c:spPr>
              <a:solidFill>
                <a:srgbClr val="1F4E78"/>
              </a:solidFill>
              <a:ln w="0">
                <a:noFill/>
              </a:ln>
            </c:spPr>
            <c:extLst>
              <c:ext xmlns:c16="http://schemas.microsoft.com/office/drawing/2014/chart" uri="{C3380CC4-5D6E-409C-BE32-E72D297353CC}">
                <c16:uniqueId val="{00000001-B123-45C2-BDDA-477165018B71}"/>
              </c:ext>
            </c:extLst>
          </c:dPt>
          <c:dPt>
            <c:idx val="1"/>
            <c:bubble3D val="0"/>
            <c:spPr>
              <a:solidFill>
                <a:srgbClr val="2A9D8F"/>
              </a:solidFill>
              <a:ln w="0">
                <a:noFill/>
              </a:ln>
            </c:spPr>
            <c:extLst>
              <c:ext xmlns:c16="http://schemas.microsoft.com/office/drawing/2014/chart" uri="{C3380CC4-5D6E-409C-BE32-E72D297353CC}">
                <c16:uniqueId val="{00000003-B123-45C2-BDDA-477165018B71}"/>
              </c:ext>
            </c:extLst>
          </c:dPt>
          <c:dPt>
            <c:idx val="2"/>
            <c:bubble3D val="0"/>
            <c:spPr>
              <a:solidFill>
                <a:srgbClr val="F4A261"/>
              </a:solidFill>
              <a:ln w="0">
                <a:noFill/>
              </a:ln>
            </c:spPr>
            <c:extLst>
              <c:ext xmlns:c16="http://schemas.microsoft.com/office/drawing/2014/chart" uri="{C3380CC4-5D6E-409C-BE32-E72D297353CC}">
                <c16:uniqueId val="{00000005-B123-45C2-BDDA-477165018B71}"/>
              </c:ext>
            </c:extLst>
          </c:dPt>
          <c:dPt>
            <c:idx val="3"/>
            <c:bubble3D val="0"/>
            <c:spPr>
              <a:solidFill>
                <a:srgbClr val="E76F51"/>
              </a:solidFill>
              <a:ln w="0">
                <a:noFill/>
              </a:ln>
            </c:spPr>
            <c:extLst>
              <c:ext xmlns:c16="http://schemas.microsoft.com/office/drawing/2014/chart" uri="{C3380CC4-5D6E-409C-BE32-E72D297353CC}">
                <c16:uniqueId val="{00000007-B123-45C2-BDDA-477165018B71}"/>
              </c:ext>
            </c:extLst>
          </c:dPt>
          <c:dPt>
            <c:idx val="4"/>
            <c:bubble3D val="0"/>
            <c:spPr>
              <a:solidFill>
                <a:srgbClr val="5B9BD5"/>
              </a:solidFill>
              <a:ln w="0">
                <a:noFill/>
              </a:ln>
            </c:spPr>
            <c:extLst>
              <c:ext xmlns:c16="http://schemas.microsoft.com/office/drawing/2014/chart" uri="{C3380CC4-5D6E-409C-BE32-E72D297353CC}">
                <c16:uniqueId val="{00000009-B123-45C2-BDDA-477165018B71}"/>
              </c:ext>
            </c:extLst>
          </c:dPt>
          <c:dLbls>
            <c:spPr>
              <a:solidFill>
                <a:srgbClr val="FFFFFF"/>
              </a:solidFill>
              <a:ln>
                <a:solidFill>
                  <a:srgbClr val="000000">
                    <a:lumMod val="65000"/>
                    <a:lumOff val="35000"/>
                  </a:srgbClr>
                </a:solidFill>
              </a:ln>
              <a:effectLst/>
            </c:spPr>
            <c:txPr>
              <a:bodyPr wrap="square" lIns="38100" tIns="19050" rIns="38100" bIns="19050" anchor="ctr">
                <a:spAutoFit/>
              </a:bodyPr>
              <a:lstStyle/>
              <a:p>
                <a:pPr>
                  <a:defRPr b="1"/>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Calc!$A$100:$A$104</c:f>
              <c:strCache>
                <c:ptCount val="5"/>
                <c:pt idx="0">
                  <c:v>Ghaziabad</c:v>
                </c:pt>
                <c:pt idx="1">
                  <c:v>Delhi</c:v>
                </c:pt>
                <c:pt idx="2">
                  <c:v>Noida</c:v>
                </c:pt>
                <c:pt idx="3">
                  <c:v>Gurugram</c:v>
                </c:pt>
                <c:pt idx="4">
                  <c:v>Unknown</c:v>
                </c:pt>
              </c:strCache>
            </c:strRef>
          </c:cat>
          <c:val>
            <c:numRef>
              <c:f>Calc!$B$100:$B$104</c:f>
              <c:numCache>
                <c:formatCode>\₹#,##0</c:formatCode>
                <c:ptCount val="5"/>
                <c:pt idx="0">
                  <c:v>136753.22</c:v>
                </c:pt>
                <c:pt idx="1">
                  <c:v>134972.06</c:v>
                </c:pt>
                <c:pt idx="2">
                  <c:v>126739.12999999999</c:v>
                </c:pt>
                <c:pt idx="3">
                  <c:v>123015.35999999999</c:v>
                </c:pt>
                <c:pt idx="4">
                  <c:v>3980.4</c:v>
                </c:pt>
              </c:numCache>
            </c:numRef>
          </c:val>
          <c:extLst>
            <c:ext xmlns:c16="http://schemas.microsoft.com/office/drawing/2014/chart" uri="{C3380CC4-5D6E-409C-BE32-E72D297353CC}">
              <c16:uniqueId val="{0000000A-B123-45C2-BDDA-477165018B71}"/>
            </c:ext>
          </c:extLst>
        </c:ser>
        <c:dLbls>
          <c:dLblPos val="inEnd"/>
          <c:showLegendKey val="0"/>
          <c:showVal val="0"/>
          <c:showCatName val="0"/>
          <c:showSerName val="0"/>
          <c:showPercent val="0"/>
          <c:showBubbleSize val="0"/>
          <c:showLeaderLines val="0"/>
        </c:dLbls>
        <c:firstSliceAng val="0"/>
      </c:pieChart>
      <c:spPr>
        <a:noFill/>
        <a:ln w="0">
          <a:noFill/>
        </a:ln>
      </c:spPr>
    </c:plotArea>
    <c:legend>
      <c:legendPos val="r"/>
      <c:overlay val="0"/>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a:pPr>
            <a:r>
              <a:rPr lang="en-IN" sz="1600"/>
              <a:t>Net Sales</a:t>
            </a:r>
            <a:r>
              <a:rPr lang="en-IN" sz="1600" baseline="0"/>
              <a:t> by Payment Mode</a:t>
            </a:r>
            <a:endParaRPr lang="en-IN" sz="1600"/>
          </a:p>
        </c:rich>
      </c:tx>
      <c:overlay val="0"/>
    </c:title>
    <c:autoTitleDeleted val="0"/>
    <c:plotArea>
      <c:layout/>
      <c:pieChart>
        <c:varyColors val="1"/>
        <c:ser>
          <c:idx val="0"/>
          <c:order val="0"/>
          <c:tx>
            <c:strRef>
              <c:f>Calc!$B$119</c:f>
              <c:strCache>
                <c:ptCount val="1"/>
                <c:pt idx="0">
                  <c:v>Net Sales (₹)</c:v>
                </c:pt>
              </c:strCache>
            </c:strRef>
          </c:tx>
          <c:spPr>
            <a:solidFill>
              <a:srgbClr val="4F81BD"/>
            </a:solidFill>
            <a:ln w="0">
              <a:noFill/>
            </a:ln>
          </c:spPr>
          <c:dPt>
            <c:idx val="0"/>
            <c:bubble3D val="0"/>
            <c:spPr>
              <a:solidFill>
                <a:srgbClr val="1F4E78"/>
              </a:solidFill>
              <a:ln w="0">
                <a:noFill/>
              </a:ln>
            </c:spPr>
            <c:extLst>
              <c:ext xmlns:c16="http://schemas.microsoft.com/office/drawing/2014/chart" uri="{C3380CC4-5D6E-409C-BE32-E72D297353CC}">
                <c16:uniqueId val="{00000001-F2DF-4CD3-A51C-7B27781756D7}"/>
              </c:ext>
            </c:extLst>
          </c:dPt>
          <c:dPt>
            <c:idx val="1"/>
            <c:bubble3D val="0"/>
            <c:spPr>
              <a:solidFill>
                <a:srgbClr val="2A9D8F"/>
              </a:solidFill>
              <a:ln w="0">
                <a:noFill/>
              </a:ln>
            </c:spPr>
            <c:extLst>
              <c:ext xmlns:c16="http://schemas.microsoft.com/office/drawing/2014/chart" uri="{C3380CC4-5D6E-409C-BE32-E72D297353CC}">
                <c16:uniqueId val="{00000003-F2DF-4CD3-A51C-7B27781756D7}"/>
              </c:ext>
            </c:extLst>
          </c:dPt>
          <c:dPt>
            <c:idx val="2"/>
            <c:bubble3D val="0"/>
            <c:spPr>
              <a:solidFill>
                <a:srgbClr val="F4A261"/>
              </a:solidFill>
              <a:ln w="0">
                <a:noFill/>
              </a:ln>
            </c:spPr>
            <c:extLst>
              <c:ext xmlns:c16="http://schemas.microsoft.com/office/drawing/2014/chart" uri="{C3380CC4-5D6E-409C-BE32-E72D297353CC}">
                <c16:uniqueId val="{00000005-F2DF-4CD3-A51C-7B27781756D7}"/>
              </c:ext>
            </c:extLst>
          </c:dPt>
          <c:dPt>
            <c:idx val="3"/>
            <c:bubble3D val="0"/>
            <c:spPr>
              <a:solidFill>
                <a:srgbClr val="E76F51"/>
              </a:solidFill>
              <a:ln w="0">
                <a:noFill/>
              </a:ln>
            </c:spPr>
            <c:extLst>
              <c:ext xmlns:c16="http://schemas.microsoft.com/office/drawing/2014/chart" uri="{C3380CC4-5D6E-409C-BE32-E72D297353CC}">
                <c16:uniqueId val="{00000007-F2DF-4CD3-A51C-7B27781756D7}"/>
              </c:ext>
            </c:extLst>
          </c:dPt>
          <c:dPt>
            <c:idx val="4"/>
            <c:bubble3D val="0"/>
            <c:spPr>
              <a:solidFill>
                <a:srgbClr val="5B9BD5"/>
              </a:solidFill>
              <a:ln w="0">
                <a:noFill/>
              </a:ln>
            </c:spPr>
            <c:extLst>
              <c:ext xmlns:c16="http://schemas.microsoft.com/office/drawing/2014/chart" uri="{C3380CC4-5D6E-409C-BE32-E72D297353CC}">
                <c16:uniqueId val="{00000009-F2DF-4CD3-A51C-7B27781756D7}"/>
              </c:ext>
            </c:extLst>
          </c:dPt>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Calc!$A$120:$A$124</c:f>
              <c:strCache>
                <c:ptCount val="5"/>
                <c:pt idx="0">
                  <c:v>Card</c:v>
                </c:pt>
                <c:pt idx="1">
                  <c:v>Cash</c:v>
                </c:pt>
                <c:pt idx="2">
                  <c:v>UPI</c:v>
                </c:pt>
                <c:pt idx="3">
                  <c:v>Wallet</c:v>
                </c:pt>
                <c:pt idx="4">
                  <c:v>Unknown</c:v>
                </c:pt>
              </c:strCache>
            </c:strRef>
          </c:cat>
          <c:val>
            <c:numRef>
              <c:f>Calc!$B$120:$B$124</c:f>
              <c:numCache>
                <c:formatCode>\₹#,##0</c:formatCode>
                <c:ptCount val="5"/>
                <c:pt idx="0">
                  <c:v>128540.19</c:v>
                </c:pt>
                <c:pt idx="1">
                  <c:v>136464.80999999997</c:v>
                </c:pt>
                <c:pt idx="2">
                  <c:v>123079.74999999999</c:v>
                </c:pt>
                <c:pt idx="3">
                  <c:v>132651.65999999997</c:v>
                </c:pt>
                <c:pt idx="4">
                  <c:v>4723.76</c:v>
                </c:pt>
              </c:numCache>
            </c:numRef>
          </c:val>
          <c:extLst>
            <c:ext xmlns:c16="http://schemas.microsoft.com/office/drawing/2014/chart" uri="{C3380CC4-5D6E-409C-BE32-E72D297353CC}">
              <c16:uniqueId val="{0000000A-F2DF-4CD3-A51C-7B27781756D7}"/>
            </c:ext>
          </c:extLst>
        </c:ser>
        <c:dLbls>
          <c:dLblPos val="outEnd"/>
          <c:showLegendKey val="0"/>
          <c:showVal val="1"/>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1"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Return Qty by Category</a:t>
            </a:r>
          </a:p>
        </c:rich>
      </c:tx>
      <c:overlay val="0"/>
      <c:spPr>
        <a:noFill/>
        <a:ln w="0">
          <a:noFill/>
        </a:ln>
      </c:spPr>
    </c:title>
    <c:autoTitleDeleted val="0"/>
    <c:plotArea>
      <c:layout/>
      <c:barChart>
        <c:barDir val="col"/>
        <c:grouping val="clustered"/>
        <c:varyColors val="0"/>
        <c:ser>
          <c:idx val="0"/>
          <c:order val="0"/>
          <c:tx>
            <c:strRef>
              <c:f>Calc!$F$53</c:f>
              <c:strCache>
                <c:ptCount val="1"/>
                <c:pt idx="0">
                  <c:v>Return Qty</c:v>
                </c:pt>
              </c:strCache>
            </c:strRef>
          </c:tx>
          <c:spPr>
            <a:solidFill>
              <a:srgbClr val="E76F51"/>
            </a:solidFill>
            <a:ln w="0">
              <a:solidFill>
                <a:srgbClr val="E76F51"/>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Calc!$A$54:$A$60</c:f>
              <c:strCache>
                <c:ptCount val="7"/>
                <c:pt idx="0">
                  <c:v>Groceries</c:v>
                </c:pt>
                <c:pt idx="1">
                  <c:v>Household</c:v>
                </c:pt>
                <c:pt idx="2">
                  <c:v>Beverages</c:v>
                </c:pt>
                <c:pt idx="3">
                  <c:v>Personal Care</c:v>
                </c:pt>
                <c:pt idx="4">
                  <c:v>Electronics</c:v>
                </c:pt>
                <c:pt idx="5">
                  <c:v>Snacks</c:v>
                </c:pt>
                <c:pt idx="6">
                  <c:v>Stationery</c:v>
                </c:pt>
              </c:strCache>
            </c:strRef>
          </c:cat>
          <c:val>
            <c:numRef>
              <c:f>Calc!$F$54:$F$60</c:f>
              <c:numCache>
                <c:formatCode>#,##0</c:formatCode>
                <c:ptCount val="7"/>
                <c:pt idx="0">
                  <c:v>20</c:v>
                </c:pt>
                <c:pt idx="1">
                  <c:v>10</c:v>
                </c:pt>
                <c:pt idx="2">
                  <c:v>13</c:v>
                </c:pt>
                <c:pt idx="3">
                  <c:v>10</c:v>
                </c:pt>
                <c:pt idx="4">
                  <c:v>4</c:v>
                </c:pt>
                <c:pt idx="5">
                  <c:v>19</c:v>
                </c:pt>
                <c:pt idx="6">
                  <c:v>1</c:v>
                </c:pt>
              </c:numCache>
            </c:numRef>
          </c:val>
          <c:extLst>
            <c:ext xmlns:c16="http://schemas.microsoft.com/office/drawing/2014/chart" uri="{C3380CC4-5D6E-409C-BE32-E72D297353CC}">
              <c16:uniqueId val="{00000000-F5E1-4291-B875-7960C1FB84B0}"/>
            </c:ext>
          </c:extLst>
        </c:ser>
        <c:dLbls>
          <c:showLegendKey val="0"/>
          <c:showVal val="0"/>
          <c:showCatName val="0"/>
          <c:showSerName val="0"/>
          <c:showPercent val="0"/>
          <c:showBubbleSize val="0"/>
        </c:dLbls>
        <c:gapWidth val="150"/>
        <c:axId val="27777269"/>
        <c:axId val="35385051"/>
      </c:barChart>
      <c:catAx>
        <c:axId val="277772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35385051"/>
        <c:crosses val="autoZero"/>
        <c:auto val="1"/>
        <c:lblAlgn val="ctr"/>
        <c:lblOffset val="100"/>
        <c:noMultiLvlLbl val="0"/>
      </c:catAx>
      <c:valAx>
        <c:axId val="35385051"/>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2777726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Return Rate (Qty) — Monthly Trend</a:t>
            </a:r>
          </a:p>
        </c:rich>
      </c:tx>
      <c:overlay val="0"/>
      <c:spPr>
        <a:noFill/>
        <a:ln w="0">
          <a:noFill/>
        </a:ln>
      </c:spPr>
    </c:title>
    <c:autoTitleDeleted val="0"/>
    <c:plotArea>
      <c:layout/>
      <c:lineChart>
        <c:grouping val="standard"/>
        <c:varyColors val="0"/>
        <c:ser>
          <c:idx val="0"/>
          <c:order val="0"/>
          <c:tx>
            <c:strRef>
              <c:f>Calc!$P$36</c:f>
              <c:strCache>
                <c:ptCount val="1"/>
                <c:pt idx="0">
                  <c:v>Return Rate (Qty)</c:v>
                </c:pt>
              </c:strCache>
            </c:strRef>
          </c:tx>
          <c:spPr>
            <a:ln w="20160">
              <a:solidFill>
                <a:srgbClr val="F4A261"/>
              </a:solidFill>
              <a:round/>
            </a:ln>
          </c:spPr>
          <c:marker>
            <c:symbol val="diamond"/>
            <c:size val="6"/>
            <c:spPr>
              <a:solidFill>
                <a:srgbClr val="F4A26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Calc!$B$37:$B$48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Calc!$P$37:$P$48</c:f>
              <c:numCache>
                <c:formatCode>0.0%</c:formatCode>
                <c:ptCount val="12"/>
                <c:pt idx="0">
                  <c:v>8.9928057553956831E-3</c:v>
                </c:pt>
                <c:pt idx="1">
                  <c:v>1.556420233463035E-2</c:v>
                </c:pt>
                <c:pt idx="2">
                  <c:v>1.0101010101010102E-2</c:v>
                </c:pt>
                <c:pt idx="3">
                  <c:v>3.2432432432432434E-2</c:v>
                </c:pt>
                <c:pt idx="4">
                  <c:v>2.9906542056074768E-2</c:v>
                </c:pt>
                <c:pt idx="5">
                  <c:v>2.0283975659229209E-3</c:v>
                </c:pt>
                <c:pt idx="6">
                  <c:v>1.8181818181818181E-2</c:v>
                </c:pt>
                <c:pt idx="7">
                  <c:v>2.4115755627009645E-2</c:v>
                </c:pt>
                <c:pt idx="8">
                  <c:v>2.2267206477732792E-2</c:v>
                </c:pt>
                <c:pt idx="9">
                  <c:v>1.2658227848101266E-2</c:v>
                </c:pt>
                <c:pt idx="10">
                  <c:v>1.4141414141414142E-2</c:v>
                </c:pt>
                <c:pt idx="11">
                  <c:v>1.9503546099290781E-2</c:v>
                </c:pt>
              </c:numCache>
            </c:numRef>
          </c:val>
          <c:smooth val="1"/>
          <c:extLst>
            <c:ext xmlns:c16="http://schemas.microsoft.com/office/drawing/2014/chart" uri="{C3380CC4-5D6E-409C-BE32-E72D297353CC}">
              <c16:uniqueId val="{00000000-C690-4AD7-AECD-6A73168677B7}"/>
            </c:ext>
          </c:extLst>
        </c:ser>
        <c:dLbls>
          <c:showLegendKey val="0"/>
          <c:showVal val="0"/>
          <c:showCatName val="0"/>
          <c:showSerName val="0"/>
          <c:showPercent val="0"/>
          <c:showBubbleSize val="0"/>
        </c:dLbls>
        <c:hiLowLines>
          <c:spPr>
            <a:ln w="0">
              <a:noFill/>
            </a:ln>
          </c:spPr>
        </c:hiLowLines>
        <c:marker val="1"/>
        <c:smooth val="0"/>
        <c:axId val="17525483"/>
        <c:axId val="71679217"/>
      </c:lineChart>
      <c:catAx>
        <c:axId val="175254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71679217"/>
        <c:crosses val="autoZero"/>
        <c:auto val="1"/>
        <c:lblAlgn val="ctr"/>
        <c:lblOffset val="100"/>
        <c:noMultiLvlLbl val="0"/>
      </c:catAx>
      <c:valAx>
        <c:axId val="71679217"/>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1752548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Net Sales vs. Net Profit Margin, per Product</a:t>
            </a:r>
          </a:p>
        </c:rich>
      </c:tx>
      <c:overlay val="0"/>
      <c:spPr>
        <a:noFill/>
        <a:ln w="0">
          <a:noFill/>
        </a:ln>
      </c:spPr>
    </c:title>
    <c:autoTitleDeleted val="0"/>
    <c:plotArea>
      <c:layout>
        <c:manualLayout>
          <c:layoutTarget val="inner"/>
          <c:xMode val="edge"/>
          <c:yMode val="edge"/>
          <c:x val="0.14216328399240674"/>
          <c:y val="0.18072380650172171"/>
          <c:w val="0.81508985462959005"/>
          <c:h val="0.62809746446346781"/>
        </c:manualLayout>
      </c:layout>
      <c:scatterChart>
        <c:scatterStyle val="lineMarker"/>
        <c:varyColors val="0"/>
        <c:ser>
          <c:idx val="0"/>
          <c:order val="0"/>
          <c:tx>
            <c:v>Products</c:v>
          </c:tx>
          <c:spPr>
            <a:ln w="28440">
              <a:noFill/>
            </a:ln>
          </c:spPr>
          <c:marker>
            <c:symbol val="circle"/>
            <c:size val="8"/>
            <c:spPr>
              <a:solidFill>
                <a:srgbClr val="5B9BD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Calc!$C$66:$C$85</c:f>
              <c:numCache>
                <c:formatCode>\₹#,##0</c:formatCode>
                <c:ptCount val="20"/>
                <c:pt idx="0">
                  <c:v>82152</c:v>
                </c:pt>
                <c:pt idx="1">
                  <c:v>77599.199999999997</c:v>
                </c:pt>
                <c:pt idx="2">
                  <c:v>55955.199999999997</c:v>
                </c:pt>
                <c:pt idx="3">
                  <c:v>44530.2</c:v>
                </c:pt>
                <c:pt idx="4">
                  <c:v>36071.699999999997</c:v>
                </c:pt>
                <c:pt idx="5">
                  <c:v>27979.200000000001</c:v>
                </c:pt>
                <c:pt idx="6">
                  <c:v>25745</c:v>
                </c:pt>
                <c:pt idx="7">
                  <c:v>22087.5</c:v>
                </c:pt>
                <c:pt idx="8">
                  <c:v>25539.599999999999</c:v>
                </c:pt>
                <c:pt idx="9">
                  <c:v>19909.150000000001</c:v>
                </c:pt>
                <c:pt idx="10">
                  <c:v>24033.899999999998</c:v>
                </c:pt>
                <c:pt idx="11">
                  <c:v>14876.699999999999</c:v>
                </c:pt>
                <c:pt idx="12">
                  <c:v>13633.36</c:v>
                </c:pt>
                <c:pt idx="13">
                  <c:v>9385.3499999999985</c:v>
                </c:pt>
                <c:pt idx="14">
                  <c:v>10453.850000000002</c:v>
                </c:pt>
                <c:pt idx="15">
                  <c:v>9593.76</c:v>
                </c:pt>
                <c:pt idx="16">
                  <c:v>8643.1</c:v>
                </c:pt>
                <c:pt idx="17">
                  <c:v>7640.4000000000005</c:v>
                </c:pt>
                <c:pt idx="18">
                  <c:v>6232.7999999999993</c:v>
                </c:pt>
                <c:pt idx="19">
                  <c:v>3398.1999999999994</c:v>
                </c:pt>
              </c:numCache>
            </c:numRef>
          </c:xVal>
          <c:yVal>
            <c:numRef>
              <c:f>Calc!$K$66:$K$85</c:f>
              <c:numCache>
                <c:formatCode>0.0%</c:formatCode>
                <c:ptCount val="20"/>
                <c:pt idx="0">
                  <c:v>0.17114361184146454</c:v>
                </c:pt>
                <c:pt idx="1">
                  <c:v>0.17068706893885502</c:v>
                </c:pt>
                <c:pt idx="2">
                  <c:v>0.16384446843188832</c:v>
                </c:pt>
                <c:pt idx="3">
                  <c:v>0.1896759951673247</c:v>
                </c:pt>
                <c:pt idx="4">
                  <c:v>0.15696709608917794</c:v>
                </c:pt>
                <c:pt idx="5">
                  <c:v>0.1879742808943787</c:v>
                </c:pt>
                <c:pt idx="6">
                  <c:v>0.15910196154593129</c:v>
                </c:pt>
                <c:pt idx="7">
                  <c:v>0.17626032823995466</c:v>
                </c:pt>
                <c:pt idx="8">
                  <c:v>0.16806841140816617</c:v>
                </c:pt>
                <c:pt idx="9">
                  <c:v>0.17206309661637992</c:v>
                </c:pt>
                <c:pt idx="10">
                  <c:v>0.15573585643611734</c:v>
                </c:pt>
                <c:pt idx="11">
                  <c:v>0.17297989473471942</c:v>
                </c:pt>
                <c:pt idx="12">
                  <c:v>0.16379894611453083</c:v>
                </c:pt>
                <c:pt idx="13">
                  <c:v>0.17290777648143116</c:v>
                </c:pt>
                <c:pt idx="14">
                  <c:v>0.17518139250132728</c:v>
                </c:pt>
                <c:pt idx="15">
                  <c:v>0.16967174496756227</c:v>
                </c:pt>
                <c:pt idx="16">
                  <c:v>0.16771528733903338</c:v>
                </c:pt>
                <c:pt idx="17">
                  <c:v>0.16930658080728755</c:v>
                </c:pt>
                <c:pt idx="18">
                  <c:v>0.17866929790784247</c:v>
                </c:pt>
                <c:pt idx="19">
                  <c:v>0.1563798481549056</c:v>
                </c:pt>
              </c:numCache>
            </c:numRef>
          </c:yVal>
          <c:smooth val="1"/>
          <c:extLst>
            <c:ext xmlns:c16="http://schemas.microsoft.com/office/drawing/2014/chart" uri="{C3380CC4-5D6E-409C-BE32-E72D297353CC}">
              <c16:uniqueId val="{00000000-37C0-4C12-8626-AF16EAF9245D}"/>
            </c:ext>
          </c:extLst>
        </c:ser>
        <c:dLbls>
          <c:showLegendKey val="0"/>
          <c:showVal val="0"/>
          <c:showCatName val="0"/>
          <c:showSerName val="0"/>
          <c:showPercent val="0"/>
          <c:showBubbleSize val="0"/>
        </c:dLbls>
        <c:axId val="16621366"/>
        <c:axId val="82618656"/>
      </c:scatterChart>
      <c:valAx>
        <c:axId val="16621366"/>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Net Sales (₹)</a:t>
                </a:r>
              </a:p>
            </c:rich>
          </c:tx>
          <c:overlay val="0"/>
          <c:spPr>
            <a:noFill/>
            <a:ln w="0">
              <a:noFill/>
            </a:ln>
          </c:spPr>
        </c:title>
        <c:numFmt formatCode="#,##0,\K" sourceLinked="0"/>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82618656"/>
        <c:crosses val="autoZero"/>
        <c:crossBetween val="midCat"/>
      </c:valAx>
      <c:valAx>
        <c:axId val="82618656"/>
        <c:scaling>
          <c:orientation val="minMax"/>
        </c:scaling>
        <c:delete val="0"/>
        <c:axPos val="l"/>
        <c:title>
          <c:tx>
            <c:rich>
              <a:bodyPr rot="-5400000"/>
              <a:lstStyle/>
              <a:p>
                <a:pPr>
                  <a:defRPr sz="1100" b="1" strike="noStrike" spc="-1">
                    <a:solidFill>
                      <a:srgbClr val="000000"/>
                    </a:solidFill>
                    <a:latin typeface="Calibri"/>
                  </a:defRPr>
                </a:pPr>
                <a:r>
                  <a:rPr lang="en-IN" sz="1100" b="1" strike="noStrike" spc="-1">
                    <a:solidFill>
                      <a:srgbClr val="000000"/>
                    </a:solidFill>
                    <a:latin typeface="Calibri"/>
                  </a:rPr>
                  <a:t>Net Profit Margin</a:t>
                </a:r>
              </a:p>
            </c:rich>
          </c:tx>
          <c:layout>
            <c:manualLayout>
              <c:xMode val="edge"/>
              <c:yMode val="edge"/>
              <c:x val="2.8466278387127564E-2"/>
              <c:y val="0.32565224186369446"/>
            </c:manualLayout>
          </c:layout>
          <c:overlay val="0"/>
          <c:spPr>
            <a:noFill/>
            <a:ln w="0">
              <a:noFill/>
            </a:ln>
          </c:spPr>
        </c:title>
        <c:numFmt formatCode="0%" sourceLinked="0"/>
        <c:majorTickMark val="none"/>
        <c:minorTickMark val="none"/>
        <c:tickLblPos val="nextTo"/>
        <c:spPr>
          <a:ln w="9360">
            <a:solidFill>
              <a:srgbClr val="878787"/>
            </a:solidFill>
            <a:round/>
          </a:ln>
        </c:spPr>
        <c:txPr>
          <a:bodyPr/>
          <a:lstStyle/>
          <a:p>
            <a:pPr>
              <a:defRPr sz="900" b="1" strike="noStrike" spc="-1">
                <a:solidFill>
                  <a:srgbClr val="000000"/>
                </a:solidFill>
                <a:latin typeface="Calibri"/>
              </a:defRPr>
            </a:pPr>
            <a:endParaRPr lang="en-US"/>
          </a:p>
        </c:txPr>
        <c:crossAx val="16621366"/>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156883</xdr:colOff>
      <xdr:row>19</xdr:row>
      <xdr:rowOff>14941</xdr:rowOff>
    </xdr:from>
    <xdr:to>
      <xdr:col>13</xdr:col>
      <xdr:colOff>163784</xdr:colOff>
      <xdr:row>35</xdr:row>
      <xdr:rowOff>26463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405481</xdr:colOff>
      <xdr:row>19</xdr:row>
      <xdr:rowOff>15301</xdr:rowOff>
    </xdr:from>
    <xdr:to>
      <xdr:col>23</xdr:col>
      <xdr:colOff>135632</xdr:colOff>
      <xdr:row>35</xdr:row>
      <xdr:rowOff>26823</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38253</xdr:colOff>
      <xdr:row>38</xdr:row>
      <xdr:rowOff>22952</xdr:rowOff>
    </xdr:from>
    <xdr:to>
      <xdr:col>10</xdr:col>
      <xdr:colOff>367229</xdr:colOff>
      <xdr:row>54</xdr:row>
      <xdr:rowOff>34472</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214216</xdr:colOff>
      <xdr:row>38</xdr:row>
      <xdr:rowOff>15302</xdr:rowOff>
    </xdr:from>
    <xdr:to>
      <xdr:col>23</xdr:col>
      <xdr:colOff>132131</xdr:colOff>
      <xdr:row>54</xdr:row>
      <xdr:rowOff>26822</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68856</xdr:colOff>
      <xdr:row>57</xdr:row>
      <xdr:rowOff>38253</xdr:rowOff>
    </xdr:from>
    <xdr:to>
      <xdr:col>5</xdr:col>
      <xdr:colOff>997656</xdr:colOff>
      <xdr:row>73</xdr:row>
      <xdr:rowOff>50133</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57</xdr:row>
      <xdr:rowOff>45904</xdr:rowOff>
    </xdr:from>
    <xdr:to>
      <xdr:col>24</xdr:col>
      <xdr:colOff>54697</xdr:colOff>
      <xdr:row>73</xdr:row>
      <xdr:rowOff>57784</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99458</xdr:colOff>
      <xdr:row>76</xdr:row>
      <xdr:rowOff>30603</xdr:rowOff>
    </xdr:from>
    <xdr:to>
      <xdr:col>8</xdr:col>
      <xdr:colOff>67137</xdr:colOff>
      <xdr:row>92</xdr:row>
      <xdr:rowOff>42123</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275423</xdr:colOff>
      <xdr:row>57</xdr:row>
      <xdr:rowOff>61206</xdr:rowOff>
    </xdr:from>
    <xdr:to>
      <xdr:col>14</xdr:col>
      <xdr:colOff>952179</xdr:colOff>
      <xdr:row>73</xdr:row>
      <xdr:rowOff>72726</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780361</xdr:colOff>
      <xdr:row>76</xdr:row>
      <xdr:rowOff>30602</xdr:rowOff>
    </xdr:from>
    <xdr:to>
      <xdr:col>23</xdr:col>
      <xdr:colOff>524822</xdr:colOff>
      <xdr:row>92</xdr:row>
      <xdr:rowOff>42482</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U2001" totalsRowShown="0">
  <autoFilter ref="A1:U2001" xr:uid="{00000000-0009-0000-0100-000001000000}"/>
  <tableColumns count="21">
    <tableColumn id="1" xr3:uid="{00000000-0010-0000-0000-000001000000}" name="Invoice ID"/>
    <tableColumn id="2" xr3:uid="{00000000-0010-0000-0000-000002000000}" name="Date"/>
    <tableColumn id="3" xr3:uid="{00000000-0010-0000-0000-000003000000}" name="Product"/>
    <tableColumn id="4" xr3:uid="{00000000-0010-0000-0000-000004000000}" name="Category"/>
    <tableColumn id="5" xr3:uid="{00000000-0010-0000-0000-000005000000}" name="Qty"/>
    <tableColumn id="6" xr3:uid="{00000000-0010-0000-0000-000006000000}" name="Unit Price (₹)"/>
    <tableColumn id="7" xr3:uid="{00000000-0010-0000-0000-000007000000}" name="Discount (%)"/>
    <tableColumn id="8" xr3:uid="{00000000-0010-0000-0000-000008000000}" name="Sales (₹)"/>
    <tableColumn id="9" xr3:uid="{00000000-0010-0000-0000-000009000000}" name="Return Qty"/>
    <tableColumn id="10" xr3:uid="{00000000-0010-0000-0000-00000A000000}" name="Sales Return (₹)"/>
    <tableColumn id="11" xr3:uid="{00000000-0010-0000-0000-00000B000000}" name="Net Qty"/>
    <tableColumn id="12" xr3:uid="{00000000-0010-0000-0000-00000C000000}" name="Net Sales (₹)"/>
    <tableColumn id="13" xr3:uid="{00000000-0010-0000-0000-00000D000000}" name="COGS (₹)"/>
    <tableColumn id="14" xr3:uid="{00000000-0010-0000-0000-00000E000000}" name="Gross Profit (₹)"/>
    <tableColumn id="15" xr3:uid="{00000000-0010-0000-0000-00000F000000}" name="Gross Profit Margin"/>
    <tableColumn id="16" xr3:uid="{00000000-0010-0000-0000-000010000000}" name="Operating Expense (₹)"/>
    <tableColumn id="17" xr3:uid="{00000000-0010-0000-0000-000011000000}" name="Net Profit (₹)"/>
    <tableColumn id="18" xr3:uid="{00000000-0010-0000-0000-000012000000}" name="Net Profit Margin"/>
    <tableColumn id="19" xr3:uid="{00000000-0010-0000-0000-000013000000}" name="Customer Type"/>
    <tableColumn id="20" xr3:uid="{00000000-0010-0000-0000-000014000000}" name="Payment Method"/>
    <tableColumn id="21" xr3:uid="{00000000-0010-0000-0000-000015000000}" name="Ci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pane ySplit="1" topLeftCell="A2" activePane="bottomLeft" state="frozen"/>
      <selection pane="bottomLeft" activeCell="A18" sqref="A18"/>
    </sheetView>
  </sheetViews>
  <sheetFormatPr defaultColWidth="8.6328125" defaultRowHeight="14.5" x14ac:dyDescent="0.35"/>
  <cols>
    <col min="1" max="1" width="36" customWidth="1"/>
    <col min="2" max="2" width="110" customWidth="1"/>
  </cols>
  <sheetData>
    <row r="1" spans="1:2" ht="27.75" customHeight="1" x14ac:dyDescent="0.35">
      <c r="A1" s="1" t="s">
        <v>0</v>
      </c>
      <c r="B1" s="1" t="s">
        <v>1</v>
      </c>
    </row>
    <row r="2" spans="1:2" ht="45" customHeight="1" x14ac:dyDescent="0.35">
      <c r="A2" s="2" t="s">
        <v>2</v>
      </c>
      <c r="B2" s="3" t="s">
        <v>3</v>
      </c>
    </row>
    <row r="3" spans="1:2" ht="45" customHeight="1" x14ac:dyDescent="0.35">
      <c r="A3" s="2" t="s">
        <v>4</v>
      </c>
      <c r="B3" s="3" t="s">
        <v>5</v>
      </c>
    </row>
    <row r="4" spans="1:2" ht="45" customHeight="1" x14ac:dyDescent="0.35">
      <c r="A4" s="2" t="s">
        <v>6</v>
      </c>
      <c r="B4" s="3" t="s">
        <v>7</v>
      </c>
    </row>
    <row r="5" spans="1:2" ht="45" customHeight="1" x14ac:dyDescent="0.35">
      <c r="A5" s="2" t="s">
        <v>8</v>
      </c>
      <c r="B5" s="3" t="s">
        <v>9</v>
      </c>
    </row>
    <row r="6" spans="1:2" ht="45" customHeight="1" x14ac:dyDescent="0.35">
      <c r="A6" s="2" t="s">
        <v>10</v>
      </c>
      <c r="B6" s="3" t="s">
        <v>11</v>
      </c>
    </row>
    <row r="7" spans="1:2" ht="45" customHeight="1" x14ac:dyDescent="0.35">
      <c r="A7" s="2" t="s">
        <v>12</v>
      </c>
      <c r="B7" s="3" t="s">
        <v>13</v>
      </c>
    </row>
    <row r="8" spans="1:2" ht="45" customHeight="1" x14ac:dyDescent="0.35">
      <c r="A8" s="2" t="s">
        <v>14</v>
      </c>
      <c r="B8" s="3" t="s">
        <v>15</v>
      </c>
    </row>
    <row r="9" spans="1:2" ht="45" customHeight="1" x14ac:dyDescent="0.35">
      <c r="A9" s="2" t="s">
        <v>16</v>
      </c>
      <c r="B9" s="3" t="s">
        <v>17</v>
      </c>
    </row>
    <row r="10" spans="1:2" ht="45" customHeight="1" x14ac:dyDescent="0.35">
      <c r="A10" s="2" t="s">
        <v>18</v>
      </c>
      <c r="B10" s="3" t="s">
        <v>19</v>
      </c>
    </row>
    <row r="11" spans="1:2" ht="45" customHeight="1" x14ac:dyDescent="0.35">
      <c r="A11" s="2" t="s">
        <v>20</v>
      </c>
      <c r="B11" s="3" t="s">
        <v>21</v>
      </c>
    </row>
    <row r="12" spans="1:2" ht="45" customHeight="1" x14ac:dyDescent="0.35">
      <c r="A12" s="2" t="s">
        <v>22</v>
      </c>
      <c r="B12" s="3" t="s">
        <v>23</v>
      </c>
    </row>
    <row r="13" spans="1:2" ht="45" customHeight="1" x14ac:dyDescent="0.35">
      <c r="A13" s="2" t="s">
        <v>24</v>
      </c>
      <c r="B13" s="3" t="s">
        <v>25</v>
      </c>
    </row>
    <row r="14" spans="1:2" ht="45" customHeight="1" x14ac:dyDescent="0.35">
      <c r="A14" s="2" t="s">
        <v>26</v>
      </c>
      <c r="B14" s="3" t="s">
        <v>27</v>
      </c>
    </row>
    <row r="15" spans="1:2" ht="45" customHeight="1" x14ac:dyDescent="0.35">
      <c r="A15" s="2" t="s">
        <v>28</v>
      </c>
      <c r="B15" s="3" t="s">
        <v>29</v>
      </c>
    </row>
    <row r="16" spans="1:2" ht="45" customHeight="1" x14ac:dyDescent="0.35">
      <c r="A16" s="2" t="s">
        <v>30</v>
      </c>
      <c r="B16" s="3" t="s">
        <v>31</v>
      </c>
    </row>
    <row r="17" spans="1:2" ht="45" customHeight="1" x14ac:dyDescent="0.35">
      <c r="A17" s="2" t="s">
        <v>32</v>
      </c>
      <c r="B17" s="3" t="s">
        <v>33</v>
      </c>
    </row>
    <row r="18" spans="1:2" ht="45" customHeight="1" x14ac:dyDescent="0.35">
      <c r="A18" s="2" t="s">
        <v>34</v>
      </c>
      <c r="B18" s="3"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003"/>
  <sheetViews>
    <sheetView topLeftCell="H1" zoomScaleNormal="100" workbookViewId="0">
      <pane ySplit="1" topLeftCell="A1967" activePane="bottomLeft" state="frozen"/>
      <selection pane="bottomLeft" activeCell="K1976" sqref="K1976"/>
    </sheetView>
  </sheetViews>
  <sheetFormatPr defaultColWidth="8.6328125" defaultRowHeight="14.5" x14ac:dyDescent="0.35"/>
  <cols>
    <col min="1" max="1" width="10.08984375" customWidth="1"/>
    <col min="2" max="2" width="21" customWidth="1"/>
    <col min="3" max="3" width="6.36328125" customWidth="1"/>
    <col min="4" max="4" width="8.90625" customWidth="1"/>
    <col min="5" max="5" width="4.453125" customWidth="1"/>
    <col min="6" max="6" width="16" customWidth="1"/>
    <col min="7" max="7" width="14" customWidth="1"/>
    <col min="8" max="8" width="2.453125" customWidth="1"/>
    <col min="9" max="9" width="24.26953125" customWidth="1"/>
    <col min="10" max="10" width="18" customWidth="1"/>
    <col min="11" max="11" width="12" customWidth="1"/>
    <col min="12" max="12" width="6.81640625" customWidth="1"/>
    <col min="13" max="13" width="12" customWidth="1"/>
    <col min="14" max="14" width="18" customWidth="1"/>
    <col min="15" max="15" width="23" customWidth="1"/>
    <col min="16" max="16" width="16" customWidth="1"/>
    <col min="17" max="17" width="14.90625" customWidth="1"/>
    <col min="18" max="18" width="16" customWidth="1"/>
    <col min="19" max="19" width="12" customWidth="1"/>
  </cols>
  <sheetData>
    <row r="1" spans="1:19" x14ac:dyDescent="0.35">
      <c r="A1" s="4" t="s">
        <v>36</v>
      </c>
      <c r="B1" s="4" t="s">
        <v>37</v>
      </c>
      <c r="C1" s="4" t="s">
        <v>38</v>
      </c>
      <c r="D1" s="4" t="s">
        <v>39</v>
      </c>
      <c r="E1" s="4" t="s">
        <v>40</v>
      </c>
      <c r="F1" s="4" t="s">
        <v>41</v>
      </c>
      <c r="G1" s="4" t="s">
        <v>42</v>
      </c>
      <c r="H1" s="4" t="s">
        <v>43</v>
      </c>
      <c r="I1" s="4" t="s">
        <v>44</v>
      </c>
      <c r="J1" s="4" t="s">
        <v>45</v>
      </c>
      <c r="K1" s="4" t="s">
        <v>46</v>
      </c>
      <c r="L1" s="4" t="s">
        <v>47</v>
      </c>
      <c r="M1" s="4" t="s">
        <v>48</v>
      </c>
      <c r="N1" s="4" t="s">
        <v>49</v>
      </c>
      <c r="O1" s="4" t="s">
        <v>50</v>
      </c>
      <c r="P1" s="4" t="s">
        <v>51</v>
      </c>
      <c r="Q1" s="4" t="s">
        <v>52</v>
      </c>
      <c r="R1" s="4" t="s">
        <v>53</v>
      </c>
      <c r="S1" s="4" t="s">
        <v>54</v>
      </c>
    </row>
    <row r="2" spans="1:19" x14ac:dyDescent="0.35">
      <c r="A2" t="s">
        <v>55</v>
      </c>
      <c r="B2" s="5">
        <v>45872</v>
      </c>
      <c r="C2" t="s">
        <v>56</v>
      </c>
      <c r="D2" t="s">
        <v>57</v>
      </c>
      <c r="E2" t="s">
        <v>58</v>
      </c>
      <c r="F2" s="6">
        <v>40</v>
      </c>
      <c r="G2" s="7">
        <v>0</v>
      </c>
      <c r="H2" s="6">
        <v>200</v>
      </c>
      <c r="I2">
        <v>0</v>
      </c>
      <c r="J2" s="6">
        <v>0</v>
      </c>
      <c r="K2">
        <v>5</v>
      </c>
      <c r="L2" s="6">
        <v>200</v>
      </c>
      <c r="M2" s="6">
        <v>161.43</v>
      </c>
      <c r="N2" s="6">
        <v>38.57</v>
      </c>
      <c r="O2" s="6">
        <v>17.13</v>
      </c>
      <c r="P2" s="6">
        <v>21.44</v>
      </c>
      <c r="Q2" t="s">
        <v>59</v>
      </c>
      <c r="R2" t="s">
        <v>60</v>
      </c>
      <c r="S2" t="s">
        <v>61</v>
      </c>
    </row>
    <row r="3" spans="1:19" x14ac:dyDescent="0.35">
      <c r="A3" t="s">
        <v>62</v>
      </c>
      <c r="B3" s="5">
        <v>45849</v>
      </c>
      <c r="C3" t="s">
        <v>63</v>
      </c>
      <c r="D3" t="s">
        <v>64</v>
      </c>
      <c r="E3">
        <v>1</v>
      </c>
      <c r="F3" s="6">
        <v>145</v>
      </c>
      <c r="G3" s="7">
        <v>2</v>
      </c>
      <c r="H3" s="6">
        <v>142.1</v>
      </c>
      <c r="I3">
        <v>0</v>
      </c>
      <c r="J3" s="6">
        <v>0</v>
      </c>
      <c r="K3">
        <v>1</v>
      </c>
      <c r="L3" s="6">
        <v>142.1</v>
      </c>
      <c r="M3" s="6">
        <v>90.03</v>
      </c>
      <c r="N3" s="6">
        <v>52.07</v>
      </c>
      <c r="O3" s="6">
        <v>17.77</v>
      </c>
      <c r="P3" s="6">
        <v>34.299999999999997</v>
      </c>
      <c r="Q3" t="s">
        <v>65</v>
      </c>
      <c r="R3" t="s">
        <v>66</v>
      </c>
      <c r="S3" t="s">
        <v>67</v>
      </c>
    </row>
    <row r="4" spans="1:19" x14ac:dyDescent="0.35">
      <c r="A4" t="s">
        <v>68</v>
      </c>
      <c r="B4" s="5">
        <v>45845</v>
      </c>
      <c r="C4" t="s">
        <v>69</v>
      </c>
      <c r="D4" t="s">
        <v>70</v>
      </c>
      <c r="E4">
        <v>3</v>
      </c>
      <c r="F4" s="6">
        <v>210</v>
      </c>
      <c r="G4" s="7">
        <v>0</v>
      </c>
      <c r="H4" s="6">
        <v>630</v>
      </c>
      <c r="I4">
        <v>0</v>
      </c>
      <c r="J4" s="6">
        <v>0</v>
      </c>
      <c r="K4">
        <v>3</v>
      </c>
      <c r="L4" s="6">
        <v>630</v>
      </c>
      <c r="M4" s="6">
        <v>394.09</v>
      </c>
      <c r="N4" s="6">
        <v>235.91</v>
      </c>
      <c r="O4" s="6">
        <v>51.65</v>
      </c>
      <c r="P4" s="6">
        <v>184.26</v>
      </c>
      <c r="Q4" t="s">
        <v>65</v>
      </c>
      <c r="R4" t="s">
        <v>60</v>
      </c>
      <c r="S4" t="s">
        <v>71</v>
      </c>
    </row>
    <row r="5" spans="1:19" ht="5.25" customHeight="1" x14ac:dyDescent="0.35">
      <c r="A5" t="s">
        <v>72</v>
      </c>
      <c r="B5" s="5">
        <v>45792</v>
      </c>
      <c r="C5" t="s">
        <v>73</v>
      </c>
      <c r="D5" t="s">
        <v>74</v>
      </c>
      <c r="E5">
        <v>3</v>
      </c>
      <c r="F5" s="6">
        <v>280</v>
      </c>
      <c r="G5" s="7">
        <v>0</v>
      </c>
      <c r="H5" s="6">
        <v>840</v>
      </c>
      <c r="I5">
        <v>0</v>
      </c>
      <c r="J5" s="6">
        <v>0</v>
      </c>
      <c r="K5">
        <v>3</v>
      </c>
      <c r="L5" s="6">
        <v>840</v>
      </c>
      <c r="M5" s="6">
        <v>719.02</v>
      </c>
      <c r="N5" s="6">
        <v>120.98</v>
      </c>
      <c r="O5" s="6">
        <v>99.79</v>
      </c>
      <c r="P5" s="6">
        <v>21.19</v>
      </c>
      <c r="Q5" t="s">
        <v>75</v>
      </c>
      <c r="R5" t="s">
        <v>66</v>
      </c>
      <c r="S5" t="s">
        <v>76</v>
      </c>
    </row>
    <row r="6" spans="1:19" hidden="1" x14ac:dyDescent="0.35">
      <c r="A6" t="s">
        <v>77</v>
      </c>
      <c r="B6" s="5">
        <v>45820</v>
      </c>
      <c r="C6" t="s">
        <v>78</v>
      </c>
      <c r="D6" t="s">
        <v>79</v>
      </c>
      <c r="E6">
        <v>8</v>
      </c>
      <c r="F6" s="6">
        <v>120</v>
      </c>
      <c r="G6" s="7">
        <v>15</v>
      </c>
      <c r="H6" s="6">
        <v>816</v>
      </c>
      <c r="I6">
        <v>0</v>
      </c>
      <c r="J6" s="6">
        <v>0</v>
      </c>
      <c r="K6">
        <v>8</v>
      </c>
      <c r="L6" s="6">
        <v>816</v>
      </c>
      <c r="M6" s="6">
        <v>664.24</v>
      </c>
      <c r="N6" s="6">
        <v>151.76</v>
      </c>
      <c r="O6" s="6">
        <v>47.18</v>
      </c>
      <c r="P6" s="6">
        <v>104.58</v>
      </c>
      <c r="Q6" t="s">
        <v>65</v>
      </c>
      <c r="R6" t="s">
        <v>60</v>
      </c>
      <c r="S6" t="s">
        <v>61</v>
      </c>
    </row>
    <row r="7" spans="1:19" hidden="1" x14ac:dyDescent="0.35">
      <c r="A7" t="s">
        <v>80</v>
      </c>
      <c r="B7" s="5">
        <v>45659</v>
      </c>
      <c r="C7" t="s">
        <v>56</v>
      </c>
      <c r="D7" t="s">
        <v>57</v>
      </c>
      <c r="E7">
        <v>3</v>
      </c>
      <c r="F7" s="6">
        <v>40</v>
      </c>
      <c r="G7" s="7">
        <v>5</v>
      </c>
      <c r="H7" s="6">
        <v>114</v>
      </c>
      <c r="I7">
        <v>0</v>
      </c>
      <c r="J7" s="6">
        <v>0</v>
      </c>
      <c r="K7">
        <v>3</v>
      </c>
      <c r="L7" s="6">
        <v>114</v>
      </c>
      <c r="M7" s="6">
        <v>75.42</v>
      </c>
      <c r="N7" s="6">
        <v>38.58</v>
      </c>
      <c r="O7" s="6">
        <v>7.36</v>
      </c>
      <c r="P7" s="6">
        <v>31.22</v>
      </c>
      <c r="Q7" t="s">
        <v>81</v>
      </c>
      <c r="R7" t="s">
        <v>82</v>
      </c>
      <c r="S7" t="s">
        <v>71</v>
      </c>
    </row>
    <row r="8" spans="1:19" x14ac:dyDescent="0.35">
      <c r="A8" t="s">
        <v>83</v>
      </c>
      <c r="B8" s="5">
        <v>45927</v>
      </c>
      <c r="C8" t="s">
        <v>84</v>
      </c>
      <c r="D8" t="s">
        <v>85</v>
      </c>
      <c r="E8">
        <v>3</v>
      </c>
      <c r="F8" s="6">
        <v>48</v>
      </c>
      <c r="G8" s="7">
        <v>0</v>
      </c>
      <c r="H8" s="6">
        <v>144</v>
      </c>
      <c r="I8">
        <v>0</v>
      </c>
      <c r="J8" s="6">
        <v>0</v>
      </c>
      <c r="K8">
        <v>3</v>
      </c>
      <c r="L8" s="6">
        <v>144</v>
      </c>
      <c r="M8" s="6">
        <v>118.39</v>
      </c>
      <c r="N8" s="6">
        <v>25.61</v>
      </c>
      <c r="O8" s="6">
        <v>11.75</v>
      </c>
      <c r="P8" s="6">
        <v>13.86</v>
      </c>
      <c r="Q8" t="s">
        <v>59</v>
      </c>
      <c r="R8" t="s">
        <v>86</v>
      </c>
      <c r="S8" t="s">
        <v>76</v>
      </c>
    </row>
    <row r="9" spans="1:19" x14ac:dyDescent="0.35">
      <c r="A9" t="s">
        <v>87</v>
      </c>
      <c r="B9" s="5">
        <v>45710</v>
      </c>
      <c r="C9" t="s">
        <v>88</v>
      </c>
      <c r="D9" t="s">
        <v>57</v>
      </c>
      <c r="E9">
        <v>3</v>
      </c>
      <c r="F9" s="6">
        <v>30</v>
      </c>
      <c r="G9" s="7">
        <v>0</v>
      </c>
      <c r="H9" s="6">
        <v>90</v>
      </c>
      <c r="I9">
        <v>0</v>
      </c>
      <c r="J9" s="6">
        <v>0</v>
      </c>
      <c r="K9">
        <v>3</v>
      </c>
      <c r="L9" s="6">
        <v>90</v>
      </c>
      <c r="M9" s="6">
        <v>76.56</v>
      </c>
      <c r="N9" s="6">
        <v>13.44</v>
      </c>
      <c r="O9" s="6">
        <v>9.8800000000000008</v>
      </c>
      <c r="P9" s="6">
        <v>3.56</v>
      </c>
      <c r="Q9" t="s">
        <v>65</v>
      </c>
      <c r="R9" t="s">
        <v>82</v>
      </c>
      <c r="S9" t="s">
        <v>67</v>
      </c>
    </row>
    <row r="10" spans="1:19" ht="7.5" customHeight="1" x14ac:dyDescent="0.35">
      <c r="A10" t="s">
        <v>89</v>
      </c>
      <c r="B10" s="5">
        <v>45793</v>
      </c>
      <c r="C10" t="s">
        <v>90</v>
      </c>
      <c r="D10" t="s">
        <v>70</v>
      </c>
      <c r="E10">
        <v>1</v>
      </c>
      <c r="F10" s="6">
        <v>38</v>
      </c>
      <c r="G10" s="7">
        <v>5</v>
      </c>
      <c r="H10" s="6">
        <v>36.1</v>
      </c>
      <c r="I10">
        <v>0</v>
      </c>
      <c r="J10" s="6">
        <v>0</v>
      </c>
      <c r="K10">
        <v>1</v>
      </c>
      <c r="L10" s="6">
        <v>36.1</v>
      </c>
      <c r="M10" s="6">
        <v>23.03</v>
      </c>
      <c r="N10" s="6">
        <v>13.07</v>
      </c>
      <c r="O10" s="6">
        <v>4.04</v>
      </c>
      <c r="P10" s="6">
        <v>9.0299999999999994</v>
      </c>
      <c r="Q10" t="s">
        <v>65</v>
      </c>
      <c r="R10" t="s">
        <v>60</v>
      </c>
      <c r="S10" t="s">
        <v>76</v>
      </c>
    </row>
    <row r="11" spans="1:19" hidden="1" x14ac:dyDescent="0.35">
      <c r="A11" t="s">
        <v>91</v>
      </c>
      <c r="B11" s="5">
        <v>45698</v>
      </c>
      <c r="C11" t="s">
        <v>92</v>
      </c>
      <c r="D11" t="s">
        <v>79</v>
      </c>
      <c r="E11">
        <v>4</v>
      </c>
      <c r="F11" s="6">
        <v>85</v>
      </c>
      <c r="G11" s="7">
        <v>5</v>
      </c>
      <c r="H11" s="6">
        <v>323</v>
      </c>
      <c r="I11">
        <v>0</v>
      </c>
      <c r="J11" s="6">
        <v>0</v>
      </c>
      <c r="K11">
        <v>4</v>
      </c>
      <c r="L11" s="6">
        <v>323</v>
      </c>
      <c r="M11" s="6">
        <v>260.05</v>
      </c>
      <c r="N11" s="6">
        <v>62.95</v>
      </c>
      <c r="O11" s="6">
        <v>25.41</v>
      </c>
      <c r="P11" s="6">
        <v>37.54</v>
      </c>
      <c r="Q11" t="s">
        <v>65</v>
      </c>
      <c r="R11" t="s">
        <v>60</v>
      </c>
      <c r="S11" t="s">
        <v>67</v>
      </c>
    </row>
    <row r="12" spans="1:19" hidden="1" x14ac:dyDescent="0.35">
      <c r="A12" t="s">
        <v>93</v>
      </c>
      <c r="B12" s="5">
        <v>45829</v>
      </c>
      <c r="C12" t="s">
        <v>88</v>
      </c>
      <c r="D12" t="s">
        <v>57</v>
      </c>
      <c r="E12">
        <v>3</v>
      </c>
      <c r="F12" s="6">
        <v>30</v>
      </c>
      <c r="G12" s="7">
        <v>0</v>
      </c>
      <c r="H12" s="6">
        <v>90</v>
      </c>
      <c r="I12">
        <v>0</v>
      </c>
      <c r="J12" s="6">
        <v>0</v>
      </c>
      <c r="K12">
        <v>3</v>
      </c>
      <c r="L12" s="6">
        <v>90</v>
      </c>
      <c r="M12" s="6">
        <v>63.81</v>
      </c>
      <c r="N12" s="6">
        <v>26.19</v>
      </c>
      <c r="O12" s="6">
        <v>9.2899999999999991</v>
      </c>
      <c r="P12" s="6">
        <v>16.899999999999999</v>
      </c>
      <c r="Q12" t="s">
        <v>65</v>
      </c>
      <c r="R12" t="s">
        <v>82</v>
      </c>
      <c r="S12" t="s">
        <v>76</v>
      </c>
    </row>
    <row r="13" spans="1:19" ht="3" customHeight="1" x14ac:dyDescent="0.35">
      <c r="A13" t="s">
        <v>94</v>
      </c>
      <c r="B13" s="5">
        <v>45912</v>
      </c>
      <c r="C13" t="s">
        <v>95</v>
      </c>
      <c r="D13" t="s">
        <v>64</v>
      </c>
      <c r="E13">
        <v>3</v>
      </c>
      <c r="F13" s="6">
        <v>52</v>
      </c>
      <c r="G13" s="7">
        <v>0</v>
      </c>
      <c r="H13" s="6">
        <v>156</v>
      </c>
      <c r="I13">
        <v>0</v>
      </c>
      <c r="J13" s="6">
        <v>0</v>
      </c>
      <c r="K13">
        <v>3</v>
      </c>
      <c r="L13" s="6">
        <v>156</v>
      </c>
      <c r="M13" s="6">
        <v>123.42</v>
      </c>
      <c r="N13" s="6">
        <v>32.58</v>
      </c>
      <c r="O13" s="6">
        <v>14.8</v>
      </c>
      <c r="P13" s="6">
        <v>17.78</v>
      </c>
      <c r="Q13" t="s">
        <v>81</v>
      </c>
      <c r="R13" t="s">
        <v>60</v>
      </c>
      <c r="S13" t="s">
        <v>76</v>
      </c>
    </row>
    <row r="14" spans="1:19" hidden="1" x14ac:dyDescent="0.35">
      <c r="A14" t="s">
        <v>96</v>
      </c>
      <c r="B14" s="5">
        <v>45898</v>
      </c>
      <c r="C14" t="s">
        <v>97</v>
      </c>
      <c r="D14" t="s">
        <v>57</v>
      </c>
      <c r="E14">
        <v>4</v>
      </c>
      <c r="F14" s="6">
        <v>55</v>
      </c>
      <c r="G14" s="7">
        <v>0</v>
      </c>
      <c r="H14" s="6">
        <v>220</v>
      </c>
      <c r="I14">
        <v>0</v>
      </c>
      <c r="J14" s="6">
        <v>0</v>
      </c>
      <c r="K14">
        <v>4</v>
      </c>
      <c r="L14" s="6">
        <v>220</v>
      </c>
      <c r="M14" s="6">
        <v>159.6</v>
      </c>
      <c r="N14" s="6">
        <v>60.4</v>
      </c>
      <c r="O14" s="6">
        <v>26.77</v>
      </c>
      <c r="P14" s="6">
        <v>33.630000000000003</v>
      </c>
      <c r="Q14" t="s">
        <v>65</v>
      </c>
      <c r="R14" t="s">
        <v>66</v>
      </c>
      <c r="S14" t="s">
        <v>61</v>
      </c>
    </row>
    <row r="15" spans="1:19" hidden="1" x14ac:dyDescent="0.35">
      <c r="A15" t="s">
        <v>98</v>
      </c>
      <c r="B15" s="5">
        <v>45817</v>
      </c>
      <c r="C15" t="s">
        <v>63</v>
      </c>
      <c r="D15" t="s">
        <v>64</v>
      </c>
      <c r="E15">
        <v>6</v>
      </c>
      <c r="F15" s="6">
        <v>145</v>
      </c>
      <c r="G15" s="7">
        <v>0</v>
      </c>
      <c r="H15" s="6">
        <v>870</v>
      </c>
      <c r="I15">
        <v>0</v>
      </c>
      <c r="J15" s="6">
        <v>0</v>
      </c>
      <c r="K15">
        <v>6</v>
      </c>
      <c r="L15" s="6">
        <v>870</v>
      </c>
      <c r="M15" s="6">
        <v>625.09</v>
      </c>
      <c r="N15" s="6">
        <v>244.91</v>
      </c>
      <c r="O15" s="6">
        <v>59.42</v>
      </c>
      <c r="P15" s="6">
        <v>185.49</v>
      </c>
      <c r="Q15" t="s">
        <v>59</v>
      </c>
      <c r="R15" t="s">
        <v>60</v>
      </c>
      <c r="S15" t="s">
        <v>76</v>
      </c>
    </row>
    <row r="16" spans="1:19" hidden="1" x14ac:dyDescent="0.35">
      <c r="A16" t="s">
        <v>99</v>
      </c>
      <c r="B16" s="5">
        <v>45997</v>
      </c>
      <c r="C16" t="s">
        <v>100</v>
      </c>
      <c r="D16" t="s">
        <v>64</v>
      </c>
      <c r="E16">
        <v>4</v>
      </c>
      <c r="F16" s="6">
        <v>310</v>
      </c>
      <c r="G16" s="7">
        <v>0</v>
      </c>
      <c r="H16" s="6">
        <v>1240</v>
      </c>
      <c r="I16">
        <v>0</v>
      </c>
      <c r="J16" s="6">
        <v>0</v>
      </c>
      <c r="K16">
        <v>4</v>
      </c>
      <c r="L16" s="6">
        <v>1240</v>
      </c>
      <c r="M16" s="6">
        <v>800.2</v>
      </c>
      <c r="N16" s="6">
        <v>439.8</v>
      </c>
      <c r="O16" s="6">
        <v>83.67</v>
      </c>
      <c r="P16" s="6">
        <v>356.13</v>
      </c>
      <c r="Q16" t="s">
        <v>81</v>
      </c>
      <c r="R16" t="s">
        <v>82</v>
      </c>
      <c r="S16" t="s">
        <v>76</v>
      </c>
    </row>
    <row r="17" spans="1:19" hidden="1" x14ac:dyDescent="0.35">
      <c r="A17" t="s">
        <v>101</v>
      </c>
      <c r="B17" s="5">
        <v>46016</v>
      </c>
      <c r="C17" t="s">
        <v>56</v>
      </c>
      <c r="D17" t="s">
        <v>57</v>
      </c>
      <c r="E17">
        <v>6</v>
      </c>
      <c r="F17" s="6">
        <v>40</v>
      </c>
      <c r="G17" s="7">
        <v>0</v>
      </c>
      <c r="H17" s="6">
        <v>240</v>
      </c>
      <c r="I17">
        <v>1</v>
      </c>
      <c r="J17" s="6">
        <v>40</v>
      </c>
      <c r="K17">
        <v>5</v>
      </c>
      <c r="L17" s="6">
        <v>200</v>
      </c>
      <c r="M17" s="6">
        <v>155.09</v>
      </c>
      <c r="N17" s="6">
        <v>44.91</v>
      </c>
      <c r="O17" s="6">
        <v>23.77</v>
      </c>
      <c r="P17" s="6">
        <v>21.14</v>
      </c>
      <c r="Q17" t="s">
        <v>81</v>
      </c>
      <c r="R17" t="s">
        <v>86</v>
      </c>
      <c r="S17" t="s">
        <v>76</v>
      </c>
    </row>
    <row r="18" spans="1:19" x14ac:dyDescent="0.35">
      <c r="A18" t="s">
        <v>102</v>
      </c>
      <c r="B18" s="5">
        <v>45817</v>
      </c>
      <c r="C18" t="s">
        <v>97</v>
      </c>
      <c r="D18" t="s">
        <v>57</v>
      </c>
      <c r="E18">
        <v>3</v>
      </c>
      <c r="F18" s="6">
        <v>55</v>
      </c>
      <c r="G18" s="7">
        <v>2</v>
      </c>
      <c r="H18" s="6">
        <v>161.69999999999999</v>
      </c>
      <c r="I18">
        <v>0</v>
      </c>
      <c r="J18" s="6">
        <v>0</v>
      </c>
      <c r="K18">
        <v>3</v>
      </c>
      <c r="L18" s="6">
        <v>161.69999999999999</v>
      </c>
      <c r="M18" s="6">
        <v>110.71</v>
      </c>
      <c r="N18" s="6">
        <v>50.99</v>
      </c>
      <c r="O18" s="6">
        <v>10.26</v>
      </c>
      <c r="P18" s="6">
        <v>40.729999999999997</v>
      </c>
      <c r="Q18" t="s">
        <v>65</v>
      </c>
      <c r="R18" t="s">
        <v>86</v>
      </c>
      <c r="S18" t="s">
        <v>67</v>
      </c>
    </row>
    <row r="19" spans="1:19" x14ac:dyDescent="0.35">
      <c r="A19" t="s">
        <v>103</v>
      </c>
      <c r="B19" s="5">
        <v>45770</v>
      </c>
      <c r="C19" t="s">
        <v>104</v>
      </c>
      <c r="D19" t="s">
        <v>105</v>
      </c>
      <c r="E19">
        <v>2</v>
      </c>
      <c r="F19" s="6">
        <v>65</v>
      </c>
      <c r="G19" s="7">
        <v>15</v>
      </c>
      <c r="H19" s="6">
        <v>110.5</v>
      </c>
      <c r="I19">
        <v>0</v>
      </c>
      <c r="J19" s="6">
        <v>0</v>
      </c>
      <c r="K19">
        <v>2</v>
      </c>
      <c r="L19" s="6">
        <v>110.5</v>
      </c>
      <c r="M19" s="6">
        <v>94.03</v>
      </c>
      <c r="N19" s="6">
        <v>16.47</v>
      </c>
      <c r="O19" s="6">
        <v>9.92</v>
      </c>
      <c r="P19" s="6">
        <v>6.55</v>
      </c>
      <c r="Q19" t="s">
        <v>75</v>
      </c>
      <c r="R19" t="s">
        <v>66</v>
      </c>
      <c r="S19" t="s">
        <v>61</v>
      </c>
    </row>
    <row r="20" spans="1:19" x14ac:dyDescent="0.35">
      <c r="A20" t="s">
        <v>106</v>
      </c>
      <c r="B20" s="5">
        <v>45783</v>
      </c>
      <c r="C20" t="s">
        <v>107</v>
      </c>
      <c r="D20" t="s">
        <v>74</v>
      </c>
      <c r="E20">
        <v>2</v>
      </c>
      <c r="F20" s="6">
        <v>125</v>
      </c>
      <c r="G20" s="7">
        <v>15</v>
      </c>
      <c r="H20" s="6">
        <v>212.5</v>
      </c>
      <c r="I20">
        <v>0</v>
      </c>
      <c r="J20" s="6">
        <v>0</v>
      </c>
      <c r="K20">
        <v>2</v>
      </c>
      <c r="L20" s="6">
        <v>212.5</v>
      </c>
      <c r="M20" s="6">
        <v>152.71</v>
      </c>
      <c r="N20" s="6">
        <v>59.79</v>
      </c>
      <c r="O20" s="6">
        <v>16.489999999999998</v>
      </c>
      <c r="P20" s="6">
        <v>43.3</v>
      </c>
      <c r="Q20" t="s">
        <v>81</v>
      </c>
      <c r="R20" t="s">
        <v>66</v>
      </c>
      <c r="S20" t="s">
        <v>61</v>
      </c>
    </row>
    <row r="21" spans="1:19" x14ac:dyDescent="0.35">
      <c r="A21" t="s">
        <v>108</v>
      </c>
      <c r="B21" s="5">
        <v>45937</v>
      </c>
      <c r="C21" t="s">
        <v>109</v>
      </c>
      <c r="D21" t="s">
        <v>110</v>
      </c>
      <c r="E21">
        <v>2</v>
      </c>
      <c r="F21" s="6">
        <v>180</v>
      </c>
      <c r="G21" s="7">
        <v>2</v>
      </c>
      <c r="H21" s="6">
        <v>352.8</v>
      </c>
      <c r="I21">
        <v>0</v>
      </c>
      <c r="J21" s="6">
        <v>0</v>
      </c>
      <c r="K21">
        <v>2</v>
      </c>
      <c r="L21" s="6">
        <v>352.8</v>
      </c>
      <c r="M21" s="6">
        <v>283.22000000000003</v>
      </c>
      <c r="N21" s="6">
        <v>69.58</v>
      </c>
      <c r="O21" s="6">
        <v>38.19</v>
      </c>
      <c r="P21" s="6">
        <v>31.39</v>
      </c>
      <c r="Q21" t="s">
        <v>75</v>
      </c>
      <c r="R21" t="s">
        <v>86</v>
      </c>
      <c r="S21" t="s">
        <v>71</v>
      </c>
    </row>
    <row r="22" spans="1:19" x14ac:dyDescent="0.35">
      <c r="A22" t="s">
        <v>111</v>
      </c>
      <c r="B22" s="5">
        <v>46006</v>
      </c>
      <c r="C22" t="s">
        <v>109</v>
      </c>
      <c r="D22" t="s">
        <v>85</v>
      </c>
      <c r="E22">
        <v>2</v>
      </c>
      <c r="F22" s="6">
        <v>180</v>
      </c>
      <c r="G22" s="7">
        <v>5</v>
      </c>
      <c r="H22" s="6">
        <v>342</v>
      </c>
      <c r="I22">
        <v>0</v>
      </c>
      <c r="J22" s="6">
        <v>0</v>
      </c>
      <c r="K22">
        <v>2</v>
      </c>
      <c r="L22" s="6">
        <v>342</v>
      </c>
      <c r="M22" s="6">
        <v>277.57</v>
      </c>
      <c r="N22" s="6">
        <v>64.430000000000007</v>
      </c>
      <c r="O22" s="6">
        <v>31</v>
      </c>
      <c r="P22" s="6">
        <v>33.43</v>
      </c>
      <c r="Q22" t="s">
        <v>59</v>
      </c>
      <c r="R22" t="s">
        <v>86</v>
      </c>
      <c r="S22" t="s">
        <v>61</v>
      </c>
    </row>
    <row r="23" spans="1:19" x14ac:dyDescent="0.35">
      <c r="A23" t="s">
        <v>112</v>
      </c>
      <c r="B23" s="5">
        <v>45785</v>
      </c>
      <c r="C23" t="s">
        <v>63</v>
      </c>
      <c r="D23" t="s">
        <v>64</v>
      </c>
      <c r="E23">
        <v>1</v>
      </c>
      <c r="F23" s="6">
        <v>145</v>
      </c>
      <c r="G23" s="7">
        <v>0</v>
      </c>
      <c r="H23" s="6">
        <v>145</v>
      </c>
      <c r="I23">
        <v>0</v>
      </c>
      <c r="J23" s="6">
        <v>0</v>
      </c>
      <c r="K23">
        <v>1</v>
      </c>
      <c r="L23" s="6">
        <v>145</v>
      </c>
      <c r="M23" s="6">
        <v>97.78</v>
      </c>
      <c r="N23" s="6">
        <v>47.22</v>
      </c>
      <c r="O23" s="6">
        <v>9.27</v>
      </c>
      <c r="P23" s="6">
        <v>37.950000000000003</v>
      </c>
      <c r="Q23" t="s">
        <v>59</v>
      </c>
      <c r="R23" t="s">
        <v>82</v>
      </c>
      <c r="S23" t="s">
        <v>61</v>
      </c>
    </row>
    <row r="24" spans="1:19" x14ac:dyDescent="0.35">
      <c r="A24" t="s">
        <v>113</v>
      </c>
      <c r="B24" s="5">
        <v>45920</v>
      </c>
      <c r="C24" t="s">
        <v>114</v>
      </c>
      <c r="D24" t="s">
        <v>64</v>
      </c>
      <c r="E24" t="s">
        <v>115</v>
      </c>
      <c r="F24" s="6">
        <v>420</v>
      </c>
      <c r="G24" s="7">
        <v>5</v>
      </c>
      <c r="H24" s="6">
        <v>1596</v>
      </c>
      <c r="I24">
        <v>0</v>
      </c>
      <c r="J24" s="6">
        <v>0</v>
      </c>
      <c r="K24">
        <v>4</v>
      </c>
      <c r="L24" s="6">
        <v>1596</v>
      </c>
      <c r="M24" s="6">
        <v>1069.5999999999999</v>
      </c>
      <c r="N24" s="6">
        <v>526.4</v>
      </c>
      <c r="O24" s="6">
        <v>168.64</v>
      </c>
      <c r="P24" s="6">
        <v>357.76</v>
      </c>
      <c r="Q24" t="s">
        <v>65</v>
      </c>
      <c r="R24" t="s">
        <v>86</v>
      </c>
      <c r="S24" t="s">
        <v>71</v>
      </c>
    </row>
    <row r="25" spans="1:19" x14ac:dyDescent="0.35">
      <c r="A25" t="s">
        <v>116</v>
      </c>
      <c r="B25" s="5">
        <v>45694</v>
      </c>
      <c r="C25" t="s">
        <v>117</v>
      </c>
      <c r="D25" t="s">
        <v>74</v>
      </c>
      <c r="E25">
        <v>3</v>
      </c>
      <c r="F25" s="6">
        <v>95</v>
      </c>
      <c r="G25" s="7">
        <v>0</v>
      </c>
      <c r="H25" s="6">
        <v>285</v>
      </c>
      <c r="I25">
        <v>0</v>
      </c>
      <c r="J25" s="6">
        <v>0</v>
      </c>
      <c r="K25">
        <v>3</v>
      </c>
      <c r="L25" s="6">
        <v>285</v>
      </c>
      <c r="M25" s="6">
        <v>193.24</v>
      </c>
      <c r="N25" s="6">
        <v>91.76</v>
      </c>
      <c r="O25" s="6">
        <v>34.71</v>
      </c>
      <c r="P25" s="6">
        <v>57.05</v>
      </c>
      <c r="Q25" t="s">
        <v>65</v>
      </c>
      <c r="R25" t="s">
        <v>60</v>
      </c>
      <c r="S25" t="s">
        <v>76</v>
      </c>
    </row>
    <row r="26" spans="1:19" x14ac:dyDescent="0.35">
      <c r="A26" t="s">
        <v>118</v>
      </c>
      <c r="B26" s="5">
        <v>45818</v>
      </c>
      <c r="C26" t="s">
        <v>97</v>
      </c>
      <c r="D26" t="s">
        <v>57</v>
      </c>
      <c r="E26">
        <v>2</v>
      </c>
      <c r="F26" s="6">
        <v>55</v>
      </c>
      <c r="G26" s="7">
        <v>5</v>
      </c>
      <c r="H26" s="6">
        <v>104.5</v>
      </c>
      <c r="I26">
        <v>0</v>
      </c>
      <c r="J26" s="6">
        <v>0</v>
      </c>
      <c r="K26">
        <v>2</v>
      </c>
      <c r="L26" s="6">
        <v>104.5</v>
      </c>
      <c r="M26" s="6">
        <v>86.02</v>
      </c>
      <c r="N26" s="6">
        <v>18.48</v>
      </c>
      <c r="O26" s="6">
        <v>8.61</v>
      </c>
      <c r="P26" s="6">
        <v>9.8699999999999992</v>
      </c>
      <c r="Q26" t="s">
        <v>65</v>
      </c>
      <c r="R26" t="s">
        <v>86</v>
      </c>
      <c r="S26" t="s">
        <v>76</v>
      </c>
    </row>
    <row r="27" spans="1:19" x14ac:dyDescent="0.35">
      <c r="A27" t="s">
        <v>119</v>
      </c>
      <c r="B27" s="5">
        <v>45810</v>
      </c>
      <c r="C27" t="s">
        <v>107</v>
      </c>
      <c r="D27" t="s">
        <v>74</v>
      </c>
      <c r="E27">
        <v>1</v>
      </c>
      <c r="F27" s="6">
        <v>125</v>
      </c>
      <c r="G27" s="7">
        <v>10</v>
      </c>
      <c r="H27" s="6">
        <v>112.5</v>
      </c>
      <c r="I27">
        <v>1</v>
      </c>
      <c r="J27" s="6">
        <v>112.5</v>
      </c>
      <c r="K27">
        <v>0</v>
      </c>
      <c r="L27" s="6">
        <v>0</v>
      </c>
      <c r="M27" s="6">
        <v>0</v>
      </c>
      <c r="N27" s="6">
        <v>0</v>
      </c>
      <c r="O27" s="6">
        <v>0</v>
      </c>
      <c r="P27" s="6">
        <v>0</v>
      </c>
      <c r="Q27" t="s">
        <v>75</v>
      </c>
      <c r="R27" t="s">
        <v>82</v>
      </c>
      <c r="S27" t="s">
        <v>61</v>
      </c>
    </row>
    <row r="28" spans="1:19" x14ac:dyDescent="0.35">
      <c r="A28" t="s">
        <v>120</v>
      </c>
      <c r="B28" s="5">
        <v>45946</v>
      </c>
      <c r="C28" t="s">
        <v>121</v>
      </c>
      <c r="D28" t="s">
        <v>70</v>
      </c>
      <c r="E28">
        <v>3</v>
      </c>
      <c r="F28" s="6">
        <v>110</v>
      </c>
      <c r="G28" s="7">
        <v>2</v>
      </c>
      <c r="H28" s="6">
        <v>323.39999999999998</v>
      </c>
      <c r="I28">
        <v>0</v>
      </c>
      <c r="J28" s="6">
        <v>0</v>
      </c>
      <c r="K28">
        <v>3</v>
      </c>
      <c r="L28" s="6">
        <v>323.39999999999998</v>
      </c>
      <c r="M28" s="6">
        <v>251.11</v>
      </c>
      <c r="N28" s="6">
        <v>72.290000000000006</v>
      </c>
      <c r="O28" s="6">
        <v>34.6</v>
      </c>
      <c r="P28" s="6">
        <v>37.69</v>
      </c>
      <c r="Q28" t="s">
        <v>81</v>
      </c>
      <c r="R28" t="s">
        <v>66</v>
      </c>
      <c r="S28" t="s">
        <v>61</v>
      </c>
    </row>
    <row r="29" spans="1:19" x14ac:dyDescent="0.35">
      <c r="A29" t="s">
        <v>122</v>
      </c>
      <c r="B29" s="5">
        <v>45679</v>
      </c>
      <c r="C29" t="s">
        <v>104</v>
      </c>
      <c r="D29" t="s">
        <v>105</v>
      </c>
      <c r="E29">
        <v>2</v>
      </c>
      <c r="F29" s="6">
        <v>65</v>
      </c>
      <c r="G29" s="7">
        <v>5</v>
      </c>
      <c r="H29" s="6">
        <v>123.5</v>
      </c>
      <c r="I29">
        <v>0</v>
      </c>
      <c r="J29" s="6">
        <v>0</v>
      </c>
      <c r="K29">
        <v>2</v>
      </c>
      <c r="L29" s="6">
        <v>123.5</v>
      </c>
      <c r="M29" s="6">
        <v>97.94</v>
      </c>
      <c r="N29" s="6">
        <v>25.56</v>
      </c>
      <c r="O29" s="6">
        <v>11.54</v>
      </c>
      <c r="P29" s="6">
        <v>14.02</v>
      </c>
      <c r="Q29" t="s">
        <v>81</v>
      </c>
      <c r="R29" t="s">
        <v>82</v>
      </c>
      <c r="S29" t="s">
        <v>71</v>
      </c>
    </row>
    <row r="30" spans="1:19" x14ac:dyDescent="0.35">
      <c r="A30" t="s">
        <v>123</v>
      </c>
      <c r="B30" s="5">
        <v>45941</v>
      </c>
      <c r="C30" t="s">
        <v>109</v>
      </c>
      <c r="D30" t="s">
        <v>85</v>
      </c>
      <c r="E30">
        <v>2</v>
      </c>
      <c r="F30" s="6">
        <v>180</v>
      </c>
      <c r="G30" s="7">
        <v>10</v>
      </c>
      <c r="H30" s="6">
        <v>324</v>
      </c>
      <c r="I30">
        <v>0</v>
      </c>
      <c r="J30" s="6">
        <v>0</v>
      </c>
      <c r="K30">
        <v>2</v>
      </c>
      <c r="L30" s="6">
        <v>324</v>
      </c>
      <c r="M30" s="6">
        <v>249.96</v>
      </c>
      <c r="N30" s="6">
        <v>74.040000000000006</v>
      </c>
      <c r="O30" s="6">
        <v>29.23</v>
      </c>
      <c r="P30" s="6">
        <v>44.81</v>
      </c>
      <c r="Q30" t="s">
        <v>59</v>
      </c>
      <c r="R30" t="s">
        <v>86</v>
      </c>
      <c r="S30" t="s">
        <v>67</v>
      </c>
    </row>
    <row r="31" spans="1:19" x14ac:dyDescent="0.35">
      <c r="A31" t="s">
        <v>124</v>
      </c>
      <c r="B31" s="5">
        <v>45829</v>
      </c>
      <c r="C31" t="s">
        <v>125</v>
      </c>
      <c r="D31" t="s">
        <v>85</v>
      </c>
      <c r="E31">
        <v>2</v>
      </c>
      <c r="F31" s="6">
        <v>125</v>
      </c>
      <c r="G31" s="7">
        <v>0</v>
      </c>
      <c r="H31" s="6">
        <v>250</v>
      </c>
      <c r="I31">
        <v>0</v>
      </c>
      <c r="J31" s="6">
        <v>0</v>
      </c>
      <c r="K31">
        <v>2</v>
      </c>
      <c r="L31" s="6">
        <v>250</v>
      </c>
      <c r="M31" s="6">
        <v>189.32</v>
      </c>
      <c r="N31" s="6">
        <v>60.68</v>
      </c>
      <c r="O31" s="6">
        <v>13.37</v>
      </c>
      <c r="P31" s="6">
        <v>47.31</v>
      </c>
      <c r="Q31" t="s">
        <v>65</v>
      </c>
      <c r="R31" t="s">
        <v>82</v>
      </c>
      <c r="S31" t="s">
        <v>67</v>
      </c>
    </row>
    <row r="32" spans="1:19" x14ac:dyDescent="0.35">
      <c r="A32" t="s">
        <v>126</v>
      </c>
      <c r="B32" s="5">
        <v>45838</v>
      </c>
      <c r="C32" t="s">
        <v>121</v>
      </c>
      <c r="D32" t="s">
        <v>70</v>
      </c>
      <c r="E32">
        <v>6</v>
      </c>
      <c r="F32" s="6">
        <v>110</v>
      </c>
      <c r="G32" s="7">
        <v>0</v>
      </c>
      <c r="H32" s="6">
        <v>660</v>
      </c>
      <c r="I32">
        <v>0</v>
      </c>
      <c r="J32" s="6">
        <v>0</v>
      </c>
      <c r="K32">
        <v>6</v>
      </c>
      <c r="L32" s="6">
        <v>660</v>
      </c>
      <c r="M32" s="6">
        <v>411.65</v>
      </c>
      <c r="N32" s="6">
        <v>248.35</v>
      </c>
      <c r="O32" s="6">
        <v>55.61</v>
      </c>
      <c r="P32" s="6">
        <v>192.74</v>
      </c>
      <c r="Q32" t="s">
        <v>59</v>
      </c>
      <c r="R32" t="s">
        <v>60</v>
      </c>
      <c r="S32" t="s">
        <v>61</v>
      </c>
    </row>
    <row r="33" spans="1:19" x14ac:dyDescent="0.35">
      <c r="A33" t="s">
        <v>127</v>
      </c>
      <c r="B33" s="5">
        <v>45675</v>
      </c>
      <c r="C33" t="s">
        <v>114</v>
      </c>
      <c r="D33" t="s">
        <v>128</v>
      </c>
      <c r="E33">
        <v>1</v>
      </c>
      <c r="F33" s="6">
        <v>420</v>
      </c>
      <c r="G33" s="7">
        <v>0</v>
      </c>
      <c r="H33" s="6">
        <v>420</v>
      </c>
      <c r="I33">
        <v>0</v>
      </c>
      <c r="J33" s="6">
        <v>0</v>
      </c>
      <c r="K33">
        <v>1</v>
      </c>
      <c r="L33" s="6">
        <v>420</v>
      </c>
      <c r="M33" s="6">
        <v>279.64</v>
      </c>
      <c r="N33" s="6">
        <v>140.36000000000001</v>
      </c>
      <c r="O33" s="6">
        <v>37.31</v>
      </c>
      <c r="P33" s="6">
        <v>103.05</v>
      </c>
      <c r="Q33" t="s">
        <v>75</v>
      </c>
      <c r="R33" t="s">
        <v>82</v>
      </c>
      <c r="S33" t="s">
        <v>76</v>
      </c>
    </row>
    <row r="34" spans="1:19" x14ac:dyDescent="0.35">
      <c r="A34" t="s">
        <v>129</v>
      </c>
      <c r="B34" s="5">
        <v>45812</v>
      </c>
      <c r="C34" t="s">
        <v>95</v>
      </c>
      <c r="D34" t="s">
        <v>64</v>
      </c>
      <c r="E34">
        <v>3</v>
      </c>
      <c r="F34" s="6">
        <v>52</v>
      </c>
      <c r="G34" s="7">
        <v>0</v>
      </c>
      <c r="H34" s="6">
        <v>156</v>
      </c>
      <c r="I34">
        <v>0</v>
      </c>
      <c r="J34" s="6">
        <v>0</v>
      </c>
      <c r="K34">
        <v>3</v>
      </c>
      <c r="L34" s="6">
        <v>156</v>
      </c>
      <c r="M34" s="6">
        <v>119.75</v>
      </c>
      <c r="N34" s="6">
        <v>36.25</v>
      </c>
      <c r="O34" s="6">
        <v>9.5500000000000007</v>
      </c>
      <c r="P34" s="6">
        <v>26.7</v>
      </c>
      <c r="Q34" t="s">
        <v>81</v>
      </c>
      <c r="R34" t="s">
        <v>82</v>
      </c>
      <c r="S34" t="s">
        <v>71</v>
      </c>
    </row>
    <row r="35" spans="1:19" x14ac:dyDescent="0.35">
      <c r="A35" t="s">
        <v>130</v>
      </c>
      <c r="B35" s="5">
        <v>45683</v>
      </c>
      <c r="C35" t="s">
        <v>107</v>
      </c>
      <c r="D35" t="s">
        <v>74</v>
      </c>
      <c r="E35">
        <v>5</v>
      </c>
      <c r="F35" s="6">
        <v>125</v>
      </c>
      <c r="G35" s="7">
        <v>0</v>
      </c>
      <c r="H35" s="6">
        <v>625</v>
      </c>
      <c r="I35">
        <v>0</v>
      </c>
      <c r="J35" s="6">
        <v>0</v>
      </c>
      <c r="K35">
        <v>5</v>
      </c>
      <c r="L35" s="6">
        <v>625</v>
      </c>
      <c r="M35" s="6">
        <v>493.84</v>
      </c>
      <c r="N35" s="6">
        <v>131.16</v>
      </c>
      <c r="O35" s="6">
        <v>46.08</v>
      </c>
      <c r="P35" s="6">
        <v>85.08</v>
      </c>
      <c r="Q35" t="s">
        <v>59</v>
      </c>
      <c r="R35" t="s">
        <v>82</v>
      </c>
    </row>
    <row r="36" spans="1:19" x14ac:dyDescent="0.35">
      <c r="A36" t="s">
        <v>131</v>
      </c>
      <c r="B36" s="5">
        <v>45799</v>
      </c>
      <c r="C36" t="s">
        <v>90</v>
      </c>
      <c r="D36" t="s">
        <v>70</v>
      </c>
      <c r="E36">
        <v>1</v>
      </c>
      <c r="F36" s="6">
        <v>38</v>
      </c>
      <c r="G36" s="7">
        <v>0</v>
      </c>
      <c r="H36" s="6">
        <v>38</v>
      </c>
      <c r="I36">
        <v>0</v>
      </c>
      <c r="J36" s="6">
        <v>0</v>
      </c>
      <c r="K36">
        <v>1</v>
      </c>
      <c r="L36" s="6">
        <v>38</v>
      </c>
      <c r="M36" s="6">
        <v>29.29</v>
      </c>
      <c r="N36" s="6">
        <v>8.7100000000000009</v>
      </c>
      <c r="O36" s="6">
        <v>2.12</v>
      </c>
      <c r="P36" s="6">
        <v>6.59</v>
      </c>
      <c r="Q36" t="s">
        <v>65</v>
      </c>
      <c r="R36" t="s">
        <v>60</v>
      </c>
      <c r="S36" t="s">
        <v>76</v>
      </c>
    </row>
    <row r="37" spans="1:19" x14ac:dyDescent="0.35">
      <c r="A37" t="s">
        <v>132</v>
      </c>
      <c r="B37" s="5">
        <v>45720</v>
      </c>
      <c r="C37" t="s">
        <v>73</v>
      </c>
      <c r="D37" t="s">
        <v>74</v>
      </c>
      <c r="E37">
        <v>2</v>
      </c>
      <c r="F37" s="6">
        <v>280</v>
      </c>
      <c r="G37" s="7">
        <v>0</v>
      </c>
      <c r="H37" s="6">
        <v>560</v>
      </c>
      <c r="I37">
        <v>0</v>
      </c>
      <c r="J37" s="6">
        <v>0</v>
      </c>
      <c r="K37">
        <v>2</v>
      </c>
      <c r="L37" s="6">
        <v>560</v>
      </c>
      <c r="M37" s="6">
        <v>424.92</v>
      </c>
      <c r="N37" s="6">
        <v>135.08000000000001</v>
      </c>
      <c r="O37" s="6">
        <v>48.86</v>
      </c>
      <c r="P37" s="6">
        <v>86.22</v>
      </c>
      <c r="Q37" t="s">
        <v>81</v>
      </c>
      <c r="R37" t="s">
        <v>66</v>
      </c>
      <c r="S37" t="s">
        <v>71</v>
      </c>
    </row>
    <row r="38" spans="1:19" x14ac:dyDescent="0.35">
      <c r="A38" t="s">
        <v>133</v>
      </c>
      <c r="B38" s="5">
        <v>45710</v>
      </c>
      <c r="C38" t="s">
        <v>107</v>
      </c>
      <c r="D38" t="s">
        <v>74</v>
      </c>
      <c r="E38">
        <v>1</v>
      </c>
      <c r="F38" s="6">
        <v>125</v>
      </c>
      <c r="G38" s="7">
        <v>5</v>
      </c>
      <c r="H38" s="6">
        <v>118.75</v>
      </c>
      <c r="I38">
        <v>0</v>
      </c>
      <c r="J38" s="6">
        <v>0</v>
      </c>
      <c r="K38">
        <v>1</v>
      </c>
      <c r="L38" s="6">
        <v>118.75</v>
      </c>
      <c r="M38" s="6">
        <v>83.89</v>
      </c>
      <c r="N38" s="6">
        <v>34.86</v>
      </c>
      <c r="O38" s="6">
        <v>10.9</v>
      </c>
      <c r="P38" s="6">
        <v>23.96</v>
      </c>
      <c r="Q38" t="s">
        <v>65</v>
      </c>
      <c r="R38" t="s">
        <v>86</v>
      </c>
      <c r="S38" t="s">
        <v>61</v>
      </c>
    </row>
    <row r="39" spans="1:19" x14ac:dyDescent="0.35">
      <c r="A39" t="s">
        <v>134</v>
      </c>
      <c r="B39" s="5">
        <v>45965</v>
      </c>
      <c r="C39" t="s">
        <v>125</v>
      </c>
      <c r="D39" t="s">
        <v>85</v>
      </c>
      <c r="E39">
        <v>3</v>
      </c>
      <c r="F39" s="6">
        <v>125</v>
      </c>
      <c r="G39" s="7">
        <v>5</v>
      </c>
      <c r="H39" s="6">
        <v>356.25</v>
      </c>
      <c r="I39">
        <v>0</v>
      </c>
      <c r="J39" s="6">
        <v>0</v>
      </c>
      <c r="K39">
        <v>3</v>
      </c>
      <c r="L39" s="6">
        <v>356.25</v>
      </c>
      <c r="M39" s="6">
        <v>237.49</v>
      </c>
      <c r="N39" s="6">
        <v>118.76</v>
      </c>
      <c r="O39" s="6">
        <v>37.75</v>
      </c>
      <c r="P39" s="6">
        <v>81.010000000000005</v>
      </c>
      <c r="Q39" t="s">
        <v>65</v>
      </c>
      <c r="R39" t="s">
        <v>66</v>
      </c>
      <c r="S39" t="s">
        <v>71</v>
      </c>
    </row>
    <row r="40" spans="1:19" x14ac:dyDescent="0.35">
      <c r="A40" t="s">
        <v>135</v>
      </c>
      <c r="B40" s="5">
        <v>45886</v>
      </c>
      <c r="C40" t="s">
        <v>84</v>
      </c>
      <c r="D40" t="s">
        <v>85</v>
      </c>
      <c r="E40">
        <v>2</v>
      </c>
      <c r="F40" s="6">
        <v>48</v>
      </c>
      <c r="G40" s="7">
        <v>5</v>
      </c>
      <c r="H40" s="6">
        <v>91.2</v>
      </c>
      <c r="I40">
        <v>0</v>
      </c>
      <c r="J40" s="6">
        <v>0</v>
      </c>
      <c r="K40">
        <v>2</v>
      </c>
      <c r="L40" s="6">
        <v>91.2</v>
      </c>
      <c r="M40" s="6">
        <v>62.47</v>
      </c>
      <c r="N40" s="6">
        <v>28.73</v>
      </c>
      <c r="O40" s="6">
        <v>5.13</v>
      </c>
      <c r="P40" s="6">
        <v>23.6</v>
      </c>
      <c r="Q40" t="s">
        <v>81</v>
      </c>
      <c r="R40" t="s">
        <v>66</v>
      </c>
      <c r="S40" t="s">
        <v>71</v>
      </c>
    </row>
    <row r="41" spans="1:19" x14ac:dyDescent="0.35">
      <c r="A41" t="s">
        <v>136</v>
      </c>
      <c r="B41" s="5">
        <v>45775</v>
      </c>
      <c r="C41" t="s">
        <v>97</v>
      </c>
      <c r="D41" t="s">
        <v>57</v>
      </c>
      <c r="E41">
        <v>4</v>
      </c>
      <c r="F41" s="6">
        <v>55</v>
      </c>
      <c r="G41" s="7">
        <v>0</v>
      </c>
      <c r="H41" s="6">
        <v>220</v>
      </c>
      <c r="I41">
        <v>0</v>
      </c>
      <c r="J41" s="6">
        <v>0</v>
      </c>
      <c r="K41">
        <v>4</v>
      </c>
      <c r="L41" s="6">
        <v>220</v>
      </c>
      <c r="M41" s="6">
        <v>184.72</v>
      </c>
      <c r="N41" s="6">
        <v>35.28</v>
      </c>
      <c r="O41" s="6">
        <v>15.22</v>
      </c>
      <c r="P41" s="6">
        <v>20.059999999999999</v>
      </c>
      <c r="R41" t="s">
        <v>66</v>
      </c>
      <c r="S41" t="s">
        <v>61</v>
      </c>
    </row>
    <row r="42" spans="1:19" x14ac:dyDescent="0.35">
      <c r="A42" t="s">
        <v>137</v>
      </c>
      <c r="B42" s="5">
        <v>45904</v>
      </c>
      <c r="C42" t="s">
        <v>90</v>
      </c>
      <c r="D42" t="s">
        <v>70</v>
      </c>
      <c r="E42">
        <v>2</v>
      </c>
      <c r="F42" s="6">
        <v>38</v>
      </c>
      <c r="G42" s="7">
        <v>15</v>
      </c>
      <c r="H42" s="6">
        <v>64.599999999999994</v>
      </c>
      <c r="I42">
        <v>0</v>
      </c>
      <c r="J42" s="6">
        <v>0</v>
      </c>
      <c r="K42">
        <v>2</v>
      </c>
      <c r="L42" s="6">
        <v>64.599999999999994</v>
      </c>
      <c r="M42" s="6">
        <v>51.49</v>
      </c>
      <c r="N42" s="6">
        <v>13.11</v>
      </c>
      <c r="O42" s="6">
        <v>6.39</v>
      </c>
      <c r="P42" s="6">
        <v>6.72</v>
      </c>
      <c r="Q42" t="s">
        <v>59</v>
      </c>
      <c r="R42" t="s">
        <v>86</v>
      </c>
      <c r="S42" t="s">
        <v>71</v>
      </c>
    </row>
    <row r="43" spans="1:19" x14ac:dyDescent="0.35">
      <c r="A43" t="s">
        <v>138</v>
      </c>
      <c r="B43" s="5">
        <v>45751</v>
      </c>
      <c r="C43" t="s">
        <v>117</v>
      </c>
      <c r="D43" t="s">
        <v>74</v>
      </c>
      <c r="E43">
        <v>1</v>
      </c>
      <c r="F43" s="6">
        <v>95</v>
      </c>
      <c r="G43" s="7">
        <v>0</v>
      </c>
      <c r="H43" s="6">
        <v>95</v>
      </c>
      <c r="I43">
        <v>0</v>
      </c>
      <c r="J43" s="6">
        <v>0</v>
      </c>
      <c r="K43">
        <v>1</v>
      </c>
      <c r="L43" s="6">
        <v>95</v>
      </c>
      <c r="M43" s="6">
        <v>66.69</v>
      </c>
      <c r="N43" s="6">
        <v>28.31</v>
      </c>
      <c r="O43" s="6">
        <v>5.47</v>
      </c>
      <c r="P43" s="6">
        <v>22.84</v>
      </c>
      <c r="Q43" t="s">
        <v>81</v>
      </c>
      <c r="R43" t="s">
        <v>82</v>
      </c>
      <c r="S43" t="s">
        <v>61</v>
      </c>
    </row>
    <row r="44" spans="1:19" x14ac:dyDescent="0.35">
      <c r="A44" t="s">
        <v>139</v>
      </c>
      <c r="B44" s="5">
        <v>45879</v>
      </c>
      <c r="C44" t="s">
        <v>125</v>
      </c>
      <c r="D44" t="s">
        <v>85</v>
      </c>
      <c r="E44">
        <v>3</v>
      </c>
      <c r="F44" s="6">
        <v>125</v>
      </c>
      <c r="G44" s="7">
        <v>0</v>
      </c>
      <c r="H44" s="6">
        <v>375</v>
      </c>
      <c r="I44">
        <v>0</v>
      </c>
      <c r="J44" s="6">
        <v>0</v>
      </c>
      <c r="K44">
        <v>3</v>
      </c>
      <c r="L44" s="6">
        <v>375</v>
      </c>
      <c r="M44" s="6">
        <v>276.75</v>
      </c>
      <c r="N44" s="6">
        <v>98.25</v>
      </c>
      <c r="O44" s="6">
        <v>23.95</v>
      </c>
      <c r="P44" s="6">
        <v>74.3</v>
      </c>
      <c r="Q44" t="s">
        <v>75</v>
      </c>
      <c r="R44" t="s">
        <v>60</v>
      </c>
      <c r="S44" t="s">
        <v>71</v>
      </c>
    </row>
    <row r="45" spans="1:19" x14ac:dyDescent="0.35">
      <c r="A45" t="s">
        <v>140</v>
      </c>
      <c r="B45" s="5">
        <v>45914</v>
      </c>
      <c r="C45" t="s">
        <v>84</v>
      </c>
      <c r="D45" t="s">
        <v>85</v>
      </c>
      <c r="E45">
        <v>8</v>
      </c>
      <c r="F45" s="6">
        <v>48</v>
      </c>
      <c r="G45" s="7">
        <v>10</v>
      </c>
      <c r="H45" s="6">
        <v>345.6</v>
      </c>
      <c r="I45">
        <v>1</v>
      </c>
      <c r="J45" s="6">
        <v>43.2</v>
      </c>
      <c r="K45">
        <v>7</v>
      </c>
      <c r="L45" s="6">
        <v>302.39999999999998</v>
      </c>
      <c r="M45" s="6">
        <v>206.42</v>
      </c>
      <c r="N45" s="6">
        <v>95.98</v>
      </c>
      <c r="O45" s="6">
        <v>27.29</v>
      </c>
      <c r="P45" s="6">
        <v>68.69</v>
      </c>
      <c r="Q45" t="s">
        <v>65</v>
      </c>
      <c r="R45" t="s">
        <v>66</v>
      </c>
      <c r="S45" t="s">
        <v>67</v>
      </c>
    </row>
    <row r="46" spans="1:19" x14ac:dyDescent="0.35">
      <c r="A46" t="s">
        <v>141</v>
      </c>
      <c r="B46" s="5">
        <v>45997</v>
      </c>
      <c r="C46" t="s">
        <v>63</v>
      </c>
      <c r="D46" t="s">
        <v>64</v>
      </c>
      <c r="E46">
        <v>3</v>
      </c>
      <c r="F46" s="6">
        <v>145</v>
      </c>
      <c r="G46" s="7">
        <v>10</v>
      </c>
      <c r="H46" s="6">
        <v>391.5</v>
      </c>
      <c r="I46">
        <v>0</v>
      </c>
      <c r="J46" s="6">
        <v>0</v>
      </c>
      <c r="K46">
        <v>3</v>
      </c>
      <c r="L46" s="6">
        <v>391.5</v>
      </c>
      <c r="M46" s="6">
        <v>331.45</v>
      </c>
      <c r="N46" s="6">
        <v>60.05</v>
      </c>
      <c r="O46" s="6">
        <v>39.51</v>
      </c>
      <c r="P46" s="6">
        <v>20.54</v>
      </c>
      <c r="Q46" t="s">
        <v>65</v>
      </c>
      <c r="R46" t="s">
        <v>86</v>
      </c>
      <c r="S46" t="s">
        <v>71</v>
      </c>
    </row>
    <row r="47" spans="1:19" x14ac:dyDescent="0.35">
      <c r="A47" t="s">
        <v>142</v>
      </c>
      <c r="B47" s="5">
        <v>45825</v>
      </c>
      <c r="C47" t="s">
        <v>95</v>
      </c>
      <c r="D47" t="s">
        <v>64</v>
      </c>
      <c r="E47">
        <v>4</v>
      </c>
      <c r="F47" s="6">
        <v>52</v>
      </c>
      <c r="G47" s="7">
        <v>0</v>
      </c>
      <c r="H47" s="6">
        <v>208</v>
      </c>
      <c r="I47">
        <v>0</v>
      </c>
      <c r="J47" s="6">
        <v>0</v>
      </c>
      <c r="K47">
        <v>4</v>
      </c>
      <c r="L47" s="6">
        <v>208</v>
      </c>
      <c r="M47" s="6">
        <v>156.19999999999999</v>
      </c>
      <c r="N47" s="6">
        <v>51.8</v>
      </c>
      <c r="O47" s="6">
        <v>16.82</v>
      </c>
      <c r="P47" s="6">
        <v>34.979999999999997</v>
      </c>
      <c r="Q47" t="s">
        <v>81</v>
      </c>
      <c r="R47" t="s">
        <v>60</v>
      </c>
      <c r="S47" t="s">
        <v>61</v>
      </c>
    </row>
    <row r="48" spans="1:19" x14ac:dyDescent="0.35">
      <c r="A48" t="s">
        <v>143</v>
      </c>
      <c r="B48" s="5">
        <v>45747</v>
      </c>
      <c r="C48" t="s">
        <v>90</v>
      </c>
      <c r="D48" t="s">
        <v>70</v>
      </c>
      <c r="E48">
        <v>1</v>
      </c>
      <c r="F48" s="6">
        <v>38</v>
      </c>
      <c r="G48" s="7">
        <v>0</v>
      </c>
      <c r="H48" s="6">
        <v>38</v>
      </c>
      <c r="I48">
        <v>0</v>
      </c>
      <c r="J48" s="6">
        <v>0</v>
      </c>
      <c r="K48">
        <v>1</v>
      </c>
      <c r="L48" s="6">
        <v>38</v>
      </c>
      <c r="M48" s="6">
        <v>23.92</v>
      </c>
      <c r="N48" s="6">
        <v>14.08</v>
      </c>
      <c r="O48" s="6">
        <v>2.92</v>
      </c>
      <c r="P48" s="6">
        <v>11.16</v>
      </c>
      <c r="Q48" t="s">
        <v>65</v>
      </c>
      <c r="R48" t="s">
        <v>66</v>
      </c>
      <c r="S48" t="s">
        <v>71</v>
      </c>
    </row>
    <row r="49" spans="1:19" x14ac:dyDescent="0.35">
      <c r="A49" t="s">
        <v>144</v>
      </c>
      <c r="B49" s="5">
        <v>45732</v>
      </c>
      <c r="C49" t="s">
        <v>84</v>
      </c>
      <c r="D49" t="s">
        <v>85</v>
      </c>
      <c r="E49">
        <v>1</v>
      </c>
      <c r="F49" s="6">
        <v>48</v>
      </c>
      <c r="G49" s="7">
        <v>5</v>
      </c>
      <c r="H49" s="6">
        <v>45.6</v>
      </c>
      <c r="I49">
        <v>0</v>
      </c>
      <c r="J49" s="6">
        <v>0</v>
      </c>
      <c r="K49">
        <v>1</v>
      </c>
      <c r="L49" s="6">
        <v>45.6</v>
      </c>
      <c r="M49" s="6">
        <v>31.36</v>
      </c>
      <c r="N49" s="6">
        <v>14.24</v>
      </c>
      <c r="O49" s="6">
        <v>4.82</v>
      </c>
      <c r="P49" s="6">
        <v>9.42</v>
      </c>
      <c r="Q49" t="s">
        <v>75</v>
      </c>
      <c r="R49" t="s">
        <v>86</v>
      </c>
      <c r="S49" t="s">
        <v>61</v>
      </c>
    </row>
    <row r="50" spans="1:19" x14ac:dyDescent="0.35">
      <c r="A50" t="s">
        <v>145</v>
      </c>
      <c r="B50" s="5">
        <v>45753</v>
      </c>
      <c r="C50" t="s">
        <v>63</v>
      </c>
      <c r="D50" t="s">
        <v>64</v>
      </c>
      <c r="E50">
        <v>1</v>
      </c>
      <c r="F50" s="6">
        <v>145</v>
      </c>
      <c r="G50" s="7">
        <v>5</v>
      </c>
      <c r="H50" s="6">
        <v>137.75</v>
      </c>
      <c r="I50">
        <v>0</v>
      </c>
      <c r="J50" s="6">
        <v>0</v>
      </c>
      <c r="K50">
        <v>1</v>
      </c>
      <c r="L50" s="6">
        <v>137.75</v>
      </c>
      <c r="M50" s="6">
        <v>112.08</v>
      </c>
      <c r="N50" s="6">
        <v>25.67</v>
      </c>
      <c r="O50" s="6">
        <v>11.43</v>
      </c>
      <c r="P50" s="6">
        <v>14.24</v>
      </c>
      <c r="Q50" t="s">
        <v>65</v>
      </c>
      <c r="R50" t="s">
        <v>60</v>
      </c>
      <c r="S50" t="s">
        <v>71</v>
      </c>
    </row>
    <row r="51" spans="1:19" x14ac:dyDescent="0.35">
      <c r="A51" t="s">
        <v>146</v>
      </c>
      <c r="B51" s="5">
        <v>45719</v>
      </c>
      <c r="C51" t="s">
        <v>125</v>
      </c>
      <c r="D51" t="s">
        <v>85</v>
      </c>
      <c r="E51">
        <v>2</v>
      </c>
      <c r="F51" s="6">
        <v>125</v>
      </c>
      <c r="G51" s="7">
        <v>2</v>
      </c>
      <c r="H51" s="6">
        <v>245</v>
      </c>
      <c r="I51">
        <v>0</v>
      </c>
      <c r="J51" s="6">
        <v>0</v>
      </c>
      <c r="K51">
        <v>2</v>
      </c>
      <c r="L51" s="6">
        <v>245</v>
      </c>
      <c r="M51" s="6">
        <v>195.41</v>
      </c>
      <c r="N51" s="6">
        <v>49.59</v>
      </c>
      <c r="O51" s="6">
        <v>19.649999999999999</v>
      </c>
      <c r="P51" s="6">
        <v>29.94</v>
      </c>
      <c r="Q51" t="s">
        <v>65</v>
      </c>
      <c r="R51" t="s">
        <v>147</v>
      </c>
      <c r="S51" t="s">
        <v>67</v>
      </c>
    </row>
    <row r="52" spans="1:19" x14ac:dyDescent="0.35">
      <c r="A52" t="s">
        <v>148</v>
      </c>
      <c r="B52" s="5">
        <v>45941</v>
      </c>
      <c r="C52" t="s">
        <v>90</v>
      </c>
      <c r="D52" t="s">
        <v>70</v>
      </c>
      <c r="E52">
        <v>6</v>
      </c>
      <c r="F52" s="6">
        <v>38</v>
      </c>
      <c r="G52" s="7">
        <v>0</v>
      </c>
      <c r="H52" s="6">
        <v>228</v>
      </c>
      <c r="I52">
        <v>0</v>
      </c>
      <c r="J52" s="6">
        <v>0</v>
      </c>
      <c r="K52">
        <v>6</v>
      </c>
      <c r="L52" s="6">
        <v>228</v>
      </c>
      <c r="M52" s="6">
        <v>141.94999999999999</v>
      </c>
      <c r="N52" s="6">
        <v>86.05</v>
      </c>
      <c r="O52" s="6">
        <v>13.07</v>
      </c>
      <c r="P52" s="6">
        <v>72.98</v>
      </c>
      <c r="Q52" t="s">
        <v>81</v>
      </c>
      <c r="R52" t="s">
        <v>60</v>
      </c>
      <c r="S52" t="s">
        <v>61</v>
      </c>
    </row>
    <row r="53" spans="1:19" x14ac:dyDescent="0.35">
      <c r="A53" t="s">
        <v>149</v>
      </c>
      <c r="B53" s="5">
        <v>45710</v>
      </c>
      <c r="C53" t="s">
        <v>104</v>
      </c>
      <c r="D53" t="s">
        <v>105</v>
      </c>
      <c r="E53">
        <v>3</v>
      </c>
      <c r="F53" s="6">
        <v>65</v>
      </c>
      <c r="G53" s="7">
        <v>2</v>
      </c>
      <c r="H53" s="6">
        <v>191.1</v>
      </c>
      <c r="I53">
        <v>0</v>
      </c>
      <c r="J53" s="6">
        <v>0</v>
      </c>
      <c r="K53">
        <v>3</v>
      </c>
      <c r="L53" s="6">
        <v>191.1</v>
      </c>
      <c r="M53" s="6">
        <v>139.05000000000001</v>
      </c>
      <c r="N53" s="6">
        <v>52.05</v>
      </c>
      <c r="O53" s="6">
        <v>14.58</v>
      </c>
      <c r="P53" s="6">
        <v>37.47</v>
      </c>
      <c r="Q53" t="s">
        <v>59</v>
      </c>
      <c r="R53" t="s">
        <v>86</v>
      </c>
      <c r="S53" t="s">
        <v>67</v>
      </c>
    </row>
    <row r="54" spans="1:19" x14ac:dyDescent="0.35">
      <c r="A54" t="s">
        <v>150</v>
      </c>
      <c r="B54" s="5">
        <v>45872</v>
      </c>
      <c r="C54" t="s">
        <v>56</v>
      </c>
      <c r="D54" t="s">
        <v>57</v>
      </c>
      <c r="E54">
        <v>1</v>
      </c>
      <c r="F54" s="6">
        <v>40</v>
      </c>
      <c r="G54" s="7">
        <v>0</v>
      </c>
      <c r="H54" s="6">
        <v>40</v>
      </c>
      <c r="I54">
        <v>0</v>
      </c>
      <c r="J54" s="6">
        <v>0</v>
      </c>
      <c r="K54">
        <v>1</v>
      </c>
      <c r="L54" s="6">
        <v>40</v>
      </c>
      <c r="M54" s="6">
        <v>25.35</v>
      </c>
      <c r="N54" s="6">
        <v>14.65</v>
      </c>
      <c r="O54" s="6">
        <v>3.41</v>
      </c>
      <c r="P54" s="6">
        <v>11.24</v>
      </c>
      <c r="Q54" t="s">
        <v>75</v>
      </c>
      <c r="R54" t="s">
        <v>60</v>
      </c>
      <c r="S54" t="s">
        <v>76</v>
      </c>
    </row>
    <row r="55" spans="1:19" x14ac:dyDescent="0.35">
      <c r="A55" t="s">
        <v>151</v>
      </c>
      <c r="B55" s="5">
        <v>45831</v>
      </c>
      <c r="C55" t="s">
        <v>78</v>
      </c>
      <c r="D55" t="s">
        <v>79</v>
      </c>
      <c r="E55">
        <v>8</v>
      </c>
      <c r="F55" s="6">
        <v>120</v>
      </c>
      <c r="G55" s="7">
        <v>2</v>
      </c>
      <c r="H55" s="6">
        <v>940.8</v>
      </c>
      <c r="I55">
        <v>0</v>
      </c>
      <c r="J55" s="6">
        <v>0</v>
      </c>
      <c r="K55">
        <v>8</v>
      </c>
      <c r="L55" s="6">
        <v>940.8</v>
      </c>
      <c r="M55" s="6">
        <v>772.28</v>
      </c>
      <c r="N55" s="6">
        <v>168.52</v>
      </c>
      <c r="O55" s="6">
        <v>110.15</v>
      </c>
      <c r="P55" s="6">
        <v>58.37</v>
      </c>
      <c r="Q55" t="s">
        <v>75</v>
      </c>
      <c r="R55" t="s">
        <v>86</v>
      </c>
      <c r="S55" t="s">
        <v>71</v>
      </c>
    </row>
    <row r="56" spans="1:19" x14ac:dyDescent="0.35">
      <c r="A56" t="s">
        <v>152</v>
      </c>
      <c r="B56" s="5">
        <v>46022</v>
      </c>
      <c r="C56" t="s">
        <v>97</v>
      </c>
      <c r="D56" t="s">
        <v>153</v>
      </c>
      <c r="E56">
        <v>5</v>
      </c>
      <c r="F56" s="6">
        <v>55</v>
      </c>
      <c r="G56" s="7">
        <v>5</v>
      </c>
      <c r="H56" s="6">
        <v>261.25</v>
      </c>
      <c r="I56">
        <v>0</v>
      </c>
      <c r="J56" s="6">
        <v>0</v>
      </c>
      <c r="K56">
        <v>5</v>
      </c>
      <c r="L56" s="6">
        <v>261.25</v>
      </c>
      <c r="M56" s="6">
        <v>167.08</v>
      </c>
      <c r="N56" s="6">
        <v>94.17</v>
      </c>
      <c r="O56" s="6">
        <v>33.68</v>
      </c>
      <c r="P56" s="6">
        <v>60.49</v>
      </c>
      <c r="Q56" t="s">
        <v>75</v>
      </c>
      <c r="R56" t="s">
        <v>82</v>
      </c>
      <c r="S56" t="s">
        <v>61</v>
      </c>
    </row>
    <row r="57" spans="1:19" x14ac:dyDescent="0.35">
      <c r="A57" t="s">
        <v>154</v>
      </c>
      <c r="B57" s="5">
        <v>46021</v>
      </c>
      <c r="C57" t="s">
        <v>107</v>
      </c>
      <c r="D57" t="s">
        <v>74</v>
      </c>
      <c r="E57">
        <v>8</v>
      </c>
      <c r="F57" s="6">
        <v>125</v>
      </c>
      <c r="G57" s="7">
        <v>15</v>
      </c>
      <c r="H57" s="6">
        <v>850</v>
      </c>
      <c r="I57">
        <v>0</v>
      </c>
      <c r="J57" s="6">
        <v>0</v>
      </c>
      <c r="K57">
        <v>8</v>
      </c>
      <c r="L57" s="6">
        <v>850</v>
      </c>
      <c r="M57" s="6">
        <v>680.69</v>
      </c>
      <c r="N57" s="6">
        <v>169.31</v>
      </c>
      <c r="O57" s="6">
        <v>48.18</v>
      </c>
      <c r="P57" s="6">
        <v>121.13</v>
      </c>
      <c r="Q57" t="s">
        <v>81</v>
      </c>
      <c r="R57" t="s">
        <v>60</v>
      </c>
      <c r="S57" t="s">
        <v>76</v>
      </c>
    </row>
    <row r="58" spans="1:19" x14ac:dyDescent="0.35">
      <c r="A58" t="s">
        <v>155</v>
      </c>
      <c r="B58" s="5">
        <v>45805</v>
      </c>
      <c r="C58" t="s">
        <v>84</v>
      </c>
      <c r="D58" t="s">
        <v>85</v>
      </c>
      <c r="E58">
        <v>6</v>
      </c>
      <c r="F58" s="6">
        <v>48</v>
      </c>
      <c r="G58" s="7">
        <v>0</v>
      </c>
      <c r="H58" s="6">
        <v>288</v>
      </c>
      <c r="I58">
        <v>6</v>
      </c>
      <c r="J58" s="6">
        <v>288</v>
      </c>
      <c r="K58">
        <v>0</v>
      </c>
      <c r="L58" s="6">
        <v>0</v>
      </c>
      <c r="M58" s="6">
        <v>0</v>
      </c>
      <c r="N58" s="6">
        <v>0</v>
      </c>
      <c r="O58" s="6">
        <v>0</v>
      </c>
      <c r="P58" s="6">
        <v>0</v>
      </c>
      <c r="Q58" t="s">
        <v>65</v>
      </c>
      <c r="R58" t="s">
        <v>86</v>
      </c>
      <c r="S58" t="s">
        <v>67</v>
      </c>
    </row>
    <row r="59" spans="1:19" x14ac:dyDescent="0.35">
      <c r="A59" t="s">
        <v>156</v>
      </c>
      <c r="B59" s="5">
        <v>45969</v>
      </c>
      <c r="C59" t="s">
        <v>97</v>
      </c>
      <c r="D59" t="s">
        <v>57</v>
      </c>
      <c r="E59">
        <v>4</v>
      </c>
      <c r="F59" s="6">
        <v>55</v>
      </c>
      <c r="G59" s="7">
        <v>2</v>
      </c>
      <c r="H59" s="6">
        <v>215.6</v>
      </c>
      <c r="I59">
        <v>0</v>
      </c>
      <c r="J59" s="6">
        <v>0</v>
      </c>
      <c r="K59">
        <v>4</v>
      </c>
      <c r="L59" s="6">
        <v>215.6</v>
      </c>
      <c r="M59" s="6">
        <v>145.96</v>
      </c>
      <c r="N59" s="6">
        <v>69.64</v>
      </c>
      <c r="O59" s="6">
        <v>19.02</v>
      </c>
      <c r="P59" s="6">
        <v>50.62</v>
      </c>
      <c r="Q59" t="s">
        <v>75</v>
      </c>
      <c r="R59" t="s">
        <v>82</v>
      </c>
      <c r="S59" t="s">
        <v>67</v>
      </c>
    </row>
    <row r="60" spans="1:19" x14ac:dyDescent="0.35">
      <c r="A60" t="s">
        <v>157</v>
      </c>
      <c r="B60" s="5">
        <v>45870</v>
      </c>
      <c r="C60" t="s">
        <v>109</v>
      </c>
      <c r="D60" t="s">
        <v>85</v>
      </c>
      <c r="E60">
        <v>5</v>
      </c>
      <c r="F60" s="6">
        <v>180</v>
      </c>
      <c r="G60" s="7">
        <v>15</v>
      </c>
      <c r="H60" s="6">
        <v>765</v>
      </c>
      <c r="I60">
        <v>0</v>
      </c>
      <c r="J60" s="6">
        <v>0</v>
      </c>
      <c r="K60">
        <v>5</v>
      </c>
      <c r="L60" s="6">
        <v>765</v>
      </c>
      <c r="M60" s="6">
        <v>576.38</v>
      </c>
      <c r="N60" s="6">
        <v>188.62</v>
      </c>
      <c r="O60" s="6">
        <v>40.909999999999997</v>
      </c>
      <c r="P60" s="6">
        <v>147.71</v>
      </c>
      <c r="Q60" t="s">
        <v>59</v>
      </c>
      <c r="R60" t="s">
        <v>86</v>
      </c>
      <c r="S60" t="s">
        <v>67</v>
      </c>
    </row>
    <row r="61" spans="1:19" x14ac:dyDescent="0.35">
      <c r="A61" t="s">
        <v>158</v>
      </c>
      <c r="B61" s="5">
        <v>45658</v>
      </c>
      <c r="C61" t="s">
        <v>63</v>
      </c>
      <c r="D61" t="s">
        <v>64</v>
      </c>
      <c r="E61">
        <v>3</v>
      </c>
      <c r="F61" s="6">
        <v>145</v>
      </c>
      <c r="G61" s="7">
        <v>15</v>
      </c>
      <c r="H61" s="6">
        <v>369.75</v>
      </c>
      <c r="I61">
        <v>0</v>
      </c>
      <c r="J61" s="6">
        <v>0</v>
      </c>
      <c r="K61">
        <v>3</v>
      </c>
      <c r="L61" s="6">
        <v>369.75</v>
      </c>
      <c r="M61" s="6">
        <v>275.66000000000003</v>
      </c>
      <c r="N61" s="6">
        <v>94.09</v>
      </c>
      <c r="O61" s="6">
        <v>39.07</v>
      </c>
      <c r="P61" s="6">
        <v>55.02</v>
      </c>
      <c r="Q61" t="s">
        <v>75</v>
      </c>
      <c r="R61" t="s">
        <v>82</v>
      </c>
      <c r="S61" t="s">
        <v>71</v>
      </c>
    </row>
    <row r="62" spans="1:19" x14ac:dyDescent="0.35">
      <c r="A62" t="s">
        <v>159</v>
      </c>
      <c r="B62" s="5">
        <v>45813</v>
      </c>
      <c r="C62" t="s">
        <v>95</v>
      </c>
      <c r="D62" t="s">
        <v>64</v>
      </c>
      <c r="E62">
        <v>6</v>
      </c>
      <c r="F62" s="6">
        <v>52</v>
      </c>
      <c r="G62" s="7">
        <v>0</v>
      </c>
      <c r="H62" s="6">
        <v>312</v>
      </c>
      <c r="I62">
        <v>0</v>
      </c>
      <c r="J62" s="6">
        <v>0</v>
      </c>
      <c r="K62">
        <v>6</v>
      </c>
      <c r="L62" s="6">
        <v>312</v>
      </c>
      <c r="M62" s="6">
        <v>214.48</v>
      </c>
      <c r="N62" s="6">
        <v>97.52</v>
      </c>
      <c r="O62" s="6">
        <v>37.82</v>
      </c>
      <c r="P62" s="6">
        <v>59.7</v>
      </c>
      <c r="Q62" t="s">
        <v>75</v>
      </c>
      <c r="R62" t="s">
        <v>86</v>
      </c>
      <c r="S62" t="s">
        <v>71</v>
      </c>
    </row>
    <row r="63" spans="1:19" x14ac:dyDescent="0.35">
      <c r="A63" t="s">
        <v>160</v>
      </c>
      <c r="B63" s="5">
        <v>45849</v>
      </c>
      <c r="C63" t="s">
        <v>63</v>
      </c>
      <c r="D63" t="s">
        <v>64</v>
      </c>
      <c r="E63">
        <v>3</v>
      </c>
      <c r="F63" s="6">
        <v>145</v>
      </c>
      <c r="G63" s="7">
        <v>0</v>
      </c>
      <c r="H63" s="6">
        <v>435</v>
      </c>
      <c r="I63">
        <v>0</v>
      </c>
      <c r="J63" s="6">
        <v>0</v>
      </c>
      <c r="K63">
        <v>3</v>
      </c>
      <c r="L63" s="6">
        <v>435</v>
      </c>
      <c r="M63" s="6">
        <v>330.63</v>
      </c>
      <c r="N63" s="6">
        <v>104.37</v>
      </c>
      <c r="O63" s="6">
        <v>55.66</v>
      </c>
      <c r="P63" s="6">
        <v>48.71</v>
      </c>
      <c r="Q63" t="s">
        <v>59</v>
      </c>
      <c r="R63" t="s">
        <v>82</v>
      </c>
      <c r="S63" t="s">
        <v>76</v>
      </c>
    </row>
    <row r="64" spans="1:19" x14ac:dyDescent="0.35">
      <c r="A64" t="s">
        <v>161</v>
      </c>
      <c r="B64" s="5">
        <v>45692</v>
      </c>
      <c r="C64" t="s">
        <v>107</v>
      </c>
      <c r="D64" t="s">
        <v>74</v>
      </c>
      <c r="E64">
        <v>2</v>
      </c>
      <c r="F64" s="6">
        <v>125</v>
      </c>
      <c r="G64" s="7">
        <v>0</v>
      </c>
      <c r="H64" s="6">
        <v>250</v>
      </c>
      <c r="I64">
        <v>0</v>
      </c>
      <c r="J64" s="6">
        <v>0</v>
      </c>
      <c r="K64">
        <v>2</v>
      </c>
      <c r="L64" s="6">
        <v>250</v>
      </c>
      <c r="M64" s="6">
        <v>191.17</v>
      </c>
      <c r="N64" s="6">
        <v>58.83</v>
      </c>
      <c r="O64" s="6">
        <v>15.16</v>
      </c>
      <c r="P64" s="6">
        <v>43.67</v>
      </c>
      <c r="Q64" t="s">
        <v>75</v>
      </c>
      <c r="R64" t="s">
        <v>82</v>
      </c>
      <c r="S64" t="s">
        <v>71</v>
      </c>
    </row>
    <row r="65" spans="1:19" x14ac:dyDescent="0.35">
      <c r="A65" t="s">
        <v>162</v>
      </c>
      <c r="B65" s="5">
        <v>46022</v>
      </c>
      <c r="C65" t="s">
        <v>163</v>
      </c>
      <c r="D65" t="s">
        <v>79</v>
      </c>
      <c r="E65">
        <v>4</v>
      </c>
      <c r="F65" s="6">
        <v>85</v>
      </c>
      <c r="G65" s="7">
        <v>2</v>
      </c>
      <c r="H65" s="6">
        <v>333.2</v>
      </c>
      <c r="I65">
        <v>0</v>
      </c>
      <c r="J65" s="6">
        <v>0</v>
      </c>
      <c r="K65">
        <v>4</v>
      </c>
      <c r="L65" s="6">
        <v>333.2</v>
      </c>
      <c r="M65" s="6">
        <v>240.03</v>
      </c>
      <c r="N65" s="6">
        <v>93.17</v>
      </c>
      <c r="O65" s="6">
        <v>39.75</v>
      </c>
      <c r="P65" s="6">
        <v>53.42</v>
      </c>
      <c r="Q65" t="s">
        <v>75</v>
      </c>
      <c r="R65" t="s">
        <v>60</v>
      </c>
      <c r="S65" t="s">
        <v>61</v>
      </c>
    </row>
    <row r="66" spans="1:19" x14ac:dyDescent="0.35">
      <c r="A66" t="s">
        <v>164</v>
      </c>
      <c r="B66" s="5">
        <v>45874</v>
      </c>
      <c r="C66" t="s">
        <v>165</v>
      </c>
      <c r="D66" t="s">
        <v>128</v>
      </c>
      <c r="E66">
        <v>5</v>
      </c>
      <c r="F66" s="6">
        <v>420</v>
      </c>
      <c r="G66" s="7">
        <v>0</v>
      </c>
      <c r="H66" s="6">
        <v>2100</v>
      </c>
      <c r="I66">
        <v>0</v>
      </c>
      <c r="J66" s="6">
        <v>0</v>
      </c>
      <c r="K66">
        <v>5</v>
      </c>
      <c r="L66" s="6">
        <v>2100</v>
      </c>
      <c r="M66" s="6">
        <v>1798.58</v>
      </c>
      <c r="N66" s="6">
        <v>301.42</v>
      </c>
      <c r="O66" s="6">
        <v>230.93</v>
      </c>
      <c r="P66" s="6">
        <v>70.489999999999995</v>
      </c>
      <c r="Q66" t="s">
        <v>81</v>
      </c>
      <c r="R66" t="s">
        <v>60</v>
      </c>
      <c r="S66" t="s">
        <v>76</v>
      </c>
    </row>
    <row r="67" spans="1:19" x14ac:dyDescent="0.35">
      <c r="A67" t="s">
        <v>166</v>
      </c>
      <c r="B67" s="5">
        <v>45663</v>
      </c>
      <c r="C67" t="s">
        <v>107</v>
      </c>
      <c r="D67" t="s">
        <v>74</v>
      </c>
      <c r="E67">
        <v>5</v>
      </c>
      <c r="F67" s="6">
        <v>125</v>
      </c>
      <c r="G67" s="7">
        <v>0</v>
      </c>
      <c r="H67" s="6">
        <v>625</v>
      </c>
      <c r="I67">
        <v>0</v>
      </c>
      <c r="J67" s="6">
        <v>0</v>
      </c>
      <c r="K67">
        <v>5</v>
      </c>
      <c r="L67" s="6">
        <v>625</v>
      </c>
      <c r="M67" s="6">
        <v>449.72</v>
      </c>
      <c r="N67" s="6">
        <v>175.28</v>
      </c>
      <c r="O67" s="6">
        <v>34.07</v>
      </c>
      <c r="P67" s="6">
        <v>141.21</v>
      </c>
      <c r="Q67" t="s">
        <v>65</v>
      </c>
      <c r="R67" t="s">
        <v>66</v>
      </c>
      <c r="S67" t="s">
        <v>67</v>
      </c>
    </row>
    <row r="68" spans="1:19" x14ac:dyDescent="0.35">
      <c r="A68" t="s">
        <v>167</v>
      </c>
      <c r="B68" s="5">
        <v>45802</v>
      </c>
      <c r="C68" t="s">
        <v>125</v>
      </c>
      <c r="D68" t="s">
        <v>85</v>
      </c>
      <c r="E68">
        <v>10</v>
      </c>
      <c r="F68" s="6">
        <v>125</v>
      </c>
      <c r="G68" s="7">
        <v>2</v>
      </c>
      <c r="H68" s="6">
        <v>1225</v>
      </c>
      <c r="I68">
        <v>0</v>
      </c>
      <c r="J68" s="6">
        <v>0</v>
      </c>
      <c r="K68">
        <v>10</v>
      </c>
      <c r="L68" s="6">
        <v>1225</v>
      </c>
      <c r="M68" s="6">
        <v>985.58</v>
      </c>
      <c r="N68" s="6">
        <v>239.42</v>
      </c>
      <c r="O68" s="6">
        <v>144.52000000000001</v>
      </c>
      <c r="P68" s="6">
        <v>94.9</v>
      </c>
      <c r="Q68" t="s">
        <v>75</v>
      </c>
      <c r="R68" t="s">
        <v>82</v>
      </c>
      <c r="S68" t="s">
        <v>67</v>
      </c>
    </row>
    <row r="69" spans="1:19" x14ac:dyDescent="0.35">
      <c r="A69" t="s">
        <v>168</v>
      </c>
      <c r="B69" s="5">
        <v>45691</v>
      </c>
      <c r="C69" t="s">
        <v>121</v>
      </c>
      <c r="D69" t="s">
        <v>70</v>
      </c>
      <c r="E69">
        <v>2</v>
      </c>
      <c r="F69" s="6">
        <v>110</v>
      </c>
      <c r="G69" s="7">
        <v>0</v>
      </c>
      <c r="H69" s="6">
        <v>220</v>
      </c>
      <c r="I69">
        <v>0</v>
      </c>
      <c r="J69" s="6">
        <v>0</v>
      </c>
      <c r="K69">
        <v>2</v>
      </c>
      <c r="L69" s="6">
        <v>220</v>
      </c>
      <c r="M69" s="6">
        <v>147.34</v>
      </c>
      <c r="N69" s="6">
        <v>72.66</v>
      </c>
      <c r="O69" s="6">
        <v>24.32</v>
      </c>
      <c r="P69" s="6">
        <v>48.34</v>
      </c>
      <c r="Q69" t="s">
        <v>65</v>
      </c>
      <c r="R69" t="s">
        <v>60</v>
      </c>
      <c r="S69" t="s">
        <v>61</v>
      </c>
    </row>
    <row r="70" spans="1:19" x14ac:dyDescent="0.35">
      <c r="A70" t="s">
        <v>169</v>
      </c>
      <c r="B70" s="5">
        <v>45711</v>
      </c>
      <c r="C70" t="s">
        <v>56</v>
      </c>
      <c r="D70" t="s">
        <v>57</v>
      </c>
      <c r="E70">
        <v>4</v>
      </c>
      <c r="F70" s="6">
        <v>40</v>
      </c>
      <c r="G70" s="7">
        <v>0</v>
      </c>
      <c r="H70" s="6">
        <v>160</v>
      </c>
      <c r="I70">
        <v>0</v>
      </c>
      <c r="J70" s="6">
        <v>0</v>
      </c>
      <c r="K70">
        <v>4</v>
      </c>
      <c r="L70" s="6">
        <v>160</v>
      </c>
      <c r="M70" s="6">
        <v>128.86000000000001</v>
      </c>
      <c r="N70" s="6">
        <v>31.14</v>
      </c>
      <c r="O70" s="6">
        <v>18.91</v>
      </c>
      <c r="P70" s="6">
        <v>12.23</v>
      </c>
      <c r="Q70" t="s">
        <v>65</v>
      </c>
      <c r="R70" t="s">
        <v>66</v>
      </c>
      <c r="S70" t="s">
        <v>71</v>
      </c>
    </row>
    <row r="71" spans="1:19" x14ac:dyDescent="0.35">
      <c r="A71" t="s">
        <v>170</v>
      </c>
      <c r="B71" s="5">
        <v>45760</v>
      </c>
      <c r="C71" t="s">
        <v>107</v>
      </c>
      <c r="D71" t="s">
        <v>74</v>
      </c>
      <c r="E71">
        <v>1</v>
      </c>
      <c r="F71" s="6">
        <v>125</v>
      </c>
      <c r="G71" s="7">
        <v>0</v>
      </c>
      <c r="H71" s="6">
        <v>125</v>
      </c>
      <c r="I71">
        <v>0</v>
      </c>
      <c r="J71" s="6">
        <v>0</v>
      </c>
      <c r="K71">
        <v>1</v>
      </c>
      <c r="L71" s="6">
        <v>125</v>
      </c>
      <c r="M71" s="6">
        <v>100.15</v>
      </c>
      <c r="N71" s="6">
        <v>24.85</v>
      </c>
      <c r="O71" s="6">
        <v>13.29</v>
      </c>
      <c r="P71" s="6">
        <v>11.56</v>
      </c>
      <c r="Q71" t="s">
        <v>81</v>
      </c>
      <c r="R71" t="s">
        <v>86</v>
      </c>
      <c r="S71" t="s">
        <v>61</v>
      </c>
    </row>
    <row r="72" spans="1:19" x14ac:dyDescent="0.35">
      <c r="A72" t="s">
        <v>171</v>
      </c>
      <c r="B72" s="5">
        <v>45965</v>
      </c>
      <c r="C72" t="s">
        <v>100</v>
      </c>
      <c r="D72" t="s">
        <v>64</v>
      </c>
      <c r="E72">
        <v>2</v>
      </c>
      <c r="F72" s="6">
        <v>310</v>
      </c>
      <c r="G72" s="7">
        <v>2</v>
      </c>
      <c r="H72" s="6">
        <v>607.6</v>
      </c>
      <c r="I72">
        <v>0</v>
      </c>
      <c r="J72" s="6">
        <v>0</v>
      </c>
      <c r="K72">
        <v>2</v>
      </c>
      <c r="L72" s="6">
        <v>607.6</v>
      </c>
      <c r="M72" s="6">
        <v>433.91</v>
      </c>
      <c r="N72" s="6">
        <v>173.69</v>
      </c>
      <c r="O72" s="6">
        <v>74.33</v>
      </c>
      <c r="P72" s="6">
        <v>99.36</v>
      </c>
      <c r="Q72" t="s">
        <v>75</v>
      </c>
      <c r="R72" t="s">
        <v>82</v>
      </c>
      <c r="S72" t="s">
        <v>67</v>
      </c>
    </row>
    <row r="73" spans="1:19" x14ac:dyDescent="0.35">
      <c r="A73" t="s">
        <v>172</v>
      </c>
      <c r="B73" s="5">
        <v>45841</v>
      </c>
      <c r="C73" t="s">
        <v>73</v>
      </c>
      <c r="D73" t="s">
        <v>74</v>
      </c>
      <c r="E73">
        <v>2</v>
      </c>
      <c r="F73" s="6">
        <v>280</v>
      </c>
      <c r="G73" s="7">
        <v>2</v>
      </c>
      <c r="H73" s="6">
        <v>548.79999999999995</v>
      </c>
      <c r="I73">
        <v>0</v>
      </c>
      <c r="J73" s="6">
        <v>0</v>
      </c>
      <c r="K73">
        <v>2</v>
      </c>
      <c r="L73" s="6">
        <v>548.79999999999995</v>
      </c>
      <c r="M73" s="6">
        <v>453.84</v>
      </c>
      <c r="N73" s="6">
        <v>94.96</v>
      </c>
      <c r="O73" s="6">
        <v>33.9</v>
      </c>
      <c r="P73" s="6">
        <v>61.06</v>
      </c>
      <c r="Q73" t="s">
        <v>75</v>
      </c>
      <c r="R73" t="s">
        <v>82</v>
      </c>
      <c r="S73" t="s">
        <v>67</v>
      </c>
    </row>
    <row r="74" spans="1:19" x14ac:dyDescent="0.35">
      <c r="A74" t="s">
        <v>173</v>
      </c>
      <c r="B74" s="5">
        <v>45897</v>
      </c>
      <c r="C74" t="s">
        <v>104</v>
      </c>
      <c r="D74" t="s">
        <v>105</v>
      </c>
      <c r="E74">
        <v>3</v>
      </c>
      <c r="F74" s="6">
        <v>65</v>
      </c>
      <c r="G74" s="7">
        <v>15</v>
      </c>
      <c r="H74" s="6">
        <v>165.75</v>
      </c>
      <c r="I74">
        <v>0</v>
      </c>
      <c r="J74" s="6">
        <v>0</v>
      </c>
      <c r="K74">
        <v>3</v>
      </c>
      <c r="L74" s="6">
        <v>165.75</v>
      </c>
      <c r="M74" s="6">
        <v>122.36</v>
      </c>
      <c r="N74" s="6">
        <v>43.39</v>
      </c>
      <c r="O74" s="6">
        <v>16.690000000000001</v>
      </c>
      <c r="P74" s="6">
        <v>26.7</v>
      </c>
      <c r="Q74" t="s">
        <v>59</v>
      </c>
      <c r="R74" t="s">
        <v>60</v>
      </c>
      <c r="S74" t="s">
        <v>76</v>
      </c>
    </row>
    <row r="75" spans="1:19" x14ac:dyDescent="0.35">
      <c r="A75" t="s">
        <v>174</v>
      </c>
      <c r="B75" s="5">
        <v>45852</v>
      </c>
      <c r="C75" t="s">
        <v>117</v>
      </c>
      <c r="D75" t="s">
        <v>74</v>
      </c>
      <c r="E75">
        <v>1</v>
      </c>
      <c r="F75" s="6">
        <v>95</v>
      </c>
      <c r="G75" s="7">
        <v>0</v>
      </c>
      <c r="H75" s="6">
        <v>95</v>
      </c>
      <c r="I75">
        <v>0</v>
      </c>
      <c r="J75" s="6">
        <v>0</v>
      </c>
      <c r="K75">
        <v>1</v>
      </c>
      <c r="L75" s="6">
        <v>95</v>
      </c>
      <c r="M75" s="6">
        <v>73.510000000000005</v>
      </c>
      <c r="N75" s="6">
        <v>21.49</v>
      </c>
      <c r="O75" s="6">
        <v>7.38</v>
      </c>
      <c r="P75" s="6">
        <v>14.11</v>
      </c>
      <c r="Q75" t="s">
        <v>65</v>
      </c>
      <c r="R75" t="s">
        <v>60</v>
      </c>
      <c r="S75" t="s">
        <v>76</v>
      </c>
    </row>
    <row r="76" spans="1:19" x14ac:dyDescent="0.35">
      <c r="A76" t="s">
        <v>175</v>
      </c>
      <c r="B76" s="5">
        <v>45679</v>
      </c>
      <c r="C76" t="s">
        <v>78</v>
      </c>
      <c r="D76" t="s">
        <v>79</v>
      </c>
      <c r="E76">
        <v>3</v>
      </c>
      <c r="F76" s="6">
        <v>120</v>
      </c>
      <c r="G76" s="7">
        <v>0</v>
      </c>
      <c r="H76" s="6">
        <v>360</v>
      </c>
      <c r="I76">
        <v>0</v>
      </c>
      <c r="J76" s="6">
        <v>0</v>
      </c>
      <c r="K76">
        <v>3</v>
      </c>
      <c r="L76" s="6">
        <v>360</v>
      </c>
      <c r="M76" s="6">
        <v>294.2</v>
      </c>
      <c r="N76" s="6">
        <v>65.8</v>
      </c>
      <c r="O76" s="6">
        <v>28.01</v>
      </c>
      <c r="P76" s="6">
        <v>37.79</v>
      </c>
      <c r="Q76" t="s">
        <v>75</v>
      </c>
      <c r="R76" t="s">
        <v>176</v>
      </c>
      <c r="S76" t="s">
        <v>67</v>
      </c>
    </row>
    <row r="77" spans="1:19" x14ac:dyDescent="0.35">
      <c r="A77" t="s">
        <v>177</v>
      </c>
      <c r="B77" s="5">
        <v>45730</v>
      </c>
      <c r="C77" t="s">
        <v>125</v>
      </c>
      <c r="D77" t="s">
        <v>85</v>
      </c>
      <c r="E77">
        <v>3</v>
      </c>
      <c r="F77" s="6">
        <v>125</v>
      </c>
      <c r="G77" s="7">
        <v>0</v>
      </c>
      <c r="H77" s="6">
        <v>375</v>
      </c>
      <c r="I77">
        <v>0</v>
      </c>
      <c r="J77" s="6">
        <v>0</v>
      </c>
      <c r="K77">
        <v>3</v>
      </c>
      <c r="L77" s="6">
        <v>375</v>
      </c>
      <c r="M77" s="6">
        <v>265.27999999999997</v>
      </c>
      <c r="N77" s="6">
        <v>109.72</v>
      </c>
      <c r="O77" s="6">
        <v>39.46</v>
      </c>
      <c r="P77" s="6">
        <v>70.260000000000005</v>
      </c>
      <c r="Q77" t="s">
        <v>81</v>
      </c>
      <c r="R77" t="s">
        <v>66</v>
      </c>
      <c r="S77" t="s">
        <v>76</v>
      </c>
    </row>
    <row r="78" spans="1:19" x14ac:dyDescent="0.35">
      <c r="A78" t="s">
        <v>178</v>
      </c>
      <c r="B78" s="5">
        <v>45770</v>
      </c>
      <c r="C78" t="s">
        <v>73</v>
      </c>
      <c r="D78" t="s">
        <v>74</v>
      </c>
      <c r="E78">
        <v>3</v>
      </c>
      <c r="F78" s="6">
        <v>280</v>
      </c>
      <c r="G78" s="7">
        <v>0</v>
      </c>
      <c r="H78" s="6">
        <v>840</v>
      </c>
      <c r="I78">
        <v>3</v>
      </c>
      <c r="J78" s="6">
        <v>840</v>
      </c>
      <c r="K78">
        <v>0</v>
      </c>
      <c r="L78" s="6">
        <v>0</v>
      </c>
      <c r="M78" s="6">
        <v>0</v>
      </c>
      <c r="N78" s="6">
        <v>0</v>
      </c>
      <c r="O78" s="6">
        <v>0</v>
      </c>
      <c r="P78" s="6">
        <v>0</v>
      </c>
      <c r="Q78" t="s">
        <v>59</v>
      </c>
      <c r="R78" t="s">
        <v>66</v>
      </c>
      <c r="S78" t="s">
        <v>61</v>
      </c>
    </row>
    <row r="79" spans="1:19" x14ac:dyDescent="0.35">
      <c r="A79" t="s">
        <v>179</v>
      </c>
      <c r="B79" s="5">
        <v>46022</v>
      </c>
      <c r="C79" t="s">
        <v>73</v>
      </c>
      <c r="D79" t="s">
        <v>74</v>
      </c>
      <c r="E79">
        <v>3</v>
      </c>
      <c r="F79" s="6">
        <v>280</v>
      </c>
      <c r="G79" s="7">
        <v>10</v>
      </c>
      <c r="H79" s="6">
        <v>756</v>
      </c>
      <c r="I79">
        <v>0</v>
      </c>
      <c r="J79" s="6">
        <v>0</v>
      </c>
      <c r="K79">
        <v>3</v>
      </c>
      <c r="L79" s="6">
        <v>756</v>
      </c>
      <c r="M79" s="6">
        <v>511.56</v>
      </c>
      <c r="N79" s="6">
        <v>244.44</v>
      </c>
      <c r="O79" s="6">
        <v>69.930000000000007</v>
      </c>
      <c r="P79" s="6">
        <v>174.51</v>
      </c>
      <c r="Q79" t="s">
        <v>81</v>
      </c>
      <c r="R79" t="s">
        <v>82</v>
      </c>
      <c r="S79" t="s">
        <v>76</v>
      </c>
    </row>
    <row r="80" spans="1:19" x14ac:dyDescent="0.35">
      <c r="A80" t="s">
        <v>180</v>
      </c>
      <c r="B80" s="5">
        <v>45951</v>
      </c>
      <c r="C80" t="s">
        <v>92</v>
      </c>
      <c r="D80" t="s">
        <v>79</v>
      </c>
      <c r="E80">
        <v>4</v>
      </c>
      <c r="F80" s="6">
        <v>85</v>
      </c>
      <c r="G80" s="7">
        <v>10</v>
      </c>
      <c r="H80" s="6">
        <v>306</v>
      </c>
      <c r="I80">
        <v>0</v>
      </c>
      <c r="J80" s="6">
        <v>0</v>
      </c>
      <c r="K80">
        <v>4</v>
      </c>
      <c r="L80" s="6">
        <v>306</v>
      </c>
      <c r="M80" s="6">
        <v>227.3</v>
      </c>
      <c r="N80" s="6">
        <v>78.7</v>
      </c>
      <c r="O80" s="6">
        <v>17.920000000000002</v>
      </c>
      <c r="P80" s="6">
        <v>60.78</v>
      </c>
      <c r="Q80" t="s">
        <v>59</v>
      </c>
      <c r="R80" t="s">
        <v>60</v>
      </c>
      <c r="S80" t="s">
        <v>76</v>
      </c>
    </row>
    <row r="81" spans="1:19" x14ac:dyDescent="0.35">
      <c r="A81" t="s">
        <v>181</v>
      </c>
      <c r="B81" s="5">
        <v>45682</v>
      </c>
      <c r="C81" t="s">
        <v>125</v>
      </c>
      <c r="D81" t="s">
        <v>85</v>
      </c>
      <c r="E81">
        <v>1</v>
      </c>
      <c r="F81" s="6">
        <v>125</v>
      </c>
      <c r="G81" s="7">
        <v>2</v>
      </c>
      <c r="H81" s="6">
        <v>122.5</v>
      </c>
      <c r="I81">
        <v>0</v>
      </c>
      <c r="J81" s="6">
        <v>0</v>
      </c>
      <c r="K81">
        <v>1</v>
      </c>
      <c r="L81" s="6">
        <v>122.5</v>
      </c>
      <c r="M81" s="6">
        <v>100.67</v>
      </c>
      <c r="N81" s="6">
        <v>21.83</v>
      </c>
      <c r="O81" s="6">
        <v>11.37</v>
      </c>
      <c r="P81" s="6">
        <v>10.46</v>
      </c>
      <c r="Q81" t="s">
        <v>75</v>
      </c>
      <c r="R81" t="s">
        <v>66</v>
      </c>
      <c r="S81" t="s">
        <v>61</v>
      </c>
    </row>
    <row r="82" spans="1:19" x14ac:dyDescent="0.35">
      <c r="A82" t="s">
        <v>182</v>
      </c>
      <c r="B82" s="5">
        <v>45768</v>
      </c>
      <c r="C82" t="s">
        <v>63</v>
      </c>
      <c r="D82" t="s">
        <v>64</v>
      </c>
      <c r="E82">
        <v>2</v>
      </c>
      <c r="F82" s="6">
        <v>145</v>
      </c>
      <c r="G82" s="7">
        <v>2</v>
      </c>
      <c r="H82" s="6">
        <v>284.2</v>
      </c>
      <c r="I82">
        <v>0</v>
      </c>
      <c r="J82" s="6">
        <v>0</v>
      </c>
      <c r="K82">
        <v>2</v>
      </c>
      <c r="L82" s="6">
        <v>284.2</v>
      </c>
      <c r="M82" s="6">
        <v>208.92</v>
      </c>
      <c r="N82" s="6">
        <v>75.28</v>
      </c>
      <c r="O82" s="6">
        <v>30.96</v>
      </c>
      <c r="P82" s="6">
        <v>44.32</v>
      </c>
      <c r="Q82" t="s">
        <v>65</v>
      </c>
      <c r="S82" t="s">
        <v>67</v>
      </c>
    </row>
    <row r="83" spans="1:19" x14ac:dyDescent="0.35">
      <c r="A83" t="s">
        <v>183</v>
      </c>
      <c r="B83" s="5">
        <v>45972</v>
      </c>
      <c r="C83" t="s">
        <v>69</v>
      </c>
      <c r="D83" t="s">
        <v>70</v>
      </c>
      <c r="E83">
        <v>1</v>
      </c>
      <c r="F83" s="6">
        <v>210</v>
      </c>
      <c r="G83" s="7">
        <v>0</v>
      </c>
      <c r="H83" s="6">
        <v>210</v>
      </c>
      <c r="I83">
        <v>0</v>
      </c>
      <c r="J83" s="6">
        <v>0</v>
      </c>
      <c r="K83">
        <v>1</v>
      </c>
      <c r="L83" s="6">
        <v>210</v>
      </c>
      <c r="M83" s="6">
        <v>148.5</v>
      </c>
      <c r="N83" s="6">
        <v>61.5</v>
      </c>
      <c r="O83" s="6">
        <v>20.09</v>
      </c>
      <c r="P83" s="6">
        <v>41.41</v>
      </c>
      <c r="Q83" t="s">
        <v>75</v>
      </c>
      <c r="R83" t="s">
        <v>82</v>
      </c>
      <c r="S83" t="s">
        <v>67</v>
      </c>
    </row>
    <row r="84" spans="1:19" x14ac:dyDescent="0.35">
      <c r="A84" t="s">
        <v>184</v>
      </c>
      <c r="B84" s="5">
        <v>45975</v>
      </c>
      <c r="C84" t="s">
        <v>165</v>
      </c>
      <c r="D84" t="s">
        <v>64</v>
      </c>
      <c r="E84">
        <v>1</v>
      </c>
      <c r="F84" s="6">
        <v>420</v>
      </c>
      <c r="G84" s="7">
        <v>0</v>
      </c>
      <c r="H84" s="6">
        <v>420</v>
      </c>
      <c r="I84">
        <v>0</v>
      </c>
      <c r="J84" s="6">
        <v>0</v>
      </c>
      <c r="K84">
        <v>1</v>
      </c>
      <c r="L84" s="6">
        <v>420</v>
      </c>
      <c r="M84" s="6">
        <v>297.23</v>
      </c>
      <c r="N84" s="6">
        <v>122.77</v>
      </c>
      <c r="O84" s="6">
        <v>49.59</v>
      </c>
      <c r="P84" s="6">
        <v>73.180000000000007</v>
      </c>
      <c r="Q84" t="s">
        <v>81</v>
      </c>
      <c r="R84" t="s">
        <v>60</v>
      </c>
      <c r="S84" t="s">
        <v>61</v>
      </c>
    </row>
    <row r="85" spans="1:19" x14ac:dyDescent="0.35">
      <c r="A85" t="s">
        <v>185</v>
      </c>
      <c r="B85" s="5">
        <v>45979</v>
      </c>
      <c r="C85" t="s">
        <v>97</v>
      </c>
      <c r="D85" t="s">
        <v>57</v>
      </c>
      <c r="E85">
        <v>1</v>
      </c>
      <c r="F85" s="6">
        <v>55</v>
      </c>
      <c r="G85" s="7">
        <v>0</v>
      </c>
      <c r="H85" s="6">
        <v>55</v>
      </c>
      <c r="I85">
        <v>0</v>
      </c>
      <c r="J85" s="6">
        <v>0</v>
      </c>
      <c r="K85">
        <v>1</v>
      </c>
      <c r="L85" s="6">
        <v>55</v>
      </c>
      <c r="M85" s="6">
        <v>39.520000000000003</v>
      </c>
      <c r="N85" s="6">
        <v>15.48</v>
      </c>
      <c r="O85" s="6">
        <v>3.24</v>
      </c>
      <c r="P85" s="6">
        <v>12.24</v>
      </c>
      <c r="Q85" t="s">
        <v>65</v>
      </c>
      <c r="R85" t="s">
        <v>86</v>
      </c>
      <c r="S85" t="s">
        <v>76</v>
      </c>
    </row>
    <row r="86" spans="1:19" x14ac:dyDescent="0.35">
      <c r="A86" t="s">
        <v>186</v>
      </c>
      <c r="B86" s="5">
        <v>45851</v>
      </c>
      <c r="C86" t="s">
        <v>63</v>
      </c>
      <c r="D86" t="s">
        <v>64</v>
      </c>
      <c r="E86">
        <v>1</v>
      </c>
      <c r="F86" s="6">
        <v>145</v>
      </c>
      <c r="G86" s="7">
        <v>15</v>
      </c>
      <c r="H86" s="6">
        <v>123.25</v>
      </c>
      <c r="I86">
        <v>0</v>
      </c>
      <c r="J86" s="6">
        <v>0</v>
      </c>
      <c r="K86">
        <v>1</v>
      </c>
      <c r="L86" s="6">
        <v>123.25</v>
      </c>
      <c r="M86" s="6">
        <v>90.93</v>
      </c>
      <c r="N86" s="6">
        <v>32.32</v>
      </c>
      <c r="O86" s="6">
        <v>14.26</v>
      </c>
      <c r="P86" s="6">
        <v>18.059999999999999</v>
      </c>
      <c r="Q86" t="s">
        <v>59</v>
      </c>
      <c r="R86" t="s">
        <v>60</v>
      </c>
      <c r="S86" t="s">
        <v>61</v>
      </c>
    </row>
    <row r="87" spans="1:19" x14ac:dyDescent="0.35">
      <c r="A87" t="s">
        <v>187</v>
      </c>
      <c r="B87" s="5">
        <v>45677</v>
      </c>
      <c r="C87" t="s">
        <v>92</v>
      </c>
      <c r="D87" t="s">
        <v>79</v>
      </c>
      <c r="E87">
        <v>5</v>
      </c>
      <c r="F87" s="6">
        <v>85</v>
      </c>
      <c r="G87" s="7">
        <v>0</v>
      </c>
      <c r="H87" s="6">
        <v>425</v>
      </c>
      <c r="I87">
        <v>0</v>
      </c>
      <c r="J87" s="6">
        <v>0</v>
      </c>
      <c r="K87">
        <v>5</v>
      </c>
      <c r="L87" s="6">
        <v>425</v>
      </c>
      <c r="M87" s="6">
        <v>362.24</v>
      </c>
      <c r="N87" s="6">
        <v>62.76</v>
      </c>
      <c r="O87" s="6">
        <v>28.03</v>
      </c>
      <c r="P87" s="6">
        <v>34.729999999999997</v>
      </c>
      <c r="Q87" t="s">
        <v>75</v>
      </c>
      <c r="R87" t="s">
        <v>86</v>
      </c>
      <c r="S87" t="s">
        <v>76</v>
      </c>
    </row>
    <row r="88" spans="1:19" x14ac:dyDescent="0.35">
      <c r="A88" t="s">
        <v>188</v>
      </c>
      <c r="B88" s="5">
        <v>45916</v>
      </c>
      <c r="C88" t="s">
        <v>114</v>
      </c>
      <c r="D88" t="s">
        <v>64</v>
      </c>
      <c r="E88">
        <v>3</v>
      </c>
      <c r="F88" s="6">
        <v>420</v>
      </c>
      <c r="G88" s="7">
        <v>0</v>
      </c>
      <c r="H88" s="6">
        <v>1260</v>
      </c>
      <c r="I88">
        <v>0</v>
      </c>
      <c r="J88" s="6">
        <v>0</v>
      </c>
      <c r="K88">
        <v>3</v>
      </c>
      <c r="L88" s="6">
        <v>1260</v>
      </c>
      <c r="M88" s="6">
        <v>956.97</v>
      </c>
      <c r="N88" s="6">
        <v>303.02999999999997</v>
      </c>
      <c r="O88" s="6">
        <v>111.5</v>
      </c>
      <c r="P88" s="6">
        <v>191.53</v>
      </c>
      <c r="Q88" t="s">
        <v>75</v>
      </c>
      <c r="R88" t="s">
        <v>82</v>
      </c>
      <c r="S88" t="s">
        <v>71</v>
      </c>
    </row>
    <row r="89" spans="1:19" x14ac:dyDescent="0.35">
      <c r="A89" t="s">
        <v>189</v>
      </c>
      <c r="B89" s="5">
        <v>45976</v>
      </c>
      <c r="C89" t="s">
        <v>84</v>
      </c>
      <c r="D89" t="s">
        <v>85</v>
      </c>
      <c r="E89">
        <v>3</v>
      </c>
      <c r="F89" s="6">
        <v>48</v>
      </c>
      <c r="G89" s="7">
        <v>0</v>
      </c>
      <c r="H89" s="6">
        <v>144</v>
      </c>
      <c r="I89">
        <v>0</v>
      </c>
      <c r="J89" s="6">
        <v>0</v>
      </c>
      <c r="K89">
        <v>3</v>
      </c>
      <c r="L89" s="6">
        <v>144</v>
      </c>
      <c r="M89" s="6">
        <v>96.25</v>
      </c>
      <c r="N89" s="6">
        <v>47.75</v>
      </c>
      <c r="O89" s="6">
        <v>8.2100000000000009</v>
      </c>
      <c r="P89" s="6">
        <v>39.54</v>
      </c>
      <c r="Q89" t="s">
        <v>75</v>
      </c>
      <c r="R89" t="s">
        <v>66</v>
      </c>
      <c r="S89" t="s">
        <v>67</v>
      </c>
    </row>
    <row r="90" spans="1:19" x14ac:dyDescent="0.35">
      <c r="A90" t="s">
        <v>190</v>
      </c>
      <c r="B90" s="5">
        <v>45975</v>
      </c>
      <c r="C90" t="s">
        <v>97</v>
      </c>
      <c r="D90" t="s">
        <v>57</v>
      </c>
      <c r="E90">
        <v>3</v>
      </c>
      <c r="F90" s="6">
        <v>55</v>
      </c>
      <c r="G90" s="7">
        <v>0</v>
      </c>
      <c r="H90" s="6">
        <v>165</v>
      </c>
      <c r="I90">
        <v>0</v>
      </c>
      <c r="J90" s="6">
        <v>0</v>
      </c>
      <c r="K90">
        <v>3</v>
      </c>
      <c r="L90" s="6">
        <v>165</v>
      </c>
      <c r="M90" s="6">
        <v>118.61</v>
      </c>
      <c r="N90" s="6">
        <v>46.39</v>
      </c>
      <c r="O90" s="6">
        <v>20.52</v>
      </c>
      <c r="P90" s="6">
        <v>25.87</v>
      </c>
      <c r="Q90" t="s">
        <v>65</v>
      </c>
      <c r="R90" t="s">
        <v>86</v>
      </c>
      <c r="S90" t="s">
        <v>71</v>
      </c>
    </row>
    <row r="91" spans="1:19" x14ac:dyDescent="0.35">
      <c r="A91" t="s">
        <v>191</v>
      </c>
      <c r="B91" s="5">
        <v>45977</v>
      </c>
      <c r="C91" t="s">
        <v>121</v>
      </c>
      <c r="D91" t="s">
        <v>70</v>
      </c>
      <c r="E91">
        <v>8</v>
      </c>
      <c r="F91" s="6">
        <v>110</v>
      </c>
      <c r="G91" s="7">
        <v>15</v>
      </c>
      <c r="H91" s="6">
        <v>748</v>
      </c>
      <c r="I91">
        <v>0</v>
      </c>
      <c r="J91" s="6">
        <v>0</v>
      </c>
      <c r="K91">
        <v>8</v>
      </c>
      <c r="L91" s="6">
        <v>748</v>
      </c>
      <c r="M91" s="6">
        <v>500.56</v>
      </c>
      <c r="N91" s="6">
        <v>247.44</v>
      </c>
      <c r="O91" s="6">
        <v>92.84</v>
      </c>
      <c r="P91" s="6">
        <v>154.6</v>
      </c>
      <c r="Q91" t="s">
        <v>81</v>
      </c>
      <c r="R91" t="s">
        <v>86</v>
      </c>
      <c r="S91" t="s">
        <v>61</v>
      </c>
    </row>
    <row r="92" spans="1:19" x14ac:dyDescent="0.35">
      <c r="A92" t="s">
        <v>192</v>
      </c>
      <c r="B92" s="5">
        <v>45996</v>
      </c>
      <c r="C92" t="s">
        <v>88</v>
      </c>
      <c r="D92" t="s">
        <v>57</v>
      </c>
      <c r="E92">
        <v>5</v>
      </c>
      <c r="F92" s="6">
        <v>30</v>
      </c>
      <c r="G92" s="7">
        <v>5</v>
      </c>
      <c r="H92" s="6">
        <v>142.5</v>
      </c>
      <c r="I92">
        <v>0</v>
      </c>
      <c r="J92" s="6">
        <v>0</v>
      </c>
      <c r="K92">
        <v>5</v>
      </c>
      <c r="L92" s="6">
        <v>142.5</v>
      </c>
      <c r="M92" s="6">
        <v>115.69</v>
      </c>
      <c r="N92" s="6">
        <v>26.81</v>
      </c>
      <c r="O92" s="6">
        <v>9.25</v>
      </c>
      <c r="P92" s="6">
        <v>17.559999999999999</v>
      </c>
      <c r="Q92" t="s">
        <v>59</v>
      </c>
      <c r="R92" t="s">
        <v>82</v>
      </c>
      <c r="S92" t="s">
        <v>71</v>
      </c>
    </row>
    <row r="93" spans="1:19" x14ac:dyDescent="0.35">
      <c r="A93" t="s">
        <v>193</v>
      </c>
      <c r="B93" s="5">
        <v>45945</v>
      </c>
      <c r="C93" t="s">
        <v>63</v>
      </c>
      <c r="D93" t="s">
        <v>64</v>
      </c>
      <c r="E93">
        <v>2</v>
      </c>
      <c r="F93" s="6">
        <v>145</v>
      </c>
      <c r="G93" s="7">
        <v>2</v>
      </c>
      <c r="H93" s="6">
        <v>284.2</v>
      </c>
      <c r="I93">
        <v>0</v>
      </c>
      <c r="J93" s="6">
        <v>0</v>
      </c>
      <c r="K93">
        <v>2</v>
      </c>
      <c r="L93" s="6">
        <v>284.2</v>
      </c>
      <c r="M93" s="6">
        <v>222.79</v>
      </c>
      <c r="N93" s="6">
        <v>61.41</v>
      </c>
      <c r="O93" s="6">
        <v>30.44</v>
      </c>
      <c r="P93" s="6">
        <v>30.97</v>
      </c>
      <c r="Q93" t="s">
        <v>59</v>
      </c>
      <c r="R93" t="s">
        <v>66</v>
      </c>
      <c r="S93" t="s">
        <v>71</v>
      </c>
    </row>
    <row r="94" spans="1:19" x14ac:dyDescent="0.35">
      <c r="A94" t="s">
        <v>194</v>
      </c>
      <c r="B94" s="5">
        <v>45966</v>
      </c>
      <c r="C94" t="s">
        <v>114</v>
      </c>
      <c r="D94" t="s">
        <v>64</v>
      </c>
      <c r="E94">
        <v>4</v>
      </c>
      <c r="F94" s="6">
        <v>420</v>
      </c>
      <c r="G94" s="7">
        <v>0</v>
      </c>
      <c r="H94" s="6">
        <v>1680</v>
      </c>
      <c r="I94">
        <v>0</v>
      </c>
      <c r="J94" s="6">
        <v>0</v>
      </c>
      <c r="K94">
        <v>4</v>
      </c>
      <c r="L94" s="6">
        <v>1680</v>
      </c>
      <c r="M94" s="6">
        <v>1135.23</v>
      </c>
      <c r="N94" s="6">
        <v>544.77</v>
      </c>
      <c r="O94" s="6">
        <v>135.59</v>
      </c>
      <c r="P94" s="6">
        <v>409.18</v>
      </c>
      <c r="Q94" t="s">
        <v>65</v>
      </c>
      <c r="R94" t="s">
        <v>86</v>
      </c>
      <c r="S94" t="s">
        <v>76</v>
      </c>
    </row>
    <row r="95" spans="1:19" x14ac:dyDescent="0.35">
      <c r="A95" t="s">
        <v>195</v>
      </c>
      <c r="B95" s="5">
        <v>45672</v>
      </c>
      <c r="C95" t="s">
        <v>56</v>
      </c>
      <c r="D95" t="s">
        <v>57</v>
      </c>
      <c r="E95">
        <v>1</v>
      </c>
      <c r="F95" s="6">
        <v>40</v>
      </c>
      <c r="G95" s="7">
        <v>10</v>
      </c>
      <c r="H95" s="6">
        <v>36</v>
      </c>
      <c r="I95">
        <v>0</v>
      </c>
      <c r="J95" s="6">
        <v>0</v>
      </c>
      <c r="K95">
        <v>1</v>
      </c>
      <c r="L95" s="6">
        <v>36</v>
      </c>
      <c r="M95" s="6">
        <v>27.74</v>
      </c>
      <c r="N95" s="6">
        <v>8.26</v>
      </c>
      <c r="O95" s="6">
        <v>2.2000000000000002</v>
      </c>
      <c r="P95" s="6">
        <v>6.06</v>
      </c>
      <c r="Q95" t="s">
        <v>59</v>
      </c>
      <c r="R95" t="s">
        <v>66</v>
      </c>
      <c r="S95" t="s">
        <v>67</v>
      </c>
    </row>
    <row r="96" spans="1:19" x14ac:dyDescent="0.35">
      <c r="A96" t="s">
        <v>196</v>
      </c>
      <c r="B96" s="5">
        <v>45946</v>
      </c>
      <c r="C96" t="s">
        <v>104</v>
      </c>
      <c r="D96" t="s">
        <v>105</v>
      </c>
      <c r="E96">
        <v>4</v>
      </c>
      <c r="F96" s="6">
        <v>65</v>
      </c>
      <c r="G96" s="7">
        <v>2</v>
      </c>
      <c r="H96" s="6">
        <v>254.8</v>
      </c>
      <c r="I96">
        <v>0</v>
      </c>
      <c r="J96" s="6">
        <v>0</v>
      </c>
      <c r="K96">
        <v>4</v>
      </c>
      <c r="L96" s="6">
        <v>254.8</v>
      </c>
      <c r="M96" s="6">
        <v>218.99</v>
      </c>
      <c r="N96" s="6">
        <v>35.81</v>
      </c>
      <c r="O96" s="6">
        <v>27.15</v>
      </c>
      <c r="P96" s="6">
        <v>8.66</v>
      </c>
      <c r="Q96" t="s">
        <v>81</v>
      </c>
      <c r="R96" t="s">
        <v>86</v>
      </c>
      <c r="S96" t="s">
        <v>71</v>
      </c>
    </row>
    <row r="97" spans="1:19" x14ac:dyDescent="0.35">
      <c r="A97" t="s">
        <v>197</v>
      </c>
      <c r="B97" s="5">
        <v>45885</v>
      </c>
      <c r="C97" t="s">
        <v>100</v>
      </c>
      <c r="D97" t="s">
        <v>64</v>
      </c>
      <c r="E97">
        <v>5</v>
      </c>
      <c r="F97" s="6">
        <v>310</v>
      </c>
      <c r="G97" s="7">
        <v>10</v>
      </c>
      <c r="H97" s="6">
        <v>1395</v>
      </c>
      <c r="I97">
        <v>0</v>
      </c>
      <c r="J97" s="6">
        <v>0</v>
      </c>
      <c r="K97">
        <v>5</v>
      </c>
      <c r="L97" s="6">
        <v>1395</v>
      </c>
      <c r="M97" s="6">
        <v>979.43</v>
      </c>
      <c r="N97" s="6">
        <v>415.57</v>
      </c>
      <c r="O97" s="6">
        <v>82.1</v>
      </c>
      <c r="P97" s="6">
        <v>333.47</v>
      </c>
      <c r="Q97" t="s">
        <v>75</v>
      </c>
      <c r="R97" t="s">
        <v>86</v>
      </c>
      <c r="S97" t="s">
        <v>61</v>
      </c>
    </row>
    <row r="98" spans="1:19" x14ac:dyDescent="0.35">
      <c r="A98" t="s">
        <v>198</v>
      </c>
      <c r="B98" s="5">
        <v>45752</v>
      </c>
      <c r="C98" t="s">
        <v>73</v>
      </c>
      <c r="D98" t="s">
        <v>74</v>
      </c>
      <c r="E98">
        <v>5</v>
      </c>
      <c r="F98" s="6">
        <v>280</v>
      </c>
      <c r="G98" s="7">
        <v>0</v>
      </c>
      <c r="H98" s="6">
        <v>1400</v>
      </c>
      <c r="I98">
        <v>0</v>
      </c>
      <c r="J98" s="6">
        <v>0</v>
      </c>
      <c r="K98">
        <v>5</v>
      </c>
      <c r="L98" s="6">
        <v>1400</v>
      </c>
      <c r="M98" s="6">
        <v>945.03</v>
      </c>
      <c r="N98" s="6">
        <v>454.97</v>
      </c>
      <c r="O98" s="6">
        <v>150.63999999999999</v>
      </c>
      <c r="P98" s="6">
        <v>304.33</v>
      </c>
      <c r="Q98" t="s">
        <v>59</v>
      </c>
      <c r="R98" t="s">
        <v>199</v>
      </c>
      <c r="S98" t="s">
        <v>61</v>
      </c>
    </row>
    <row r="99" spans="1:19" x14ac:dyDescent="0.35">
      <c r="A99" t="s">
        <v>200</v>
      </c>
      <c r="B99" s="5">
        <v>45791</v>
      </c>
      <c r="C99" t="s">
        <v>63</v>
      </c>
      <c r="D99" t="s">
        <v>64</v>
      </c>
      <c r="E99">
        <v>4</v>
      </c>
      <c r="F99" s="6">
        <v>145</v>
      </c>
      <c r="G99" s="7">
        <v>2</v>
      </c>
      <c r="H99" s="6">
        <v>568.4</v>
      </c>
      <c r="I99">
        <v>0</v>
      </c>
      <c r="J99" s="6">
        <v>0</v>
      </c>
      <c r="K99">
        <v>4</v>
      </c>
      <c r="L99" s="6">
        <v>568.4</v>
      </c>
      <c r="M99" s="6">
        <v>465.2</v>
      </c>
      <c r="N99" s="6">
        <v>103.2</v>
      </c>
      <c r="O99" s="6">
        <v>44</v>
      </c>
      <c r="P99" s="6">
        <v>59.2</v>
      </c>
      <c r="Q99" t="s">
        <v>65</v>
      </c>
      <c r="R99" t="s">
        <v>60</v>
      </c>
      <c r="S99" t="s">
        <v>76</v>
      </c>
    </row>
    <row r="100" spans="1:19" x14ac:dyDescent="0.35">
      <c r="A100" t="s">
        <v>201</v>
      </c>
      <c r="B100" s="5">
        <v>45761</v>
      </c>
      <c r="C100" t="s">
        <v>121</v>
      </c>
      <c r="D100" t="s">
        <v>70</v>
      </c>
      <c r="E100">
        <v>3</v>
      </c>
      <c r="F100" s="6">
        <v>110</v>
      </c>
      <c r="G100" s="7">
        <v>10</v>
      </c>
      <c r="H100" s="6">
        <v>297</v>
      </c>
      <c r="I100">
        <v>0</v>
      </c>
      <c r="J100" s="6">
        <v>0</v>
      </c>
      <c r="K100">
        <v>3</v>
      </c>
      <c r="L100" s="6">
        <v>297</v>
      </c>
      <c r="M100" s="6">
        <v>194.06</v>
      </c>
      <c r="N100" s="6">
        <v>102.94</v>
      </c>
      <c r="O100" s="6">
        <v>20.93</v>
      </c>
      <c r="P100" s="6">
        <v>82.01</v>
      </c>
      <c r="Q100" t="s">
        <v>65</v>
      </c>
      <c r="R100" t="s">
        <v>60</v>
      </c>
      <c r="S100" t="s">
        <v>61</v>
      </c>
    </row>
    <row r="101" spans="1:19" x14ac:dyDescent="0.35">
      <c r="A101" t="s">
        <v>202</v>
      </c>
      <c r="B101" s="5">
        <v>45749</v>
      </c>
      <c r="C101" t="s">
        <v>69</v>
      </c>
      <c r="D101" t="s">
        <v>70</v>
      </c>
      <c r="E101">
        <v>3</v>
      </c>
      <c r="F101" s="6">
        <v>210</v>
      </c>
      <c r="G101" s="7">
        <v>2</v>
      </c>
      <c r="H101" s="6">
        <v>617.4</v>
      </c>
      <c r="I101">
        <v>0</v>
      </c>
      <c r="J101" s="6">
        <v>0</v>
      </c>
      <c r="K101">
        <v>3</v>
      </c>
      <c r="L101" s="6">
        <v>617.4</v>
      </c>
      <c r="M101" s="6">
        <v>519.48</v>
      </c>
      <c r="N101" s="6">
        <v>97.92</v>
      </c>
      <c r="O101" s="6">
        <v>38.4</v>
      </c>
      <c r="P101" s="6">
        <v>59.52</v>
      </c>
      <c r="Q101" t="s">
        <v>59</v>
      </c>
      <c r="R101" t="s">
        <v>82</v>
      </c>
      <c r="S101" t="s">
        <v>67</v>
      </c>
    </row>
    <row r="102" spans="1:19" x14ac:dyDescent="0.35">
      <c r="A102" t="s">
        <v>203</v>
      </c>
      <c r="B102" s="5">
        <v>46003</v>
      </c>
      <c r="C102" t="s">
        <v>92</v>
      </c>
      <c r="D102" t="s">
        <v>79</v>
      </c>
      <c r="E102">
        <v>4</v>
      </c>
      <c r="F102" s="6">
        <v>85</v>
      </c>
      <c r="G102" s="7">
        <v>10</v>
      </c>
      <c r="H102" s="6">
        <v>306</v>
      </c>
      <c r="I102">
        <v>0</v>
      </c>
      <c r="J102" s="6">
        <v>0</v>
      </c>
      <c r="K102">
        <v>4</v>
      </c>
      <c r="L102" s="6">
        <v>306</v>
      </c>
      <c r="M102" s="6">
        <v>257.69</v>
      </c>
      <c r="N102" s="6">
        <v>48.31</v>
      </c>
      <c r="O102" s="6">
        <v>18.07</v>
      </c>
      <c r="P102" s="6">
        <v>30.24</v>
      </c>
      <c r="Q102" t="s">
        <v>81</v>
      </c>
      <c r="R102" t="s">
        <v>86</v>
      </c>
      <c r="S102" t="s">
        <v>71</v>
      </c>
    </row>
    <row r="103" spans="1:19" x14ac:dyDescent="0.35">
      <c r="A103" t="s">
        <v>204</v>
      </c>
      <c r="B103" s="5">
        <v>45794</v>
      </c>
      <c r="C103" t="s">
        <v>114</v>
      </c>
      <c r="D103" t="s">
        <v>64</v>
      </c>
      <c r="E103">
        <v>6</v>
      </c>
      <c r="F103" s="6">
        <v>420</v>
      </c>
      <c r="G103" s="7">
        <v>0</v>
      </c>
      <c r="H103" s="6">
        <v>2520</v>
      </c>
      <c r="I103">
        <v>0</v>
      </c>
      <c r="J103" s="6">
        <v>0</v>
      </c>
      <c r="K103">
        <v>6</v>
      </c>
      <c r="L103" s="6">
        <v>2520</v>
      </c>
      <c r="M103" s="6">
        <v>1920</v>
      </c>
      <c r="N103" s="6">
        <v>600</v>
      </c>
      <c r="O103" s="6">
        <v>137.04</v>
      </c>
      <c r="P103" s="6">
        <v>462.96</v>
      </c>
      <c r="Q103" t="s">
        <v>81</v>
      </c>
      <c r="R103" t="s">
        <v>86</v>
      </c>
      <c r="S103" t="s">
        <v>67</v>
      </c>
    </row>
    <row r="104" spans="1:19" x14ac:dyDescent="0.35">
      <c r="A104" t="s">
        <v>205</v>
      </c>
      <c r="B104" s="5">
        <v>46004</v>
      </c>
      <c r="C104" t="s">
        <v>97</v>
      </c>
      <c r="D104" t="s">
        <v>57</v>
      </c>
      <c r="E104">
        <v>1</v>
      </c>
      <c r="F104" s="6">
        <v>55</v>
      </c>
      <c r="G104" s="7">
        <v>0</v>
      </c>
      <c r="H104" s="6">
        <v>55</v>
      </c>
      <c r="I104">
        <v>0</v>
      </c>
      <c r="J104" s="6">
        <v>0</v>
      </c>
      <c r="K104">
        <v>1</v>
      </c>
      <c r="L104" s="6">
        <v>55</v>
      </c>
      <c r="M104" s="6">
        <v>45.5</v>
      </c>
      <c r="N104" s="6">
        <v>9.5</v>
      </c>
      <c r="O104" s="6">
        <v>4.8</v>
      </c>
      <c r="P104" s="6">
        <v>4.7</v>
      </c>
      <c r="Q104" t="s">
        <v>75</v>
      </c>
      <c r="R104" t="s">
        <v>86</v>
      </c>
      <c r="S104" t="s">
        <v>76</v>
      </c>
    </row>
    <row r="105" spans="1:19" x14ac:dyDescent="0.35">
      <c r="A105" t="s">
        <v>206</v>
      </c>
      <c r="B105" s="5">
        <v>45818</v>
      </c>
      <c r="C105" t="s">
        <v>69</v>
      </c>
      <c r="D105" t="s">
        <v>70</v>
      </c>
      <c r="E105">
        <v>6</v>
      </c>
      <c r="F105" s="6">
        <v>210</v>
      </c>
      <c r="G105" s="7">
        <v>0</v>
      </c>
      <c r="H105" s="6">
        <v>1260</v>
      </c>
      <c r="I105">
        <v>0</v>
      </c>
      <c r="J105" s="6">
        <v>0</v>
      </c>
      <c r="K105">
        <v>6</v>
      </c>
      <c r="L105" s="6">
        <v>1260</v>
      </c>
      <c r="M105" s="6">
        <v>955.88</v>
      </c>
      <c r="N105" s="6">
        <v>304.12</v>
      </c>
      <c r="O105" s="6">
        <v>66.42</v>
      </c>
      <c r="P105" s="6">
        <v>237.7</v>
      </c>
      <c r="Q105" t="s">
        <v>75</v>
      </c>
      <c r="R105" t="s">
        <v>66</v>
      </c>
      <c r="S105" t="s">
        <v>76</v>
      </c>
    </row>
    <row r="106" spans="1:19" x14ac:dyDescent="0.35">
      <c r="A106" t="s">
        <v>207</v>
      </c>
      <c r="B106" s="5">
        <v>45834</v>
      </c>
      <c r="C106" t="s">
        <v>208</v>
      </c>
      <c r="D106" t="s">
        <v>85</v>
      </c>
      <c r="E106">
        <v>4</v>
      </c>
      <c r="F106" s="6">
        <v>20</v>
      </c>
      <c r="G106" s="7">
        <v>0</v>
      </c>
      <c r="H106" s="6">
        <v>80</v>
      </c>
      <c r="I106">
        <v>0</v>
      </c>
      <c r="J106" s="6">
        <v>0</v>
      </c>
      <c r="K106">
        <v>4</v>
      </c>
      <c r="L106" s="6">
        <v>80</v>
      </c>
      <c r="M106" s="6">
        <v>62.34</v>
      </c>
      <c r="N106" s="6">
        <v>17.66</v>
      </c>
      <c r="O106" s="6">
        <v>10.15</v>
      </c>
      <c r="P106" s="6">
        <v>7.51</v>
      </c>
      <c r="Q106" t="s">
        <v>65</v>
      </c>
      <c r="R106" t="s">
        <v>82</v>
      </c>
      <c r="S106" t="s">
        <v>71</v>
      </c>
    </row>
    <row r="107" spans="1:19" x14ac:dyDescent="0.35">
      <c r="A107" t="s">
        <v>209</v>
      </c>
      <c r="B107" s="5">
        <v>45868</v>
      </c>
      <c r="C107" t="s">
        <v>88</v>
      </c>
      <c r="D107" t="s">
        <v>57</v>
      </c>
      <c r="E107">
        <v>3</v>
      </c>
      <c r="F107" s="6">
        <v>30</v>
      </c>
      <c r="G107" s="7">
        <v>2</v>
      </c>
      <c r="H107" s="6">
        <v>88.2</v>
      </c>
      <c r="I107">
        <v>0</v>
      </c>
      <c r="J107" s="6">
        <v>0</v>
      </c>
      <c r="K107">
        <v>3</v>
      </c>
      <c r="L107" s="6">
        <v>88.2</v>
      </c>
      <c r="M107" s="6">
        <v>56.1</v>
      </c>
      <c r="N107" s="6">
        <v>32.1</v>
      </c>
      <c r="O107" s="6">
        <v>5.89</v>
      </c>
      <c r="P107" s="6">
        <v>26.21</v>
      </c>
      <c r="Q107" t="s">
        <v>81</v>
      </c>
      <c r="R107" t="s">
        <v>86</v>
      </c>
      <c r="S107" t="s">
        <v>71</v>
      </c>
    </row>
    <row r="108" spans="1:19" x14ac:dyDescent="0.35">
      <c r="A108" t="s">
        <v>210</v>
      </c>
      <c r="B108" s="5">
        <v>45832</v>
      </c>
      <c r="C108" t="s">
        <v>107</v>
      </c>
      <c r="D108" t="s">
        <v>74</v>
      </c>
      <c r="E108">
        <v>1</v>
      </c>
      <c r="F108" s="6">
        <v>125</v>
      </c>
      <c r="G108" s="7">
        <v>0</v>
      </c>
      <c r="H108" s="6">
        <v>125</v>
      </c>
      <c r="I108">
        <v>0</v>
      </c>
      <c r="J108" s="6">
        <v>0</v>
      </c>
      <c r="K108">
        <v>1</v>
      </c>
      <c r="L108" s="6">
        <v>125</v>
      </c>
      <c r="M108" s="6">
        <v>94.45</v>
      </c>
      <c r="N108" s="6">
        <v>30.55</v>
      </c>
      <c r="O108" s="6">
        <v>14.01</v>
      </c>
      <c r="P108" s="6">
        <v>16.54</v>
      </c>
      <c r="Q108" t="s">
        <v>81</v>
      </c>
      <c r="R108" t="s">
        <v>82</v>
      </c>
      <c r="S108" t="s">
        <v>71</v>
      </c>
    </row>
    <row r="109" spans="1:19" x14ac:dyDescent="0.35">
      <c r="A109" t="s">
        <v>211</v>
      </c>
      <c r="B109" s="5">
        <v>46016</v>
      </c>
      <c r="C109" t="s">
        <v>107</v>
      </c>
      <c r="D109" t="s">
        <v>74</v>
      </c>
      <c r="E109">
        <v>2</v>
      </c>
      <c r="F109" s="6">
        <v>125</v>
      </c>
      <c r="G109" s="7">
        <v>2</v>
      </c>
      <c r="H109" s="6">
        <v>245</v>
      </c>
      <c r="I109">
        <v>0</v>
      </c>
      <c r="J109" s="6">
        <v>0</v>
      </c>
      <c r="K109">
        <v>2</v>
      </c>
      <c r="L109" s="6">
        <v>245</v>
      </c>
      <c r="M109" s="6">
        <v>161.03</v>
      </c>
      <c r="N109" s="6">
        <v>83.97</v>
      </c>
      <c r="O109" s="6">
        <v>29.14</v>
      </c>
      <c r="P109" s="6">
        <v>54.83</v>
      </c>
      <c r="Q109" t="s">
        <v>59</v>
      </c>
      <c r="R109" t="s">
        <v>86</v>
      </c>
      <c r="S109" t="s">
        <v>71</v>
      </c>
    </row>
    <row r="110" spans="1:19" x14ac:dyDescent="0.35">
      <c r="A110" t="s">
        <v>212</v>
      </c>
      <c r="B110" s="5">
        <v>46006</v>
      </c>
      <c r="C110" t="s">
        <v>84</v>
      </c>
      <c r="D110" t="s">
        <v>85</v>
      </c>
      <c r="E110">
        <v>6</v>
      </c>
      <c r="F110" s="6">
        <v>48</v>
      </c>
      <c r="G110" s="7">
        <v>0</v>
      </c>
      <c r="H110" s="6">
        <v>288</v>
      </c>
      <c r="I110">
        <v>0</v>
      </c>
      <c r="J110" s="6">
        <v>0</v>
      </c>
      <c r="K110">
        <v>6</v>
      </c>
      <c r="L110" s="6">
        <v>288</v>
      </c>
      <c r="M110" s="6">
        <v>233.91</v>
      </c>
      <c r="N110" s="6">
        <v>54.09</v>
      </c>
      <c r="O110" s="6">
        <v>33.75</v>
      </c>
      <c r="P110" s="6">
        <v>20.34</v>
      </c>
      <c r="Q110" t="s">
        <v>65</v>
      </c>
      <c r="R110" t="s">
        <v>66</v>
      </c>
      <c r="S110" t="s">
        <v>67</v>
      </c>
    </row>
    <row r="111" spans="1:19" x14ac:dyDescent="0.35">
      <c r="A111" t="s">
        <v>213</v>
      </c>
      <c r="B111" s="5">
        <v>45724</v>
      </c>
      <c r="C111" t="s">
        <v>95</v>
      </c>
      <c r="D111" t="s">
        <v>64</v>
      </c>
      <c r="E111">
        <v>2</v>
      </c>
      <c r="F111" s="6">
        <v>52</v>
      </c>
      <c r="G111" s="7">
        <v>2</v>
      </c>
      <c r="H111" s="6">
        <v>101.92</v>
      </c>
      <c r="I111">
        <v>0</v>
      </c>
      <c r="J111" s="6">
        <v>0</v>
      </c>
      <c r="K111">
        <v>2</v>
      </c>
      <c r="L111" s="6">
        <v>101.92</v>
      </c>
      <c r="M111" s="6">
        <v>63.67</v>
      </c>
      <c r="N111" s="6">
        <v>38.25</v>
      </c>
      <c r="O111" s="6">
        <v>11.62</v>
      </c>
      <c r="P111" s="6">
        <v>26.63</v>
      </c>
      <c r="Q111" t="s">
        <v>59</v>
      </c>
      <c r="R111" t="s">
        <v>66</v>
      </c>
      <c r="S111" t="s">
        <v>61</v>
      </c>
    </row>
    <row r="112" spans="1:19" x14ac:dyDescent="0.35">
      <c r="A112" t="s">
        <v>214</v>
      </c>
      <c r="B112" s="5">
        <v>45822</v>
      </c>
      <c r="C112" t="s">
        <v>73</v>
      </c>
      <c r="D112" t="s">
        <v>74</v>
      </c>
      <c r="E112">
        <v>4</v>
      </c>
      <c r="F112" s="6">
        <v>280</v>
      </c>
      <c r="G112" s="7">
        <v>5</v>
      </c>
      <c r="H112" s="6">
        <v>1064</v>
      </c>
      <c r="I112">
        <v>0</v>
      </c>
      <c r="J112" s="6">
        <v>0</v>
      </c>
      <c r="K112">
        <v>4</v>
      </c>
      <c r="L112" s="6">
        <v>1064</v>
      </c>
      <c r="M112" s="6">
        <v>912.16</v>
      </c>
      <c r="N112" s="6">
        <v>151.84</v>
      </c>
      <c r="O112" s="6">
        <v>121.88</v>
      </c>
      <c r="P112" s="6">
        <v>29.96</v>
      </c>
      <c r="Q112" t="s">
        <v>81</v>
      </c>
      <c r="R112" t="s">
        <v>66</v>
      </c>
      <c r="S112" t="s">
        <v>71</v>
      </c>
    </row>
    <row r="113" spans="1:19" x14ac:dyDescent="0.35">
      <c r="A113" t="s">
        <v>215</v>
      </c>
      <c r="B113" s="5">
        <v>45693</v>
      </c>
      <c r="C113" t="s">
        <v>117</v>
      </c>
      <c r="D113" t="s">
        <v>74</v>
      </c>
      <c r="E113">
        <v>1</v>
      </c>
      <c r="F113" s="6">
        <v>95</v>
      </c>
      <c r="G113" s="7">
        <v>2</v>
      </c>
      <c r="H113" s="6">
        <v>93.1</v>
      </c>
      <c r="I113">
        <v>0</v>
      </c>
      <c r="J113" s="6">
        <v>0</v>
      </c>
      <c r="K113">
        <v>1</v>
      </c>
      <c r="L113" s="6">
        <v>93.1</v>
      </c>
      <c r="M113" s="6">
        <v>74.17</v>
      </c>
      <c r="N113" s="6">
        <v>18.93</v>
      </c>
      <c r="O113" s="6">
        <v>5.57</v>
      </c>
      <c r="P113" s="6">
        <v>13.36</v>
      </c>
      <c r="Q113" t="s">
        <v>75</v>
      </c>
      <c r="R113" t="s">
        <v>86</v>
      </c>
      <c r="S113" t="s">
        <v>71</v>
      </c>
    </row>
    <row r="114" spans="1:19" x14ac:dyDescent="0.35">
      <c r="A114" t="s">
        <v>216</v>
      </c>
      <c r="B114" s="5">
        <v>45776</v>
      </c>
      <c r="C114" t="s">
        <v>100</v>
      </c>
      <c r="D114" t="s">
        <v>64</v>
      </c>
      <c r="E114">
        <v>6</v>
      </c>
      <c r="F114" s="6">
        <v>310</v>
      </c>
      <c r="G114" s="7">
        <v>2</v>
      </c>
      <c r="H114" s="6">
        <v>1822.8</v>
      </c>
      <c r="I114">
        <v>0</v>
      </c>
      <c r="J114" s="6">
        <v>0</v>
      </c>
      <c r="K114">
        <v>6</v>
      </c>
      <c r="L114" s="6">
        <v>1822.8</v>
      </c>
      <c r="M114" s="6">
        <v>1277.07</v>
      </c>
      <c r="N114" s="6">
        <v>545.73</v>
      </c>
      <c r="O114" s="6">
        <v>144.08000000000001</v>
      </c>
      <c r="P114" s="6">
        <v>401.65</v>
      </c>
      <c r="Q114" t="s">
        <v>65</v>
      </c>
      <c r="R114" t="s">
        <v>86</v>
      </c>
      <c r="S114" t="s">
        <v>67</v>
      </c>
    </row>
    <row r="115" spans="1:19" x14ac:dyDescent="0.35">
      <c r="A115" t="s">
        <v>217</v>
      </c>
      <c r="B115" s="5">
        <v>45999</v>
      </c>
      <c r="C115" t="s">
        <v>125</v>
      </c>
      <c r="D115" t="s">
        <v>85</v>
      </c>
      <c r="E115">
        <v>2</v>
      </c>
      <c r="F115" s="6">
        <v>125</v>
      </c>
      <c r="G115" s="7">
        <v>2</v>
      </c>
      <c r="H115" s="6">
        <v>245</v>
      </c>
      <c r="I115">
        <v>0</v>
      </c>
      <c r="J115" s="6">
        <v>0</v>
      </c>
      <c r="K115">
        <v>2</v>
      </c>
      <c r="L115" s="6">
        <v>245</v>
      </c>
      <c r="M115" s="6">
        <v>177.54</v>
      </c>
      <c r="N115" s="6">
        <v>67.459999999999994</v>
      </c>
      <c r="O115" s="6">
        <v>30.84</v>
      </c>
      <c r="P115" s="6">
        <v>36.619999999999997</v>
      </c>
      <c r="Q115" t="s">
        <v>65</v>
      </c>
      <c r="R115" t="s">
        <v>86</v>
      </c>
      <c r="S115" t="s">
        <v>67</v>
      </c>
    </row>
    <row r="116" spans="1:19" x14ac:dyDescent="0.35">
      <c r="A116" t="s">
        <v>218</v>
      </c>
      <c r="B116" s="5">
        <v>45866</v>
      </c>
      <c r="C116" t="s">
        <v>84</v>
      </c>
      <c r="D116" t="s">
        <v>85</v>
      </c>
      <c r="E116">
        <v>3</v>
      </c>
      <c r="F116" s="6">
        <v>48</v>
      </c>
      <c r="G116" s="7">
        <v>15</v>
      </c>
      <c r="H116" s="6">
        <v>122.4</v>
      </c>
      <c r="I116">
        <v>0</v>
      </c>
      <c r="J116" s="6">
        <v>0</v>
      </c>
      <c r="K116">
        <v>3</v>
      </c>
      <c r="L116" s="6">
        <v>122.4</v>
      </c>
      <c r="M116" s="6">
        <v>89.73</v>
      </c>
      <c r="N116" s="6">
        <v>32.67</v>
      </c>
      <c r="O116" s="6">
        <v>10.87</v>
      </c>
      <c r="P116" s="6">
        <v>21.8</v>
      </c>
      <c r="Q116" t="s">
        <v>81</v>
      </c>
      <c r="R116" t="s">
        <v>66</v>
      </c>
      <c r="S116" t="s">
        <v>61</v>
      </c>
    </row>
    <row r="117" spans="1:19" x14ac:dyDescent="0.35">
      <c r="A117" t="s">
        <v>219</v>
      </c>
      <c r="B117" s="5">
        <v>45686</v>
      </c>
      <c r="C117" t="s">
        <v>100</v>
      </c>
      <c r="D117" t="s">
        <v>64</v>
      </c>
      <c r="E117">
        <v>4</v>
      </c>
      <c r="F117" s="6">
        <v>310</v>
      </c>
      <c r="G117" s="7">
        <v>0</v>
      </c>
      <c r="H117" s="6">
        <v>1240</v>
      </c>
      <c r="I117">
        <v>0</v>
      </c>
      <c r="J117" s="6">
        <v>0</v>
      </c>
      <c r="K117">
        <v>4</v>
      </c>
      <c r="L117" s="6">
        <v>1240</v>
      </c>
      <c r="M117" s="6">
        <v>810.27</v>
      </c>
      <c r="N117" s="6">
        <v>429.73</v>
      </c>
      <c r="O117" s="6">
        <v>159.65</v>
      </c>
      <c r="P117" s="6">
        <v>270.08</v>
      </c>
      <c r="Q117" t="s">
        <v>75</v>
      </c>
      <c r="R117" t="s">
        <v>82</v>
      </c>
      <c r="S117" t="s">
        <v>76</v>
      </c>
    </row>
    <row r="118" spans="1:19" x14ac:dyDescent="0.35">
      <c r="A118" t="s">
        <v>220</v>
      </c>
      <c r="B118" s="5">
        <v>45674</v>
      </c>
      <c r="C118" t="s">
        <v>125</v>
      </c>
      <c r="D118" t="s">
        <v>85</v>
      </c>
      <c r="E118">
        <v>1</v>
      </c>
      <c r="F118" s="6">
        <v>125</v>
      </c>
      <c r="G118" s="7">
        <v>10</v>
      </c>
      <c r="H118" s="6">
        <v>112.5</v>
      </c>
      <c r="I118">
        <v>0</v>
      </c>
      <c r="J118" s="6">
        <v>0</v>
      </c>
      <c r="K118">
        <v>1</v>
      </c>
      <c r="L118" s="6">
        <v>112.5</v>
      </c>
      <c r="M118" s="6">
        <v>72.930000000000007</v>
      </c>
      <c r="N118" s="6">
        <v>39.57</v>
      </c>
      <c r="O118" s="6">
        <v>8.09</v>
      </c>
      <c r="P118" s="6">
        <v>31.48</v>
      </c>
      <c r="Q118" t="s">
        <v>75</v>
      </c>
      <c r="R118" t="s">
        <v>66</v>
      </c>
      <c r="S118" t="s">
        <v>71</v>
      </c>
    </row>
    <row r="119" spans="1:19" x14ac:dyDescent="0.35">
      <c r="A119" t="s">
        <v>221</v>
      </c>
      <c r="B119" s="5">
        <v>45825</v>
      </c>
      <c r="C119" t="s">
        <v>69</v>
      </c>
      <c r="D119" t="s">
        <v>70</v>
      </c>
      <c r="E119">
        <v>1</v>
      </c>
      <c r="F119" s="6">
        <v>210</v>
      </c>
      <c r="G119" s="7">
        <v>0</v>
      </c>
      <c r="H119" s="6">
        <v>210</v>
      </c>
      <c r="I119">
        <v>0</v>
      </c>
      <c r="J119" s="6">
        <v>0</v>
      </c>
      <c r="K119">
        <v>1</v>
      </c>
      <c r="L119" s="6">
        <v>210</v>
      </c>
      <c r="M119" s="6">
        <v>137.1</v>
      </c>
      <c r="N119" s="6">
        <v>72.900000000000006</v>
      </c>
      <c r="O119" s="6">
        <v>25.18</v>
      </c>
      <c r="P119" s="6">
        <v>47.72</v>
      </c>
      <c r="Q119" t="s">
        <v>81</v>
      </c>
      <c r="R119" t="s">
        <v>86</v>
      </c>
      <c r="S119" t="s">
        <v>67</v>
      </c>
    </row>
    <row r="120" spans="1:19" x14ac:dyDescent="0.35">
      <c r="A120" t="s">
        <v>222</v>
      </c>
      <c r="B120" s="5">
        <v>45787</v>
      </c>
      <c r="C120" t="s">
        <v>56</v>
      </c>
      <c r="D120" t="s">
        <v>57</v>
      </c>
      <c r="E120">
        <v>3</v>
      </c>
      <c r="F120" s="6">
        <v>40</v>
      </c>
      <c r="G120" s="7">
        <v>5</v>
      </c>
      <c r="H120" s="6">
        <v>114</v>
      </c>
      <c r="I120">
        <v>0</v>
      </c>
      <c r="J120" s="6">
        <v>0</v>
      </c>
      <c r="K120">
        <v>3</v>
      </c>
      <c r="L120" s="6">
        <v>114</v>
      </c>
      <c r="M120" s="6">
        <v>81.739999999999995</v>
      </c>
      <c r="N120" s="6">
        <v>32.26</v>
      </c>
      <c r="O120" s="6">
        <v>9.5500000000000007</v>
      </c>
      <c r="P120" s="6">
        <v>22.71</v>
      </c>
      <c r="Q120" t="s">
        <v>65</v>
      </c>
      <c r="R120" t="s">
        <v>82</v>
      </c>
      <c r="S120" t="s">
        <v>76</v>
      </c>
    </row>
    <row r="121" spans="1:19" x14ac:dyDescent="0.35">
      <c r="A121" t="s">
        <v>223</v>
      </c>
      <c r="B121" s="5">
        <v>45821</v>
      </c>
      <c r="C121" t="s">
        <v>114</v>
      </c>
      <c r="D121" t="s">
        <v>64</v>
      </c>
      <c r="E121">
        <v>1</v>
      </c>
      <c r="F121" s="6">
        <v>420</v>
      </c>
      <c r="G121" s="7">
        <v>2</v>
      </c>
      <c r="H121" s="6">
        <v>411.6</v>
      </c>
      <c r="I121">
        <v>0</v>
      </c>
      <c r="J121" s="6">
        <v>0</v>
      </c>
      <c r="K121">
        <v>1</v>
      </c>
      <c r="L121" s="6">
        <v>411.6</v>
      </c>
      <c r="M121" s="6">
        <v>279.43</v>
      </c>
      <c r="N121" s="6">
        <v>132.16999999999999</v>
      </c>
      <c r="O121" s="6">
        <v>30.09</v>
      </c>
      <c r="P121" s="6">
        <v>102.08</v>
      </c>
      <c r="Q121" t="s">
        <v>75</v>
      </c>
      <c r="R121" t="s">
        <v>60</v>
      </c>
      <c r="S121" t="s">
        <v>76</v>
      </c>
    </row>
    <row r="122" spans="1:19" x14ac:dyDescent="0.35">
      <c r="A122" t="s">
        <v>224</v>
      </c>
      <c r="B122" s="5">
        <v>45946</v>
      </c>
      <c r="C122" t="s">
        <v>88</v>
      </c>
      <c r="D122" t="s">
        <v>57</v>
      </c>
      <c r="E122">
        <v>3</v>
      </c>
      <c r="F122" s="6">
        <v>30</v>
      </c>
      <c r="G122" s="7">
        <v>0</v>
      </c>
      <c r="H122" s="6">
        <v>90</v>
      </c>
      <c r="I122">
        <v>0</v>
      </c>
      <c r="J122" s="6">
        <v>0</v>
      </c>
      <c r="K122">
        <v>3</v>
      </c>
      <c r="L122" s="6">
        <v>90</v>
      </c>
      <c r="M122" s="6">
        <v>70.14</v>
      </c>
      <c r="N122" s="6">
        <v>19.86</v>
      </c>
      <c r="O122" s="6">
        <v>9.77</v>
      </c>
      <c r="P122" s="6">
        <v>10.09</v>
      </c>
      <c r="Q122" t="s">
        <v>81</v>
      </c>
      <c r="R122" t="s">
        <v>86</v>
      </c>
      <c r="S122" t="s">
        <v>76</v>
      </c>
    </row>
    <row r="123" spans="1:19" x14ac:dyDescent="0.35">
      <c r="A123" t="s">
        <v>225</v>
      </c>
      <c r="B123" s="5">
        <v>45858</v>
      </c>
      <c r="C123" t="s">
        <v>104</v>
      </c>
      <c r="D123" t="s">
        <v>226</v>
      </c>
      <c r="E123">
        <v>1</v>
      </c>
      <c r="F123" s="6">
        <v>65</v>
      </c>
      <c r="G123" s="7">
        <v>5</v>
      </c>
      <c r="H123" s="6">
        <v>61.75</v>
      </c>
      <c r="I123">
        <v>0</v>
      </c>
      <c r="J123" s="6">
        <v>0</v>
      </c>
      <c r="K123">
        <v>1</v>
      </c>
      <c r="L123" s="6">
        <v>61.75</v>
      </c>
      <c r="M123" s="6">
        <v>50.83</v>
      </c>
      <c r="N123" s="6">
        <v>10.92</v>
      </c>
      <c r="O123" s="6">
        <v>3.85</v>
      </c>
      <c r="P123" s="6">
        <v>7.07</v>
      </c>
      <c r="Q123" t="s">
        <v>81</v>
      </c>
      <c r="R123" t="s">
        <v>82</v>
      </c>
      <c r="S123" t="s">
        <v>67</v>
      </c>
    </row>
    <row r="124" spans="1:19" x14ac:dyDescent="0.35">
      <c r="A124" t="s">
        <v>227</v>
      </c>
      <c r="B124" s="5">
        <v>45696</v>
      </c>
      <c r="C124" t="s">
        <v>97</v>
      </c>
      <c r="D124" t="s">
        <v>57</v>
      </c>
      <c r="E124">
        <v>1</v>
      </c>
      <c r="F124" s="6">
        <v>55</v>
      </c>
      <c r="G124" s="7">
        <v>5</v>
      </c>
      <c r="H124" s="6">
        <v>52.25</v>
      </c>
      <c r="I124">
        <v>0</v>
      </c>
      <c r="J124" s="6">
        <v>0</v>
      </c>
      <c r="K124">
        <v>1</v>
      </c>
      <c r="L124" s="6">
        <v>52.25</v>
      </c>
      <c r="M124" s="6">
        <v>38.61</v>
      </c>
      <c r="N124" s="6">
        <v>13.64</v>
      </c>
      <c r="O124" s="6">
        <v>4.43</v>
      </c>
      <c r="P124" s="6">
        <v>9.2100000000000009</v>
      </c>
      <c r="Q124" t="s">
        <v>59</v>
      </c>
      <c r="R124" t="s">
        <v>60</v>
      </c>
      <c r="S124" t="s">
        <v>71</v>
      </c>
    </row>
    <row r="125" spans="1:19" x14ac:dyDescent="0.35">
      <c r="A125" t="s">
        <v>228</v>
      </c>
      <c r="B125" s="5">
        <v>45962</v>
      </c>
      <c r="C125" t="s">
        <v>125</v>
      </c>
      <c r="D125" t="s">
        <v>85</v>
      </c>
      <c r="E125">
        <v>1</v>
      </c>
      <c r="F125" s="6">
        <v>125</v>
      </c>
      <c r="G125" s="7">
        <v>15</v>
      </c>
      <c r="H125" s="6">
        <v>106.25</v>
      </c>
      <c r="I125">
        <v>0</v>
      </c>
      <c r="J125" s="6">
        <v>0</v>
      </c>
      <c r="K125">
        <v>1</v>
      </c>
      <c r="L125" s="6">
        <v>106.25</v>
      </c>
      <c r="M125" s="6">
        <v>66.010000000000005</v>
      </c>
      <c r="N125" s="6">
        <v>40.24</v>
      </c>
      <c r="O125" s="6">
        <v>7.99</v>
      </c>
      <c r="P125" s="6">
        <v>32.25</v>
      </c>
      <c r="Q125" t="s">
        <v>75</v>
      </c>
      <c r="R125" t="s">
        <v>66</v>
      </c>
      <c r="S125" t="s">
        <v>71</v>
      </c>
    </row>
    <row r="126" spans="1:19" x14ac:dyDescent="0.35">
      <c r="A126" t="s">
        <v>229</v>
      </c>
      <c r="B126" s="5">
        <v>45872</v>
      </c>
      <c r="C126" t="s">
        <v>107</v>
      </c>
      <c r="D126" t="s">
        <v>74</v>
      </c>
      <c r="E126">
        <v>1</v>
      </c>
      <c r="F126" s="6">
        <v>125</v>
      </c>
      <c r="G126" s="7">
        <v>0</v>
      </c>
      <c r="H126" s="6">
        <v>125</v>
      </c>
      <c r="I126">
        <v>0</v>
      </c>
      <c r="J126" s="6">
        <v>0</v>
      </c>
      <c r="K126">
        <v>1</v>
      </c>
      <c r="L126" s="6">
        <v>125</v>
      </c>
      <c r="M126" s="6">
        <v>103.69</v>
      </c>
      <c r="N126" s="6">
        <v>21.31</v>
      </c>
      <c r="O126" s="6">
        <v>14.32</v>
      </c>
      <c r="P126" s="6">
        <v>6.99</v>
      </c>
      <c r="Q126" t="s">
        <v>75</v>
      </c>
      <c r="R126" t="s">
        <v>82</v>
      </c>
      <c r="S126" t="s">
        <v>61</v>
      </c>
    </row>
    <row r="127" spans="1:19" x14ac:dyDescent="0.35">
      <c r="A127" t="s">
        <v>230</v>
      </c>
      <c r="B127" s="5">
        <v>45683</v>
      </c>
      <c r="C127" t="s">
        <v>109</v>
      </c>
      <c r="D127" t="s">
        <v>85</v>
      </c>
      <c r="E127">
        <v>10</v>
      </c>
      <c r="F127" s="6">
        <v>180</v>
      </c>
      <c r="G127" s="7">
        <v>10</v>
      </c>
      <c r="H127" s="6">
        <v>1620</v>
      </c>
      <c r="I127">
        <v>0</v>
      </c>
      <c r="J127" s="6">
        <v>0</v>
      </c>
      <c r="K127">
        <v>10</v>
      </c>
      <c r="L127" s="6">
        <v>1620</v>
      </c>
      <c r="M127" s="6">
        <v>1255.82</v>
      </c>
      <c r="N127" s="6">
        <v>364.18</v>
      </c>
      <c r="O127" s="6">
        <v>87.69</v>
      </c>
      <c r="P127" s="6">
        <v>276.49</v>
      </c>
      <c r="Q127" t="s">
        <v>59</v>
      </c>
      <c r="R127" t="s">
        <v>86</v>
      </c>
      <c r="S127" t="s">
        <v>71</v>
      </c>
    </row>
    <row r="128" spans="1:19" x14ac:dyDescent="0.35">
      <c r="A128" t="s">
        <v>231</v>
      </c>
      <c r="B128" s="5">
        <v>45774</v>
      </c>
      <c r="C128" t="s">
        <v>117</v>
      </c>
      <c r="D128" t="s">
        <v>74</v>
      </c>
      <c r="E128">
        <v>8</v>
      </c>
      <c r="F128" s="6">
        <v>95</v>
      </c>
      <c r="G128" s="7">
        <v>0</v>
      </c>
      <c r="H128" s="6">
        <v>760</v>
      </c>
      <c r="I128">
        <v>0</v>
      </c>
      <c r="J128" s="6">
        <v>0</v>
      </c>
      <c r="K128">
        <v>8</v>
      </c>
      <c r="L128" s="6">
        <v>760</v>
      </c>
      <c r="M128" s="6">
        <v>574.79</v>
      </c>
      <c r="N128" s="6">
        <v>185.21</v>
      </c>
      <c r="O128" s="6">
        <v>40.06</v>
      </c>
      <c r="P128" s="6">
        <v>145.15</v>
      </c>
      <c r="Q128" t="s">
        <v>59</v>
      </c>
      <c r="R128" t="s">
        <v>66</v>
      </c>
      <c r="S128" t="s">
        <v>76</v>
      </c>
    </row>
    <row r="129" spans="1:19" x14ac:dyDescent="0.35">
      <c r="A129" t="s">
        <v>232</v>
      </c>
      <c r="B129" s="5">
        <v>45760</v>
      </c>
      <c r="C129" t="s">
        <v>117</v>
      </c>
      <c r="D129" t="s">
        <v>74</v>
      </c>
      <c r="E129">
        <v>1</v>
      </c>
      <c r="F129" s="6">
        <v>95</v>
      </c>
      <c r="G129" s="7">
        <v>0</v>
      </c>
      <c r="H129" s="6">
        <v>95</v>
      </c>
      <c r="I129">
        <v>0</v>
      </c>
      <c r="J129" s="6">
        <v>0</v>
      </c>
      <c r="K129">
        <v>1</v>
      </c>
      <c r="L129" s="6">
        <v>95</v>
      </c>
      <c r="M129" s="6">
        <v>77.03</v>
      </c>
      <c r="N129" s="6">
        <v>17.97</v>
      </c>
      <c r="O129" s="6">
        <v>5.17</v>
      </c>
      <c r="P129" s="6">
        <v>12.8</v>
      </c>
      <c r="Q129" t="s">
        <v>75</v>
      </c>
      <c r="R129" t="s">
        <v>82</v>
      </c>
      <c r="S129" t="s">
        <v>76</v>
      </c>
    </row>
    <row r="130" spans="1:19" x14ac:dyDescent="0.35">
      <c r="A130" t="s">
        <v>233</v>
      </c>
      <c r="B130" s="5">
        <v>46021</v>
      </c>
      <c r="C130" t="s">
        <v>95</v>
      </c>
      <c r="D130" t="s">
        <v>64</v>
      </c>
      <c r="E130">
        <v>3</v>
      </c>
      <c r="F130" s="6">
        <v>52</v>
      </c>
      <c r="G130" s="7">
        <v>0</v>
      </c>
      <c r="H130" s="6">
        <v>156</v>
      </c>
      <c r="I130">
        <v>0</v>
      </c>
      <c r="J130" s="6">
        <v>0</v>
      </c>
      <c r="K130">
        <v>3</v>
      </c>
      <c r="L130" s="6">
        <v>156</v>
      </c>
      <c r="M130" s="6">
        <v>129.85</v>
      </c>
      <c r="N130" s="6">
        <v>26.15</v>
      </c>
      <c r="O130" s="6">
        <v>13.3</v>
      </c>
      <c r="P130" s="6">
        <v>12.85</v>
      </c>
      <c r="Q130" t="s">
        <v>59</v>
      </c>
      <c r="R130" t="s">
        <v>60</v>
      </c>
      <c r="S130" t="s">
        <v>61</v>
      </c>
    </row>
    <row r="131" spans="1:19" x14ac:dyDescent="0.35">
      <c r="A131" t="s">
        <v>234</v>
      </c>
      <c r="B131" s="5">
        <v>45765</v>
      </c>
      <c r="C131" t="s">
        <v>107</v>
      </c>
      <c r="D131" t="s">
        <v>74</v>
      </c>
      <c r="E131">
        <v>3</v>
      </c>
      <c r="F131" s="6">
        <v>125</v>
      </c>
      <c r="G131" s="7">
        <v>2</v>
      </c>
      <c r="H131" s="6">
        <v>367.5</v>
      </c>
      <c r="I131">
        <v>0</v>
      </c>
      <c r="J131" s="6">
        <v>0</v>
      </c>
      <c r="K131">
        <v>3</v>
      </c>
      <c r="L131" s="6">
        <v>367.5</v>
      </c>
      <c r="M131" s="6">
        <v>292.93</v>
      </c>
      <c r="N131" s="6">
        <v>74.569999999999993</v>
      </c>
      <c r="O131" s="6">
        <v>30.92</v>
      </c>
      <c r="P131" s="6">
        <v>43.65</v>
      </c>
      <c r="Q131" t="s">
        <v>81</v>
      </c>
      <c r="R131" t="s">
        <v>82</v>
      </c>
    </row>
    <row r="132" spans="1:19" x14ac:dyDescent="0.35">
      <c r="A132" t="s">
        <v>235</v>
      </c>
      <c r="B132" s="5">
        <v>45884</v>
      </c>
      <c r="C132" t="s">
        <v>95</v>
      </c>
      <c r="D132" t="s">
        <v>64</v>
      </c>
      <c r="E132">
        <v>6</v>
      </c>
      <c r="F132" s="6">
        <v>52</v>
      </c>
      <c r="G132" s="7">
        <v>0</v>
      </c>
      <c r="H132" s="6">
        <v>312</v>
      </c>
      <c r="I132">
        <v>0</v>
      </c>
      <c r="J132" s="6">
        <v>0</v>
      </c>
      <c r="K132">
        <v>6</v>
      </c>
      <c r="L132" s="6">
        <v>312</v>
      </c>
      <c r="M132" s="6">
        <v>258.94</v>
      </c>
      <c r="N132" s="6">
        <v>53.06</v>
      </c>
      <c r="O132" s="6">
        <v>39.04</v>
      </c>
      <c r="P132" s="6">
        <v>14.02</v>
      </c>
      <c r="Q132" t="s">
        <v>59</v>
      </c>
      <c r="R132" t="s">
        <v>60</v>
      </c>
      <c r="S132" t="s">
        <v>71</v>
      </c>
    </row>
    <row r="133" spans="1:19" x14ac:dyDescent="0.35">
      <c r="A133" t="s">
        <v>236</v>
      </c>
      <c r="B133" s="5">
        <v>45893</v>
      </c>
      <c r="C133" t="s">
        <v>104</v>
      </c>
      <c r="D133" t="s">
        <v>105</v>
      </c>
      <c r="E133">
        <v>1</v>
      </c>
      <c r="F133" s="6">
        <v>65</v>
      </c>
      <c r="G133" s="7">
        <v>0</v>
      </c>
      <c r="H133" s="6">
        <v>65</v>
      </c>
      <c r="I133">
        <v>0</v>
      </c>
      <c r="J133" s="6">
        <v>0</v>
      </c>
      <c r="K133">
        <v>1</v>
      </c>
      <c r="L133" s="6">
        <v>65</v>
      </c>
      <c r="M133" s="6">
        <v>40.89</v>
      </c>
      <c r="N133" s="6">
        <v>24.11</v>
      </c>
      <c r="O133" s="6">
        <v>6.27</v>
      </c>
      <c r="P133" s="6">
        <v>17.84</v>
      </c>
      <c r="Q133" t="s">
        <v>59</v>
      </c>
      <c r="R133" t="s">
        <v>66</v>
      </c>
      <c r="S133" t="s">
        <v>71</v>
      </c>
    </row>
    <row r="134" spans="1:19" x14ac:dyDescent="0.35">
      <c r="A134" t="s">
        <v>237</v>
      </c>
      <c r="B134" s="5">
        <v>45981</v>
      </c>
      <c r="C134" t="s">
        <v>56</v>
      </c>
      <c r="D134" t="s">
        <v>57</v>
      </c>
      <c r="E134">
        <v>3</v>
      </c>
      <c r="F134" s="6">
        <v>40</v>
      </c>
      <c r="G134" s="7">
        <v>5</v>
      </c>
      <c r="H134" s="6">
        <v>114</v>
      </c>
      <c r="I134">
        <v>0</v>
      </c>
      <c r="J134" s="6">
        <v>0</v>
      </c>
      <c r="K134">
        <v>3</v>
      </c>
      <c r="L134" s="6">
        <v>114</v>
      </c>
      <c r="M134" s="6">
        <v>70.77</v>
      </c>
      <c r="N134" s="6">
        <v>43.23</v>
      </c>
      <c r="O134" s="6">
        <v>8.41</v>
      </c>
      <c r="P134" s="6">
        <v>34.82</v>
      </c>
      <c r="Q134" t="s">
        <v>81</v>
      </c>
      <c r="R134" t="s">
        <v>82</v>
      </c>
      <c r="S134" t="s">
        <v>67</v>
      </c>
    </row>
    <row r="135" spans="1:19" x14ac:dyDescent="0.35">
      <c r="A135" t="s">
        <v>238</v>
      </c>
      <c r="B135" s="5">
        <v>45797</v>
      </c>
      <c r="C135" t="s">
        <v>117</v>
      </c>
      <c r="D135" t="s">
        <v>74</v>
      </c>
      <c r="E135">
        <v>1</v>
      </c>
      <c r="F135" s="6">
        <v>95</v>
      </c>
      <c r="G135" s="7">
        <v>15</v>
      </c>
      <c r="H135" s="6">
        <v>80.75</v>
      </c>
      <c r="I135">
        <v>0</v>
      </c>
      <c r="J135" s="6">
        <v>0</v>
      </c>
      <c r="K135">
        <v>1</v>
      </c>
      <c r="L135" s="6">
        <v>80.75</v>
      </c>
      <c r="M135" s="6">
        <v>58.36</v>
      </c>
      <c r="N135" s="6">
        <v>22.39</v>
      </c>
      <c r="O135" s="6">
        <v>8.43</v>
      </c>
      <c r="P135" s="6">
        <v>13.96</v>
      </c>
      <c r="Q135" t="s">
        <v>59</v>
      </c>
      <c r="R135" t="s">
        <v>82</v>
      </c>
      <c r="S135" t="s">
        <v>67</v>
      </c>
    </row>
    <row r="136" spans="1:19" x14ac:dyDescent="0.35">
      <c r="A136" t="s">
        <v>239</v>
      </c>
      <c r="B136" s="5">
        <v>45990</v>
      </c>
      <c r="C136" t="s">
        <v>125</v>
      </c>
      <c r="D136" t="s">
        <v>85</v>
      </c>
      <c r="E136">
        <v>1</v>
      </c>
      <c r="F136" s="6">
        <v>125</v>
      </c>
      <c r="G136" s="7">
        <v>0</v>
      </c>
      <c r="H136" s="6">
        <v>125</v>
      </c>
      <c r="I136">
        <v>0</v>
      </c>
      <c r="J136" s="6">
        <v>0</v>
      </c>
      <c r="K136">
        <v>1</v>
      </c>
      <c r="L136" s="6">
        <v>125</v>
      </c>
      <c r="M136" s="6">
        <v>103.87</v>
      </c>
      <c r="N136" s="6">
        <v>21.13</v>
      </c>
      <c r="O136" s="6">
        <v>10.92</v>
      </c>
      <c r="P136" s="6">
        <v>10.210000000000001</v>
      </c>
      <c r="Q136" t="s">
        <v>81</v>
      </c>
      <c r="R136" t="s">
        <v>66</v>
      </c>
      <c r="S136" t="s">
        <v>76</v>
      </c>
    </row>
    <row r="137" spans="1:19" x14ac:dyDescent="0.35">
      <c r="A137" t="s">
        <v>240</v>
      </c>
      <c r="B137" s="5">
        <v>45987</v>
      </c>
      <c r="C137" t="s">
        <v>104</v>
      </c>
      <c r="D137" t="s">
        <v>105</v>
      </c>
      <c r="E137">
        <v>1</v>
      </c>
      <c r="F137" s="6">
        <v>65</v>
      </c>
      <c r="G137" s="7">
        <v>0</v>
      </c>
      <c r="H137" s="6">
        <v>65</v>
      </c>
      <c r="I137">
        <v>0</v>
      </c>
      <c r="J137" s="6">
        <v>0</v>
      </c>
      <c r="K137">
        <v>1</v>
      </c>
      <c r="L137" s="6">
        <v>65</v>
      </c>
      <c r="M137" s="6">
        <v>53.37</v>
      </c>
      <c r="N137" s="6">
        <v>11.63</v>
      </c>
      <c r="O137" s="6">
        <v>7.57</v>
      </c>
      <c r="P137" s="6">
        <v>4.0599999999999996</v>
      </c>
      <c r="Q137" t="s">
        <v>59</v>
      </c>
      <c r="R137" t="s">
        <v>82</v>
      </c>
      <c r="S137" t="s">
        <v>67</v>
      </c>
    </row>
    <row r="138" spans="1:19" x14ac:dyDescent="0.35">
      <c r="A138" t="s">
        <v>241</v>
      </c>
      <c r="B138" s="5">
        <v>45834</v>
      </c>
      <c r="C138" t="s">
        <v>97</v>
      </c>
      <c r="D138" t="s">
        <v>57</v>
      </c>
      <c r="E138">
        <v>1</v>
      </c>
      <c r="F138" s="6">
        <v>55</v>
      </c>
      <c r="G138" s="7">
        <v>5</v>
      </c>
      <c r="H138" s="6">
        <v>52.25</v>
      </c>
      <c r="I138">
        <v>0</v>
      </c>
      <c r="J138" s="6">
        <v>0</v>
      </c>
      <c r="K138">
        <v>1</v>
      </c>
      <c r="L138" s="6">
        <v>52.25</v>
      </c>
      <c r="M138" s="6">
        <v>36.79</v>
      </c>
      <c r="N138" s="6">
        <v>15.46</v>
      </c>
      <c r="O138" s="6">
        <v>6.66</v>
      </c>
      <c r="P138" s="6">
        <v>8.8000000000000007</v>
      </c>
      <c r="Q138" t="s">
        <v>75</v>
      </c>
      <c r="R138" t="s">
        <v>60</v>
      </c>
      <c r="S138" t="s">
        <v>61</v>
      </c>
    </row>
    <row r="139" spans="1:19" x14ac:dyDescent="0.35">
      <c r="A139" t="s">
        <v>242</v>
      </c>
      <c r="B139" s="5">
        <v>45817</v>
      </c>
      <c r="C139" t="s">
        <v>107</v>
      </c>
      <c r="D139" t="s">
        <v>243</v>
      </c>
      <c r="E139">
        <v>1</v>
      </c>
      <c r="F139" s="6">
        <v>125</v>
      </c>
      <c r="G139" s="7">
        <v>0</v>
      </c>
      <c r="H139" s="6">
        <v>125</v>
      </c>
      <c r="I139">
        <v>0</v>
      </c>
      <c r="J139" s="6">
        <v>0</v>
      </c>
      <c r="K139">
        <v>1</v>
      </c>
      <c r="L139" s="6">
        <v>125</v>
      </c>
      <c r="M139" s="6">
        <v>100.25</v>
      </c>
      <c r="N139" s="6">
        <v>24.75</v>
      </c>
      <c r="O139" s="6">
        <v>7.79</v>
      </c>
      <c r="P139" s="6">
        <v>16.96</v>
      </c>
      <c r="Q139" t="s">
        <v>59</v>
      </c>
      <c r="R139" t="s">
        <v>82</v>
      </c>
      <c r="S139" t="s">
        <v>67</v>
      </c>
    </row>
    <row r="140" spans="1:19" x14ac:dyDescent="0.35">
      <c r="A140" t="s">
        <v>244</v>
      </c>
      <c r="B140" s="5">
        <v>45780</v>
      </c>
      <c r="C140" t="s">
        <v>73</v>
      </c>
      <c r="D140" t="s">
        <v>74</v>
      </c>
      <c r="E140">
        <v>1</v>
      </c>
      <c r="F140" s="6">
        <v>280</v>
      </c>
      <c r="G140" s="7">
        <v>10</v>
      </c>
      <c r="H140" s="6">
        <v>252</v>
      </c>
      <c r="I140">
        <v>0</v>
      </c>
      <c r="J140" s="6">
        <v>0</v>
      </c>
      <c r="K140">
        <v>1</v>
      </c>
      <c r="L140" s="6">
        <v>252</v>
      </c>
      <c r="M140" s="6">
        <v>208.26</v>
      </c>
      <c r="N140" s="6">
        <v>43.74</v>
      </c>
      <c r="O140" s="6">
        <v>20.49</v>
      </c>
      <c r="P140" s="6">
        <v>23.25</v>
      </c>
      <c r="Q140" t="s">
        <v>65</v>
      </c>
      <c r="R140" t="s">
        <v>66</v>
      </c>
      <c r="S140" t="s">
        <v>67</v>
      </c>
    </row>
    <row r="141" spans="1:19" x14ac:dyDescent="0.35">
      <c r="A141" t="s">
        <v>245</v>
      </c>
      <c r="B141" s="5">
        <v>45883</v>
      </c>
      <c r="C141" t="s">
        <v>95</v>
      </c>
      <c r="D141" t="s">
        <v>64</v>
      </c>
      <c r="E141">
        <v>8</v>
      </c>
      <c r="F141" s="6">
        <v>52</v>
      </c>
      <c r="G141" s="7">
        <v>10</v>
      </c>
      <c r="H141" s="6">
        <v>374.4</v>
      </c>
      <c r="I141">
        <v>0</v>
      </c>
      <c r="J141" s="6">
        <v>0</v>
      </c>
      <c r="K141">
        <v>8</v>
      </c>
      <c r="L141" s="6">
        <v>374.4</v>
      </c>
      <c r="M141" s="6">
        <v>304.87</v>
      </c>
      <c r="N141" s="6">
        <v>69.53</v>
      </c>
      <c r="O141" s="6">
        <v>35.22</v>
      </c>
      <c r="P141" s="6">
        <v>34.31</v>
      </c>
      <c r="Q141" t="s">
        <v>65</v>
      </c>
      <c r="R141" t="s">
        <v>86</v>
      </c>
      <c r="S141" t="s">
        <v>76</v>
      </c>
    </row>
    <row r="142" spans="1:19" x14ac:dyDescent="0.35">
      <c r="A142" t="s">
        <v>246</v>
      </c>
      <c r="B142" s="5">
        <v>45941</v>
      </c>
      <c r="C142" t="s">
        <v>109</v>
      </c>
      <c r="D142" t="s">
        <v>85</v>
      </c>
      <c r="E142">
        <v>2</v>
      </c>
      <c r="F142" s="6">
        <v>180</v>
      </c>
      <c r="G142" s="7">
        <v>5</v>
      </c>
      <c r="H142" s="6">
        <v>342</v>
      </c>
      <c r="I142">
        <v>0</v>
      </c>
      <c r="J142" s="6">
        <v>0</v>
      </c>
      <c r="K142">
        <v>2</v>
      </c>
      <c r="L142" s="6">
        <v>342</v>
      </c>
      <c r="M142" s="6">
        <v>252.74</v>
      </c>
      <c r="N142" s="6">
        <v>89.26</v>
      </c>
      <c r="O142" s="6">
        <v>23.12</v>
      </c>
      <c r="P142" s="6">
        <v>66.14</v>
      </c>
      <c r="Q142" t="s">
        <v>75</v>
      </c>
      <c r="R142" t="s">
        <v>66</v>
      </c>
      <c r="S142" t="s">
        <v>67</v>
      </c>
    </row>
    <row r="143" spans="1:19" x14ac:dyDescent="0.35">
      <c r="A143" t="s">
        <v>247</v>
      </c>
      <c r="B143" s="5">
        <v>46011</v>
      </c>
      <c r="C143" t="s">
        <v>78</v>
      </c>
      <c r="D143" t="s">
        <v>79</v>
      </c>
      <c r="E143">
        <v>3</v>
      </c>
      <c r="F143" s="6">
        <v>120</v>
      </c>
      <c r="G143" s="7">
        <v>0</v>
      </c>
      <c r="H143" s="6">
        <v>360</v>
      </c>
      <c r="I143">
        <v>0</v>
      </c>
      <c r="J143" s="6">
        <v>0</v>
      </c>
      <c r="K143">
        <v>3</v>
      </c>
      <c r="L143" s="6">
        <v>360</v>
      </c>
      <c r="M143" s="6">
        <v>274.38</v>
      </c>
      <c r="N143" s="6">
        <v>85.62</v>
      </c>
      <c r="O143" s="6">
        <v>28.02</v>
      </c>
      <c r="P143" s="6">
        <v>57.6</v>
      </c>
      <c r="Q143" t="s">
        <v>65</v>
      </c>
      <c r="R143" t="s">
        <v>60</v>
      </c>
      <c r="S143" t="s">
        <v>67</v>
      </c>
    </row>
    <row r="144" spans="1:19" x14ac:dyDescent="0.35">
      <c r="A144" t="s">
        <v>248</v>
      </c>
      <c r="B144" s="5">
        <v>45961</v>
      </c>
      <c r="C144" t="s">
        <v>90</v>
      </c>
      <c r="D144" t="s">
        <v>70</v>
      </c>
      <c r="E144">
        <v>4</v>
      </c>
      <c r="F144" s="6">
        <v>38</v>
      </c>
      <c r="G144" s="7">
        <v>0</v>
      </c>
      <c r="H144" s="6">
        <v>152</v>
      </c>
      <c r="I144">
        <v>0</v>
      </c>
      <c r="J144" s="6">
        <v>0</v>
      </c>
      <c r="K144">
        <v>4</v>
      </c>
      <c r="L144" s="6">
        <v>152</v>
      </c>
      <c r="M144" s="6">
        <v>125.91</v>
      </c>
      <c r="N144" s="6">
        <v>26.09</v>
      </c>
      <c r="O144" s="6">
        <v>9.51</v>
      </c>
      <c r="P144" s="6">
        <v>16.579999999999998</v>
      </c>
      <c r="Q144" t="s">
        <v>75</v>
      </c>
      <c r="R144" t="s">
        <v>66</v>
      </c>
      <c r="S144" t="s">
        <v>76</v>
      </c>
    </row>
    <row r="145" spans="1:19" x14ac:dyDescent="0.35">
      <c r="A145" t="s">
        <v>249</v>
      </c>
      <c r="B145" s="5">
        <v>45892</v>
      </c>
      <c r="C145" t="s">
        <v>90</v>
      </c>
      <c r="D145" t="s">
        <v>70</v>
      </c>
      <c r="E145">
        <v>4</v>
      </c>
      <c r="F145" s="6">
        <v>38</v>
      </c>
      <c r="G145" s="7">
        <v>2</v>
      </c>
      <c r="H145" s="6">
        <v>148.96</v>
      </c>
      <c r="I145">
        <v>0</v>
      </c>
      <c r="J145" s="6">
        <v>0</v>
      </c>
      <c r="K145">
        <v>4</v>
      </c>
      <c r="L145" s="6">
        <v>148.96</v>
      </c>
      <c r="M145" s="6">
        <v>114.47</v>
      </c>
      <c r="N145" s="6">
        <v>34.49</v>
      </c>
      <c r="O145" s="6">
        <v>9.34</v>
      </c>
      <c r="P145" s="6">
        <v>25.15</v>
      </c>
      <c r="Q145" t="s">
        <v>75</v>
      </c>
      <c r="S145" t="s">
        <v>67</v>
      </c>
    </row>
    <row r="146" spans="1:19" x14ac:dyDescent="0.35">
      <c r="A146" t="s">
        <v>250</v>
      </c>
      <c r="B146" s="5">
        <v>45739</v>
      </c>
      <c r="C146" t="s">
        <v>92</v>
      </c>
      <c r="D146" t="s">
        <v>79</v>
      </c>
      <c r="E146">
        <v>6</v>
      </c>
      <c r="F146" s="6">
        <v>85</v>
      </c>
      <c r="G146" s="7">
        <v>0</v>
      </c>
      <c r="H146" s="6">
        <v>510</v>
      </c>
      <c r="I146">
        <v>0</v>
      </c>
      <c r="J146" s="6">
        <v>0</v>
      </c>
      <c r="K146">
        <v>6</v>
      </c>
      <c r="L146" s="6">
        <v>510</v>
      </c>
      <c r="M146" s="6">
        <v>416.56</v>
      </c>
      <c r="N146" s="6">
        <v>93.44</v>
      </c>
      <c r="O146" s="6">
        <v>62.58</v>
      </c>
      <c r="P146" s="6">
        <v>30.86</v>
      </c>
      <c r="Q146" t="s">
        <v>65</v>
      </c>
      <c r="R146" t="s">
        <v>82</v>
      </c>
      <c r="S146" t="s">
        <v>71</v>
      </c>
    </row>
    <row r="147" spans="1:19" x14ac:dyDescent="0.35">
      <c r="A147" t="s">
        <v>251</v>
      </c>
      <c r="B147" s="5">
        <v>45674</v>
      </c>
      <c r="C147" t="s">
        <v>90</v>
      </c>
      <c r="D147" t="s">
        <v>70</v>
      </c>
      <c r="E147">
        <v>3</v>
      </c>
      <c r="F147" s="6">
        <v>38</v>
      </c>
      <c r="G147" s="7">
        <v>0</v>
      </c>
      <c r="H147" s="6">
        <v>114</v>
      </c>
      <c r="I147">
        <v>0</v>
      </c>
      <c r="J147" s="6">
        <v>0</v>
      </c>
      <c r="K147">
        <v>3</v>
      </c>
      <c r="L147" s="6">
        <v>114</v>
      </c>
      <c r="M147" s="6">
        <v>78.53</v>
      </c>
      <c r="N147" s="6">
        <v>35.47</v>
      </c>
      <c r="O147" s="6">
        <v>14.65</v>
      </c>
      <c r="P147" s="6">
        <v>20.82</v>
      </c>
      <c r="Q147" t="s">
        <v>65</v>
      </c>
      <c r="R147" t="s">
        <v>60</v>
      </c>
      <c r="S147" t="s">
        <v>71</v>
      </c>
    </row>
    <row r="148" spans="1:19" x14ac:dyDescent="0.35">
      <c r="A148" t="s">
        <v>252</v>
      </c>
      <c r="B148" s="5">
        <v>45976</v>
      </c>
      <c r="C148" t="s">
        <v>90</v>
      </c>
      <c r="D148" t="s">
        <v>70</v>
      </c>
      <c r="E148">
        <v>5</v>
      </c>
      <c r="F148" s="6">
        <v>38</v>
      </c>
      <c r="G148" s="7">
        <v>0</v>
      </c>
      <c r="H148" s="6">
        <v>190</v>
      </c>
      <c r="I148">
        <v>0</v>
      </c>
      <c r="J148" s="6">
        <v>0</v>
      </c>
      <c r="K148">
        <v>5</v>
      </c>
      <c r="L148" s="6">
        <v>190</v>
      </c>
      <c r="M148" s="6">
        <v>152.5</v>
      </c>
      <c r="N148" s="6">
        <v>37.5</v>
      </c>
      <c r="O148" s="6">
        <v>24.14</v>
      </c>
      <c r="P148" s="6">
        <v>13.36</v>
      </c>
      <c r="Q148" t="s">
        <v>65</v>
      </c>
      <c r="R148" t="s">
        <v>86</v>
      </c>
      <c r="S148" t="s">
        <v>76</v>
      </c>
    </row>
    <row r="149" spans="1:19" x14ac:dyDescent="0.35">
      <c r="A149" t="s">
        <v>253</v>
      </c>
      <c r="B149" s="5">
        <v>45674</v>
      </c>
      <c r="C149" t="s">
        <v>125</v>
      </c>
      <c r="D149" t="s">
        <v>85</v>
      </c>
      <c r="E149">
        <v>1</v>
      </c>
      <c r="F149" s="6">
        <v>125</v>
      </c>
      <c r="G149" s="7">
        <v>10</v>
      </c>
      <c r="H149" s="6">
        <v>112.5</v>
      </c>
      <c r="I149">
        <v>0</v>
      </c>
      <c r="J149" s="6">
        <v>0</v>
      </c>
      <c r="K149">
        <v>1</v>
      </c>
      <c r="L149" s="6">
        <v>112.5</v>
      </c>
      <c r="M149" s="6">
        <v>88.32</v>
      </c>
      <c r="N149" s="6">
        <v>24.18</v>
      </c>
      <c r="O149" s="6">
        <v>8.33</v>
      </c>
      <c r="P149" s="6">
        <v>15.85</v>
      </c>
      <c r="Q149" t="s">
        <v>65</v>
      </c>
      <c r="R149" t="s">
        <v>82</v>
      </c>
      <c r="S149" t="s">
        <v>67</v>
      </c>
    </row>
    <row r="150" spans="1:19" x14ac:dyDescent="0.35">
      <c r="A150" t="s">
        <v>254</v>
      </c>
      <c r="B150" s="5">
        <v>45832</v>
      </c>
      <c r="C150" t="s">
        <v>84</v>
      </c>
      <c r="D150" t="s">
        <v>85</v>
      </c>
      <c r="E150">
        <v>3</v>
      </c>
      <c r="F150" s="6">
        <v>48</v>
      </c>
      <c r="G150" s="7">
        <v>0</v>
      </c>
      <c r="H150" s="6">
        <v>144</v>
      </c>
      <c r="I150">
        <v>0</v>
      </c>
      <c r="J150" s="6">
        <v>0</v>
      </c>
      <c r="K150">
        <v>3</v>
      </c>
      <c r="L150" s="6">
        <v>144</v>
      </c>
      <c r="M150" s="6">
        <v>91.86</v>
      </c>
      <c r="N150" s="6">
        <v>52.14</v>
      </c>
      <c r="O150" s="6">
        <v>18.61</v>
      </c>
      <c r="P150" s="6">
        <v>33.53</v>
      </c>
      <c r="Q150" t="s">
        <v>75</v>
      </c>
      <c r="R150" t="s">
        <v>86</v>
      </c>
      <c r="S150" t="s">
        <v>61</v>
      </c>
    </row>
    <row r="151" spans="1:19" x14ac:dyDescent="0.35">
      <c r="A151" t="s">
        <v>255</v>
      </c>
      <c r="B151" s="5">
        <v>45715</v>
      </c>
      <c r="C151" t="s">
        <v>95</v>
      </c>
      <c r="D151" t="s">
        <v>64</v>
      </c>
      <c r="E151">
        <v>3</v>
      </c>
      <c r="F151" s="6">
        <v>52</v>
      </c>
      <c r="G151" s="7">
        <v>0</v>
      </c>
      <c r="H151" s="6">
        <v>156</v>
      </c>
      <c r="I151">
        <v>0</v>
      </c>
      <c r="J151" s="6">
        <v>0</v>
      </c>
      <c r="K151">
        <v>3</v>
      </c>
      <c r="L151" s="6">
        <v>156</v>
      </c>
      <c r="M151" s="6">
        <v>99.18</v>
      </c>
      <c r="N151" s="6">
        <v>56.82</v>
      </c>
      <c r="O151" s="6">
        <v>12.44</v>
      </c>
      <c r="P151" s="6">
        <v>44.38</v>
      </c>
      <c r="R151" t="s">
        <v>82</v>
      </c>
      <c r="S151" t="s">
        <v>71</v>
      </c>
    </row>
    <row r="152" spans="1:19" x14ac:dyDescent="0.35">
      <c r="A152" t="s">
        <v>256</v>
      </c>
      <c r="B152" s="5">
        <v>45942</v>
      </c>
      <c r="C152" t="s">
        <v>121</v>
      </c>
      <c r="D152" t="s">
        <v>70</v>
      </c>
      <c r="E152">
        <v>3</v>
      </c>
      <c r="F152" s="6">
        <v>110</v>
      </c>
      <c r="G152" s="7">
        <v>10</v>
      </c>
      <c r="H152" s="6">
        <v>297</v>
      </c>
      <c r="I152">
        <v>0</v>
      </c>
      <c r="J152" s="6">
        <v>0</v>
      </c>
      <c r="K152">
        <v>3</v>
      </c>
      <c r="L152" s="6">
        <v>297</v>
      </c>
      <c r="M152" s="6">
        <v>191.42</v>
      </c>
      <c r="N152" s="6">
        <v>105.58</v>
      </c>
      <c r="O152" s="6">
        <v>27.37</v>
      </c>
      <c r="P152" s="6">
        <v>78.209999999999994</v>
      </c>
      <c r="Q152" t="s">
        <v>75</v>
      </c>
      <c r="R152" t="s">
        <v>60</v>
      </c>
      <c r="S152" t="s">
        <v>61</v>
      </c>
    </row>
    <row r="153" spans="1:19" x14ac:dyDescent="0.35">
      <c r="A153" t="s">
        <v>257</v>
      </c>
      <c r="B153" s="5">
        <v>45749</v>
      </c>
      <c r="C153" t="s">
        <v>100</v>
      </c>
      <c r="D153" t="s">
        <v>64</v>
      </c>
      <c r="E153">
        <v>5</v>
      </c>
      <c r="F153" s="6">
        <v>310</v>
      </c>
      <c r="G153" s="7">
        <v>0</v>
      </c>
      <c r="H153" s="6">
        <v>1550</v>
      </c>
      <c r="I153">
        <v>0</v>
      </c>
      <c r="J153" s="6">
        <v>0</v>
      </c>
      <c r="K153">
        <v>5</v>
      </c>
      <c r="L153" s="6">
        <v>1550</v>
      </c>
      <c r="M153" s="6">
        <v>1009.86</v>
      </c>
      <c r="N153" s="6">
        <v>540.14</v>
      </c>
      <c r="O153" s="6">
        <v>196.94</v>
      </c>
      <c r="P153" s="6">
        <v>343.2</v>
      </c>
      <c r="Q153" t="s">
        <v>75</v>
      </c>
      <c r="R153" t="s">
        <v>66</v>
      </c>
      <c r="S153" t="s">
        <v>76</v>
      </c>
    </row>
    <row r="154" spans="1:19" x14ac:dyDescent="0.35">
      <c r="A154" t="s">
        <v>258</v>
      </c>
      <c r="B154" s="5">
        <v>45715</v>
      </c>
      <c r="C154" t="s">
        <v>117</v>
      </c>
      <c r="D154" t="s">
        <v>74</v>
      </c>
      <c r="E154">
        <v>6</v>
      </c>
      <c r="F154" s="6">
        <v>95</v>
      </c>
      <c r="G154" s="7">
        <v>15</v>
      </c>
      <c r="H154" s="6">
        <v>484.5</v>
      </c>
      <c r="I154">
        <v>0</v>
      </c>
      <c r="J154" s="6">
        <v>0</v>
      </c>
      <c r="K154">
        <v>6</v>
      </c>
      <c r="L154" s="6">
        <v>484.5</v>
      </c>
      <c r="M154" s="6">
        <v>388.77</v>
      </c>
      <c r="N154" s="6">
        <v>95.73</v>
      </c>
      <c r="O154" s="6">
        <v>36.32</v>
      </c>
      <c r="P154" s="6">
        <v>59.41</v>
      </c>
      <c r="Q154" t="s">
        <v>65</v>
      </c>
      <c r="R154" t="s">
        <v>82</v>
      </c>
      <c r="S154" t="s">
        <v>76</v>
      </c>
    </row>
    <row r="155" spans="1:19" x14ac:dyDescent="0.35">
      <c r="A155" t="s">
        <v>259</v>
      </c>
      <c r="B155" s="5">
        <v>45865</v>
      </c>
      <c r="C155" t="s">
        <v>100</v>
      </c>
      <c r="D155" t="s">
        <v>64</v>
      </c>
      <c r="E155">
        <v>1</v>
      </c>
      <c r="F155" s="6">
        <v>310</v>
      </c>
      <c r="G155" s="7">
        <v>0</v>
      </c>
      <c r="H155" s="6">
        <v>310</v>
      </c>
      <c r="I155">
        <v>0</v>
      </c>
      <c r="J155" s="6">
        <v>0</v>
      </c>
      <c r="K155">
        <v>1</v>
      </c>
      <c r="L155" s="6">
        <v>310</v>
      </c>
      <c r="M155" s="6">
        <v>240.68</v>
      </c>
      <c r="N155" s="6">
        <v>69.319999999999993</v>
      </c>
      <c r="O155" s="6">
        <v>36.94</v>
      </c>
      <c r="P155" s="6">
        <v>32.380000000000003</v>
      </c>
      <c r="R155" t="s">
        <v>86</v>
      </c>
      <c r="S155" t="s">
        <v>61</v>
      </c>
    </row>
    <row r="156" spans="1:19" x14ac:dyDescent="0.35">
      <c r="A156" t="s">
        <v>260</v>
      </c>
      <c r="B156" s="5">
        <v>45856</v>
      </c>
      <c r="C156" t="s">
        <v>121</v>
      </c>
      <c r="D156" t="s">
        <v>70</v>
      </c>
      <c r="E156">
        <v>1</v>
      </c>
      <c r="F156" s="6">
        <v>110</v>
      </c>
      <c r="G156" s="7">
        <v>0</v>
      </c>
      <c r="H156" s="6">
        <v>110</v>
      </c>
      <c r="I156">
        <v>0</v>
      </c>
      <c r="J156" s="6">
        <v>0</v>
      </c>
      <c r="K156">
        <v>1</v>
      </c>
      <c r="L156" s="6">
        <v>110</v>
      </c>
      <c r="M156" s="6">
        <v>72.260000000000005</v>
      </c>
      <c r="N156" s="6">
        <v>37.74</v>
      </c>
      <c r="O156" s="6">
        <v>10.17</v>
      </c>
      <c r="P156" s="6">
        <v>27.57</v>
      </c>
      <c r="Q156" t="s">
        <v>59</v>
      </c>
      <c r="R156" t="s">
        <v>66</v>
      </c>
      <c r="S156" t="s">
        <v>61</v>
      </c>
    </row>
    <row r="157" spans="1:19" x14ac:dyDescent="0.35">
      <c r="A157" t="s">
        <v>261</v>
      </c>
      <c r="B157" s="5">
        <v>45863</v>
      </c>
      <c r="C157" t="s">
        <v>69</v>
      </c>
      <c r="D157" t="s">
        <v>70</v>
      </c>
      <c r="E157">
        <v>1</v>
      </c>
      <c r="F157" s="6">
        <v>210</v>
      </c>
      <c r="G157" s="7">
        <v>10</v>
      </c>
      <c r="H157" s="6">
        <v>189</v>
      </c>
      <c r="I157">
        <v>0</v>
      </c>
      <c r="J157" s="6">
        <v>0</v>
      </c>
      <c r="K157">
        <v>1</v>
      </c>
      <c r="L157" s="6">
        <v>189</v>
      </c>
      <c r="M157" s="6">
        <v>145.15</v>
      </c>
      <c r="N157" s="6">
        <v>43.85</v>
      </c>
      <c r="O157" s="6">
        <v>16.73</v>
      </c>
      <c r="P157" s="6">
        <v>27.12</v>
      </c>
      <c r="Q157" t="s">
        <v>59</v>
      </c>
      <c r="R157" t="s">
        <v>66</v>
      </c>
      <c r="S157" t="s">
        <v>71</v>
      </c>
    </row>
    <row r="158" spans="1:19" x14ac:dyDescent="0.35">
      <c r="A158" t="s">
        <v>262</v>
      </c>
      <c r="B158" s="5">
        <v>45774</v>
      </c>
      <c r="C158" t="s">
        <v>69</v>
      </c>
      <c r="D158" t="s">
        <v>70</v>
      </c>
      <c r="E158">
        <v>2</v>
      </c>
      <c r="F158" s="6">
        <v>210</v>
      </c>
      <c r="G158" s="7">
        <v>2</v>
      </c>
      <c r="H158" s="6">
        <v>411.6</v>
      </c>
      <c r="I158">
        <v>0</v>
      </c>
      <c r="J158" s="6">
        <v>0</v>
      </c>
      <c r="K158">
        <v>2</v>
      </c>
      <c r="L158" s="6">
        <v>411.6</v>
      </c>
      <c r="M158" s="6">
        <v>277.47000000000003</v>
      </c>
      <c r="N158" s="6">
        <v>134.13</v>
      </c>
      <c r="O158" s="6">
        <v>42.03</v>
      </c>
      <c r="P158" s="6">
        <v>92.1</v>
      </c>
      <c r="Q158" t="s">
        <v>81</v>
      </c>
      <c r="R158" t="s">
        <v>86</v>
      </c>
      <c r="S158" t="s">
        <v>61</v>
      </c>
    </row>
    <row r="159" spans="1:19" x14ac:dyDescent="0.35">
      <c r="A159" t="s">
        <v>263</v>
      </c>
      <c r="B159" s="5">
        <v>45752</v>
      </c>
      <c r="C159" t="s">
        <v>264</v>
      </c>
      <c r="D159" t="s">
        <v>85</v>
      </c>
      <c r="E159">
        <v>10</v>
      </c>
      <c r="F159" s="6">
        <v>20</v>
      </c>
      <c r="G159" s="7">
        <v>0</v>
      </c>
      <c r="H159" s="6">
        <v>200</v>
      </c>
      <c r="I159">
        <v>0</v>
      </c>
      <c r="J159" s="6">
        <v>0</v>
      </c>
      <c r="K159">
        <v>10</v>
      </c>
      <c r="L159" s="6">
        <v>200</v>
      </c>
      <c r="M159" s="6">
        <v>146.30000000000001</v>
      </c>
      <c r="N159" s="6">
        <v>53.7</v>
      </c>
      <c r="O159" s="6">
        <v>16.329999999999998</v>
      </c>
      <c r="P159" s="6">
        <v>37.369999999999997</v>
      </c>
      <c r="Q159" t="s">
        <v>81</v>
      </c>
      <c r="R159" t="s">
        <v>147</v>
      </c>
      <c r="S159" t="s">
        <v>76</v>
      </c>
    </row>
    <row r="160" spans="1:19" x14ac:dyDescent="0.35">
      <c r="A160" t="s">
        <v>265</v>
      </c>
      <c r="B160" s="5">
        <v>45698</v>
      </c>
      <c r="C160" t="s">
        <v>90</v>
      </c>
      <c r="D160" t="s">
        <v>70</v>
      </c>
      <c r="E160">
        <v>5</v>
      </c>
      <c r="F160" s="6">
        <v>38</v>
      </c>
      <c r="G160" s="7">
        <v>15</v>
      </c>
      <c r="H160" s="6">
        <v>161.5</v>
      </c>
      <c r="I160">
        <v>0</v>
      </c>
      <c r="J160" s="6">
        <v>0</v>
      </c>
      <c r="K160">
        <v>5</v>
      </c>
      <c r="L160" s="6">
        <v>161.5</v>
      </c>
      <c r="M160" s="6">
        <v>135.32</v>
      </c>
      <c r="N160" s="6">
        <v>26.18</v>
      </c>
      <c r="O160" s="6">
        <v>17.75</v>
      </c>
      <c r="P160" s="6">
        <v>8.43</v>
      </c>
      <c r="Q160" t="s">
        <v>75</v>
      </c>
      <c r="R160" t="s">
        <v>86</v>
      </c>
      <c r="S160" t="s">
        <v>67</v>
      </c>
    </row>
    <row r="161" spans="1:19" x14ac:dyDescent="0.35">
      <c r="A161" t="s">
        <v>266</v>
      </c>
      <c r="B161" s="5">
        <v>45899</v>
      </c>
      <c r="C161" t="s">
        <v>121</v>
      </c>
      <c r="D161" t="s">
        <v>70</v>
      </c>
      <c r="E161">
        <v>1</v>
      </c>
      <c r="F161" s="6">
        <v>110</v>
      </c>
      <c r="G161" s="7">
        <v>0</v>
      </c>
      <c r="H161" s="6">
        <v>110</v>
      </c>
      <c r="I161">
        <v>0</v>
      </c>
      <c r="J161" s="6">
        <v>0</v>
      </c>
      <c r="K161">
        <v>1</v>
      </c>
      <c r="L161" s="6">
        <v>110</v>
      </c>
      <c r="M161" s="6">
        <v>84.52</v>
      </c>
      <c r="N161" s="6">
        <v>25.48</v>
      </c>
      <c r="O161" s="6">
        <v>10.42</v>
      </c>
      <c r="P161" s="6">
        <v>15.06</v>
      </c>
      <c r="Q161" t="s">
        <v>65</v>
      </c>
      <c r="R161" t="s">
        <v>66</v>
      </c>
      <c r="S161" t="s">
        <v>71</v>
      </c>
    </row>
    <row r="162" spans="1:19" x14ac:dyDescent="0.35">
      <c r="A162" t="s">
        <v>267</v>
      </c>
      <c r="B162" s="5">
        <v>45851</v>
      </c>
      <c r="C162" t="s">
        <v>114</v>
      </c>
      <c r="D162" t="s">
        <v>64</v>
      </c>
      <c r="E162">
        <v>1</v>
      </c>
      <c r="F162" s="6">
        <v>420</v>
      </c>
      <c r="G162" s="7">
        <v>0</v>
      </c>
      <c r="H162" s="6">
        <v>420</v>
      </c>
      <c r="I162">
        <v>0</v>
      </c>
      <c r="J162" s="6">
        <v>0</v>
      </c>
      <c r="K162">
        <v>1</v>
      </c>
      <c r="L162" s="6">
        <v>420</v>
      </c>
      <c r="M162" s="6">
        <v>263.75</v>
      </c>
      <c r="N162" s="6">
        <v>156.25</v>
      </c>
      <c r="O162" s="6">
        <v>34.340000000000003</v>
      </c>
      <c r="P162" s="6">
        <v>121.91</v>
      </c>
      <c r="Q162" t="s">
        <v>81</v>
      </c>
      <c r="R162" t="s">
        <v>60</v>
      </c>
      <c r="S162" t="s">
        <v>71</v>
      </c>
    </row>
    <row r="163" spans="1:19" x14ac:dyDescent="0.35">
      <c r="A163" t="s">
        <v>268</v>
      </c>
      <c r="B163" s="5">
        <v>45974</v>
      </c>
      <c r="C163" t="s">
        <v>121</v>
      </c>
      <c r="D163" t="s">
        <v>70</v>
      </c>
      <c r="E163">
        <v>4</v>
      </c>
      <c r="F163" s="6">
        <v>110</v>
      </c>
      <c r="G163" s="7">
        <v>5</v>
      </c>
      <c r="H163" s="6">
        <v>418</v>
      </c>
      <c r="I163">
        <v>0</v>
      </c>
      <c r="J163" s="6">
        <v>0</v>
      </c>
      <c r="K163">
        <v>4</v>
      </c>
      <c r="L163" s="6">
        <v>418</v>
      </c>
      <c r="M163" s="6">
        <v>263.29000000000002</v>
      </c>
      <c r="N163" s="6">
        <v>154.71</v>
      </c>
      <c r="O163" s="6">
        <v>52.72</v>
      </c>
      <c r="P163" s="6">
        <v>101.99</v>
      </c>
      <c r="Q163" t="s">
        <v>59</v>
      </c>
      <c r="R163" t="s">
        <v>60</v>
      </c>
      <c r="S163" t="s">
        <v>71</v>
      </c>
    </row>
    <row r="164" spans="1:19" x14ac:dyDescent="0.35">
      <c r="A164" t="s">
        <v>269</v>
      </c>
      <c r="B164" s="5">
        <v>45835</v>
      </c>
      <c r="C164" t="s">
        <v>97</v>
      </c>
      <c r="D164" t="s">
        <v>57</v>
      </c>
      <c r="E164">
        <v>8</v>
      </c>
      <c r="F164" s="6">
        <v>55</v>
      </c>
      <c r="G164" s="7">
        <v>0</v>
      </c>
      <c r="H164" s="6">
        <v>440</v>
      </c>
      <c r="I164">
        <v>0</v>
      </c>
      <c r="J164" s="6">
        <v>0</v>
      </c>
      <c r="K164">
        <v>8</v>
      </c>
      <c r="L164" s="6">
        <v>440</v>
      </c>
      <c r="M164" s="6">
        <v>329.96</v>
      </c>
      <c r="N164" s="6">
        <v>110.04</v>
      </c>
      <c r="O164" s="6">
        <v>52.66</v>
      </c>
      <c r="P164" s="6">
        <v>57.38</v>
      </c>
      <c r="Q164" t="s">
        <v>65</v>
      </c>
      <c r="R164" t="s">
        <v>82</v>
      </c>
      <c r="S164" t="s">
        <v>61</v>
      </c>
    </row>
    <row r="165" spans="1:19" x14ac:dyDescent="0.35">
      <c r="A165" t="s">
        <v>270</v>
      </c>
      <c r="B165" s="5">
        <v>45660</v>
      </c>
      <c r="C165" t="s">
        <v>271</v>
      </c>
      <c r="D165" t="s">
        <v>74</v>
      </c>
      <c r="E165">
        <v>5</v>
      </c>
      <c r="F165" s="6">
        <v>280</v>
      </c>
      <c r="G165" s="7">
        <v>0</v>
      </c>
      <c r="H165" s="6">
        <v>1400</v>
      </c>
      <c r="I165">
        <v>0</v>
      </c>
      <c r="J165" s="6">
        <v>0</v>
      </c>
      <c r="K165">
        <v>5</v>
      </c>
      <c r="L165" s="6">
        <v>1400</v>
      </c>
      <c r="M165" s="6">
        <v>1168.6600000000001</v>
      </c>
      <c r="N165" s="6">
        <v>231.34</v>
      </c>
      <c r="O165" s="6">
        <v>161.54</v>
      </c>
      <c r="P165" s="6">
        <v>69.8</v>
      </c>
      <c r="Q165" t="s">
        <v>59</v>
      </c>
      <c r="R165" t="s">
        <v>66</v>
      </c>
      <c r="S165" t="s">
        <v>61</v>
      </c>
    </row>
    <row r="166" spans="1:19" x14ac:dyDescent="0.35">
      <c r="A166" t="s">
        <v>272</v>
      </c>
      <c r="B166" s="5">
        <v>45900</v>
      </c>
      <c r="C166" t="s">
        <v>84</v>
      </c>
      <c r="D166" t="s">
        <v>85</v>
      </c>
      <c r="E166">
        <v>2</v>
      </c>
      <c r="F166" s="6">
        <v>48</v>
      </c>
      <c r="G166" s="7">
        <v>5</v>
      </c>
      <c r="H166" s="6">
        <v>91.2</v>
      </c>
      <c r="I166">
        <v>0</v>
      </c>
      <c r="J166" s="6">
        <v>0</v>
      </c>
      <c r="K166">
        <v>2</v>
      </c>
      <c r="L166" s="6">
        <v>91.2</v>
      </c>
      <c r="M166" s="6">
        <v>69.53</v>
      </c>
      <c r="N166" s="6">
        <v>21.67</v>
      </c>
      <c r="O166" s="6">
        <v>8.06</v>
      </c>
      <c r="P166" s="6">
        <v>13.61</v>
      </c>
      <c r="Q166" t="s">
        <v>81</v>
      </c>
      <c r="R166" t="s">
        <v>60</v>
      </c>
      <c r="S166" t="s">
        <v>76</v>
      </c>
    </row>
    <row r="167" spans="1:19" x14ac:dyDescent="0.35">
      <c r="A167" t="s">
        <v>273</v>
      </c>
      <c r="B167" s="5">
        <v>45739</v>
      </c>
      <c r="C167" t="s">
        <v>121</v>
      </c>
      <c r="D167" t="s">
        <v>70</v>
      </c>
      <c r="E167">
        <v>2</v>
      </c>
      <c r="F167" s="6">
        <v>110</v>
      </c>
      <c r="G167" s="7">
        <v>0</v>
      </c>
      <c r="H167" s="6">
        <v>220</v>
      </c>
      <c r="I167">
        <v>0</v>
      </c>
      <c r="J167" s="6">
        <v>0</v>
      </c>
      <c r="K167">
        <v>2</v>
      </c>
      <c r="L167" s="6">
        <v>220</v>
      </c>
      <c r="M167" s="6">
        <v>178.1</v>
      </c>
      <c r="N167" s="6">
        <v>41.9</v>
      </c>
      <c r="O167" s="6">
        <v>19.77</v>
      </c>
      <c r="P167" s="6">
        <v>22.13</v>
      </c>
      <c r="Q167" t="s">
        <v>81</v>
      </c>
      <c r="R167" t="s">
        <v>82</v>
      </c>
      <c r="S167" t="s">
        <v>76</v>
      </c>
    </row>
    <row r="168" spans="1:19" x14ac:dyDescent="0.35">
      <c r="A168" t="s">
        <v>274</v>
      </c>
      <c r="B168" s="5">
        <v>45750</v>
      </c>
      <c r="C168" t="s">
        <v>125</v>
      </c>
      <c r="D168" t="s">
        <v>85</v>
      </c>
      <c r="E168">
        <v>10</v>
      </c>
      <c r="F168" s="6">
        <v>125</v>
      </c>
      <c r="G168" s="7">
        <v>15</v>
      </c>
      <c r="H168" s="6">
        <v>1062.5</v>
      </c>
      <c r="I168">
        <v>0</v>
      </c>
      <c r="J168" s="6">
        <v>0</v>
      </c>
      <c r="K168">
        <v>10</v>
      </c>
      <c r="L168" s="6">
        <v>1062.5</v>
      </c>
      <c r="M168" s="6">
        <v>824.58</v>
      </c>
      <c r="N168" s="6">
        <v>237.92</v>
      </c>
      <c r="O168" s="6">
        <v>110.94</v>
      </c>
      <c r="P168" s="6">
        <v>126.98</v>
      </c>
      <c r="Q168" t="s">
        <v>81</v>
      </c>
      <c r="R168" t="s">
        <v>60</v>
      </c>
      <c r="S168" t="s">
        <v>76</v>
      </c>
    </row>
    <row r="169" spans="1:19" x14ac:dyDescent="0.35">
      <c r="A169" t="s">
        <v>275</v>
      </c>
      <c r="B169" s="5">
        <v>45950</v>
      </c>
      <c r="C169" t="s">
        <v>114</v>
      </c>
      <c r="D169" t="s">
        <v>64</v>
      </c>
      <c r="E169">
        <v>5</v>
      </c>
      <c r="F169" s="6">
        <v>420</v>
      </c>
      <c r="G169" s="7">
        <v>0</v>
      </c>
      <c r="H169" s="6">
        <v>2100</v>
      </c>
      <c r="I169">
        <v>0</v>
      </c>
      <c r="J169" s="6">
        <v>0</v>
      </c>
      <c r="K169">
        <v>5</v>
      </c>
      <c r="L169" s="6">
        <v>2100</v>
      </c>
      <c r="M169" s="6">
        <v>1786.23</v>
      </c>
      <c r="N169" s="6">
        <v>313.77</v>
      </c>
      <c r="O169" s="6">
        <v>247.17</v>
      </c>
      <c r="P169" s="6">
        <v>66.599999999999994</v>
      </c>
      <c r="Q169" t="s">
        <v>65</v>
      </c>
      <c r="R169" t="s">
        <v>86</v>
      </c>
      <c r="S169" t="s">
        <v>61</v>
      </c>
    </row>
    <row r="170" spans="1:19" x14ac:dyDescent="0.35">
      <c r="A170" t="s">
        <v>276</v>
      </c>
      <c r="B170" s="5">
        <v>46011</v>
      </c>
      <c r="C170" t="s">
        <v>104</v>
      </c>
      <c r="D170" t="s">
        <v>105</v>
      </c>
      <c r="E170">
        <v>3</v>
      </c>
      <c r="F170" s="6">
        <v>65</v>
      </c>
      <c r="G170" s="7">
        <v>0</v>
      </c>
      <c r="H170" s="6">
        <v>195</v>
      </c>
      <c r="I170">
        <v>0</v>
      </c>
      <c r="J170" s="6">
        <v>0</v>
      </c>
      <c r="K170">
        <v>3</v>
      </c>
      <c r="L170" s="6">
        <v>195</v>
      </c>
      <c r="M170" s="6">
        <v>144.96</v>
      </c>
      <c r="N170" s="6">
        <v>50.04</v>
      </c>
      <c r="O170" s="6">
        <v>10.210000000000001</v>
      </c>
      <c r="P170" s="6">
        <v>39.83</v>
      </c>
      <c r="Q170" t="s">
        <v>65</v>
      </c>
      <c r="R170" t="s">
        <v>86</v>
      </c>
      <c r="S170" t="s">
        <v>71</v>
      </c>
    </row>
    <row r="171" spans="1:19" x14ac:dyDescent="0.35">
      <c r="A171" t="s">
        <v>277</v>
      </c>
      <c r="B171" s="5">
        <v>45925</v>
      </c>
      <c r="C171" t="s">
        <v>73</v>
      </c>
      <c r="D171" t="s">
        <v>74</v>
      </c>
      <c r="E171">
        <v>6</v>
      </c>
      <c r="F171" s="6">
        <v>280</v>
      </c>
      <c r="G171" s="7">
        <v>0</v>
      </c>
      <c r="H171" s="6">
        <v>1680</v>
      </c>
      <c r="I171">
        <v>0</v>
      </c>
      <c r="J171" s="6">
        <v>0</v>
      </c>
      <c r="K171">
        <v>6</v>
      </c>
      <c r="L171" s="6">
        <v>1680</v>
      </c>
      <c r="M171" s="6">
        <v>1153.22</v>
      </c>
      <c r="N171" s="6">
        <v>526.78</v>
      </c>
      <c r="O171" s="6">
        <v>206.62</v>
      </c>
      <c r="P171" s="6">
        <v>320.16000000000003</v>
      </c>
      <c r="Q171" t="s">
        <v>59</v>
      </c>
      <c r="R171" t="s">
        <v>66</v>
      </c>
      <c r="S171" t="s">
        <v>71</v>
      </c>
    </row>
    <row r="172" spans="1:19" x14ac:dyDescent="0.35">
      <c r="A172" t="s">
        <v>278</v>
      </c>
      <c r="B172" s="5">
        <v>45955</v>
      </c>
      <c r="C172" t="s">
        <v>88</v>
      </c>
      <c r="D172" t="s">
        <v>57</v>
      </c>
      <c r="E172" t="s">
        <v>58</v>
      </c>
      <c r="F172" s="6">
        <v>30</v>
      </c>
      <c r="G172" s="7">
        <v>0</v>
      </c>
      <c r="H172" s="6">
        <v>150</v>
      </c>
      <c r="I172">
        <v>0</v>
      </c>
      <c r="J172" s="6">
        <v>0</v>
      </c>
      <c r="K172">
        <v>5</v>
      </c>
      <c r="L172" s="6">
        <v>150</v>
      </c>
      <c r="M172" s="6">
        <v>120.94</v>
      </c>
      <c r="N172" s="6">
        <v>29.06</v>
      </c>
      <c r="O172" s="6">
        <v>14.72</v>
      </c>
      <c r="P172" s="6">
        <v>14.34</v>
      </c>
      <c r="Q172" t="s">
        <v>65</v>
      </c>
      <c r="R172" t="s">
        <v>82</v>
      </c>
      <c r="S172" t="s">
        <v>71</v>
      </c>
    </row>
    <row r="173" spans="1:19" x14ac:dyDescent="0.35">
      <c r="A173" t="s">
        <v>279</v>
      </c>
      <c r="B173" s="5">
        <v>45768</v>
      </c>
      <c r="C173" t="s">
        <v>280</v>
      </c>
      <c r="D173" t="s">
        <v>64</v>
      </c>
      <c r="E173">
        <v>1</v>
      </c>
      <c r="F173" s="6">
        <v>310</v>
      </c>
      <c r="G173" s="7">
        <v>10</v>
      </c>
      <c r="H173" s="6">
        <v>279</v>
      </c>
      <c r="I173">
        <v>0</v>
      </c>
      <c r="J173" s="6">
        <v>0</v>
      </c>
      <c r="K173">
        <v>1</v>
      </c>
      <c r="L173" s="6">
        <v>279</v>
      </c>
      <c r="M173" s="6">
        <v>205.94</v>
      </c>
      <c r="N173" s="6">
        <v>73.06</v>
      </c>
      <c r="O173" s="6">
        <v>33.39</v>
      </c>
      <c r="P173" s="6">
        <v>39.67</v>
      </c>
      <c r="Q173" t="s">
        <v>81</v>
      </c>
      <c r="R173" t="s">
        <v>86</v>
      </c>
      <c r="S173" t="s">
        <v>76</v>
      </c>
    </row>
    <row r="174" spans="1:19" x14ac:dyDescent="0.35">
      <c r="A174" t="s">
        <v>281</v>
      </c>
      <c r="B174" s="5">
        <v>45886</v>
      </c>
      <c r="C174" t="s">
        <v>104</v>
      </c>
      <c r="D174" t="s">
        <v>105</v>
      </c>
      <c r="E174">
        <v>3</v>
      </c>
      <c r="F174" s="6">
        <v>65</v>
      </c>
      <c r="G174" s="7">
        <v>0</v>
      </c>
      <c r="H174" s="6">
        <v>195</v>
      </c>
      <c r="I174">
        <v>0</v>
      </c>
      <c r="J174" s="6">
        <v>0</v>
      </c>
      <c r="K174">
        <v>3</v>
      </c>
      <c r="L174" s="6">
        <v>195</v>
      </c>
      <c r="M174" s="6">
        <v>139.19999999999999</v>
      </c>
      <c r="N174" s="6">
        <v>55.8</v>
      </c>
      <c r="O174" s="6">
        <v>13.78</v>
      </c>
      <c r="P174" s="6">
        <v>42.02</v>
      </c>
      <c r="Q174" t="s">
        <v>75</v>
      </c>
      <c r="R174" t="s">
        <v>60</v>
      </c>
      <c r="S174" t="s">
        <v>67</v>
      </c>
    </row>
    <row r="175" spans="1:19" x14ac:dyDescent="0.35">
      <c r="A175" t="s">
        <v>282</v>
      </c>
      <c r="B175" s="5">
        <v>45775</v>
      </c>
      <c r="C175" t="s">
        <v>88</v>
      </c>
      <c r="D175" t="s">
        <v>57</v>
      </c>
      <c r="E175">
        <v>3</v>
      </c>
      <c r="F175" s="6">
        <v>30</v>
      </c>
      <c r="G175" s="7">
        <v>0</v>
      </c>
      <c r="H175" s="6">
        <v>90</v>
      </c>
      <c r="I175">
        <v>0</v>
      </c>
      <c r="J175" s="6">
        <v>0</v>
      </c>
      <c r="K175">
        <v>3</v>
      </c>
      <c r="L175" s="6">
        <v>90</v>
      </c>
      <c r="M175" s="6">
        <v>60.92</v>
      </c>
      <c r="N175" s="6">
        <v>29.08</v>
      </c>
      <c r="O175" s="6">
        <v>10.86</v>
      </c>
      <c r="P175" s="6">
        <v>18.22</v>
      </c>
      <c r="Q175" t="s">
        <v>81</v>
      </c>
      <c r="R175" t="s">
        <v>86</v>
      </c>
      <c r="S175" t="s">
        <v>71</v>
      </c>
    </row>
    <row r="176" spans="1:19" x14ac:dyDescent="0.35">
      <c r="A176" t="s">
        <v>283</v>
      </c>
      <c r="B176" s="5">
        <v>45970</v>
      </c>
      <c r="C176" t="s">
        <v>84</v>
      </c>
      <c r="D176" t="s">
        <v>85</v>
      </c>
      <c r="E176">
        <v>4</v>
      </c>
      <c r="F176" s="6">
        <v>48</v>
      </c>
      <c r="G176" s="7">
        <v>0</v>
      </c>
      <c r="H176" s="6">
        <v>192</v>
      </c>
      <c r="I176">
        <v>0</v>
      </c>
      <c r="J176" s="6">
        <v>0</v>
      </c>
      <c r="K176">
        <v>4</v>
      </c>
      <c r="L176" s="6">
        <v>192</v>
      </c>
      <c r="M176" s="6">
        <v>139.75</v>
      </c>
      <c r="N176" s="6">
        <v>52.25</v>
      </c>
      <c r="O176" s="6">
        <v>24.17</v>
      </c>
      <c r="P176" s="6">
        <v>28.08</v>
      </c>
      <c r="Q176" t="s">
        <v>65</v>
      </c>
      <c r="R176" t="s">
        <v>82</v>
      </c>
      <c r="S176" t="s">
        <v>61</v>
      </c>
    </row>
    <row r="177" spans="1:19" x14ac:dyDescent="0.35">
      <c r="A177" t="s">
        <v>284</v>
      </c>
      <c r="B177" s="5">
        <v>45813</v>
      </c>
      <c r="C177" t="s">
        <v>208</v>
      </c>
      <c r="D177" t="s">
        <v>85</v>
      </c>
      <c r="E177">
        <v>4</v>
      </c>
      <c r="F177" s="6">
        <v>20</v>
      </c>
      <c r="G177" s="7">
        <v>2</v>
      </c>
      <c r="H177" s="6">
        <v>78.400000000000006</v>
      </c>
      <c r="I177">
        <v>0</v>
      </c>
      <c r="J177" s="6">
        <v>0</v>
      </c>
      <c r="K177">
        <v>4</v>
      </c>
      <c r="L177" s="6">
        <v>78.400000000000006</v>
      </c>
      <c r="M177" s="6">
        <v>57.54</v>
      </c>
      <c r="N177" s="6">
        <v>20.86</v>
      </c>
      <c r="O177" s="6">
        <v>8.9700000000000006</v>
      </c>
      <c r="P177" s="6">
        <v>11.89</v>
      </c>
      <c r="Q177" t="s">
        <v>59</v>
      </c>
      <c r="R177" t="s">
        <v>60</v>
      </c>
      <c r="S177" t="s">
        <v>71</v>
      </c>
    </row>
    <row r="178" spans="1:19" x14ac:dyDescent="0.35">
      <c r="A178" t="s">
        <v>285</v>
      </c>
      <c r="B178" s="5">
        <v>45939</v>
      </c>
      <c r="C178" t="s">
        <v>69</v>
      </c>
      <c r="D178" t="s">
        <v>70</v>
      </c>
      <c r="E178">
        <v>3</v>
      </c>
      <c r="F178" s="6">
        <v>210</v>
      </c>
      <c r="G178" s="7">
        <v>0</v>
      </c>
      <c r="H178" s="6">
        <v>630</v>
      </c>
      <c r="I178">
        <v>0</v>
      </c>
      <c r="J178" s="6">
        <v>0</v>
      </c>
      <c r="K178">
        <v>3</v>
      </c>
      <c r="L178" s="6">
        <v>630</v>
      </c>
      <c r="M178" s="6">
        <v>539.79</v>
      </c>
      <c r="N178" s="6">
        <v>90.21</v>
      </c>
      <c r="O178" s="6">
        <v>43.15</v>
      </c>
      <c r="P178" s="6">
        <v>47.06</v>
      </c>
      <c r="Q178" t="s">
        <v>75</v>
      </c>
      <c r="R178" t="s">
        <v>66</v>
      </c>
      <c r="S178" t="s">
        <v>76</v>
      </c>
    </row>
    <row r="179" spans="1:19" x14ac:dyDescent="0.35">
      <c r="A179" t="s">
        <v>286</v>
      </c>
      <c r="B179" s="5">
        <v>45933</v>
      </c>
      <c r="C179" t="s">
        <v>95</v>
      </c>
      <c r="D179" t="s">
        <v>64</v>
      </c>
      <c r="E179">
        <v>3</v>
      </c>
      <c r="F179" s="6">
        <v>52</v>
      </c>
      <c r="G179" s="7">
        <v>10</v>
      </c>
      <c r="H179" s="6">
        <v>140.4</v>
      </c>
      <c r="I179">
        <v>0</v>
      </c>
      <c r="J179" s="6">
        <v>0</v>
      </c>
      <c r="K179">
        <v>3</v>
      </c>
      <c r="L179" s="6">
        <v>140.4</v>
      </c>
      <c r="M179" s="6">
        <v>97.7</v>
      </c>
      <c r="N179" s="6">
        <v>42.7</v>
      </c>
      <c r="O179" s="6">
        <v>7.49</v>
      </c>
      <c r="P179" s="6">
        <v>35.21</v>
      </c>
      <c r="Q179" t="s">
        <v>75</v>
      </c>
      <c r="R179" t="s">
        <v>82</v>
      </c>
      <c r="S179" t="s">
        <v>61</v>
      </c>
    </row>
    <row r="180" spans="1:19" x14ac:dyDescent="0.35">
      <c r="A180" t="s">
        <v>287</v>
      </c>
      <c r="B180" s="5">
        <v>45835</v>
      </c>
      <c r="C180" t="s">
        <v>264</v>
      </c>
      <c r="D180" t="s">
        <v>85</v>
      </c>
      <c r="E180">
        <v>1</v>
      </c>
      <c r="F180" s="6">
        <v>20</v>
      </c>
      <c r="G180" s="7">
        <v>0</v>
      </c>
      <c r="H180" s="6">
        <v>20</v>
      </c>
      <c r="I180">
        <v>0</v>
      </c>
      <c r="J180" s="6">
        <v>0</v>
      </c>
      <c r="K180">
        <v>1</v>
      </c>
      <c r="L180" s="6">
        <v>20</v>
      </c>
      <c r="M180" s="6">
        <v>17.07</v>
      </c>
      <c r="N180" s="6">
        <v>2.93</v>
      </c>
      <c r="O180" s="6">
        <v>1.41</v>
      </c>
      <c r="P180" s="6">
        <v>1.52</v>
      </c>
      <c r="Q180" t="s">
        <v>59</v>
      </c>
      <c r="R180" t="s">
        <v>86</v>
      </c>
      <c r="S180" t="s">
        <v>71</v>
      </c>
    </row>
    <row r="181" spans="1:19" x14ac:dyDescent="0.35">
      <c r="A181" t="s">
        <v>288</v>
      </c>
      <c r="B181" s="5">
        <v>45665</v>
      </c>
      <c r="C181" t="s">
        <v>104</v>
      </c>
      <c r="D181" t="s">
        <v>105</v>
      </c>
      <c r="E181">
        <v>1</v>
      </c>
      <c r="F181" s="6">
        <v>65</v>
      </c>
      <c r="G181" s="7">
        <v>0</v>
      </c>
      <c r="H181" s="6">
        <v>65</v>
      </c>
      <c r="I181">
        <v>0</v>
      </c>
      <c r="J181" s="6">
        <v>0</v>
      </c>
      <c r="K181">
        <v>1</v>
      </c>
      <c r="L181" s="6">
        <v>65</v>
      </c>
      <c r="M181" s="6">
        <v>42.54</v>
      </c>
      <c r="N181" s="6">
        <v>22.46</v>
      </c>
      <c r="O181" s="6">
        <v>7.06</v>
      </c>
      <c r="P181" s="6">
        <v>15.4</v>
      </c>
      <c r="Q181" t="s">
        <v>81</v>
      </c>
      <c r="R181" t="s">
        <v>66</v>
      </c>
      <c r="S181" t="s">
        <v>67</v>
      </c>
    </row>
    <row r="182" spans="1:19" x14ac:dyDescent="0.35">
      <c r="A182" t="s">
        <v>289</v>
      </c>
      <c r="B182" s="5">
        <v>45776</v>
      </c>
      <c r="C182" t="s">
        <v>88</v>
      </c>
      <c r="D182" t="s">
        <v>57</v>
      </c>
      <c r="E182">
        <v>1</v>
      </c>
      <c r="F182" s="6">
        <v>30</v>
      </c>
      <c r="G182" s="7">
        <v>0</v>
      </c>
      <c r="H182" s="6">
        <v>30</v>
      </c>
      <c r="I182">
        <v>0</v>
      </c>
      <c r="J182" s="6">
        <v>0</v>
      </c>
      <c r="K182">
        <v>1</v>
      </c>
      <c r="L182" s="6">
        <v>30</v>
      </c>
      <c r="M182" s="6">
        <v>25.54</v>
      </c>
      <c r="N182" s="6">
        <v>4.46</v>
      </c>
      <c r="O182" s="6">
        <v>3.09</v>
      </c>
      <c r="P182" s="6">
        <v>1.37</v>
      </c>
      <c r="Q182" t="s">
        <v>81</v>
      </c>
      <c r="R182" t="s">
        <v>60</v>
      </c>
      <c r="S182" t="s">
        <v>71</v>
      </c>
    </row>
    <row r="183" spans="1:19" x14ac:dyDescent="0.35">
      <c r="A183" t="s">
        <v>290</v>
      </c>
      <c r="B183" s="5">
        <v>46002</v>
      </c>
      <c r="C183" t="s">
        <v>78</v>
      </c>
      <c r="D183" t="s">
        <v>79</v>
      </c>
      <c r="E183">
        <v>2</v>
      </c>
      <c r="F183" s="6">
        <v>120</v>
      </c>
      <c r="G183" s="7">
        <v>5</v>
      </c>
      <c r="H183" s="6">
        <v>228</v>
      </c>
      <c r="I183">
        <v>0</v>
      </c>
      <c r="J183" s="6">
        <v>0</v>
      </c>
      <c r="K183">
        <v>2</v>
      </c>
      <c r="L183" s="6">
        <v>228</v>
      </c>
      <c r="M183" s="6">
        <v>188.67</v>
      </c>
      <c r="N183" s="6">
        <v>39.33</v>
      </c>
      <c r="O183" s="6">
        <v>13.46</v>
      </c>
      <c r="P183" s="6">
        <v>25.87</v>
      </c>
      <c r="Q183" t="s">
        <v>81</v>
      </c>
      <c r="R183" t="s">
        <v>86</v>
      </c>
      <c r="S183" t="s">
        <v>67</v>
      </c>
    </row>
    <row r="184" spans="1:19" x14ac:dyDescent="0.35">
      <c r="A184" t="s">
        <v>291</v>
      </c>
      <c r="B184" s="5">
        <v>45877</v>
      </c>
      <c r="C184" t="s">
        <v>114</v>
      </c>
      <c r="D184" t="s">
        <v>128</v>
      </c>
      <c r="E184">
        <v>1</v>
      </c>
      <c r="F184" s="6">
        <v>420</v>
      </c>
      <c r="G184" s="7">
        <v>2</v>
      </c>
      <c r="H184" s="6">
        <v>411.6</v>
      </c>
      <c r="I184">
        <v>0</v>
      </c>
      <c r="J184" s="6">
        <v>0</v>
      </c>
      <c r="K184">
        <v>1</v>
      </c>
      <c r="L184" s="6">
        <v>411.6</v>
      </c>
      <c r="M184" s="6">
        <v>294.10000000000002</v>
      </c>
      <c r="N184" s="6">
        <v>117.5</v>
      </c>
      <c r="O184" s="6">
        <v>24.09</v>
      </c>
      <c r="P184" s="6">
        <v>93.41</v>
      </c>
      <c r="Q184" t="s">
        <v>81</v>
      </c>
      <c r="R184" t="s">
        <v>82</v>
      </c>
      <c r="S184" t="s">
        <v>61</v>
      </c>
    </row>
    <row r="185" spans="1:19" x14ac:dyDescent="0.35">
      <c r="A185" t="s">
        <v>292</v>
      </c>
      <c r="B185" s="5">
        <v>45816</v>
      </c>
      <c r="C185" t="s">
        <v>293</v>
      </c>
      <c r="D185" t="s">
        <v>85</v>
      </c>
      <c r="E185">
        <v>2</v>
      </c>
      <c r="F185" s="6">
        <v>180</v>
      </c>
      <c r="G185" s="7">
        <v>10</v>
      </c>
      <c r="H185" s="6">
        <v>324</v>
      </c>
      <c r="I185">
        <v>0</v>
      </c>
      <c r="J185" s="6">
        <v>0</v>
      </c>
      <c r="K185">
        <v>2</v>
      </c>
      <c r="L185" s="6">
        <v>324</v>
      </c>
      <c r="M185" s="6">
        <v>278.12</v>
      </c>
      <c r="N185" s="6">
        <v>45.88</v>
      </c>
      <c r="O185" s="6">
        <v>18.55</v>
      </c>
      <c r="P185" s="6">
        <v>27.33</v>
      </c>
      <c r="Q185" t="s">
        <v>75</v>
      </c>
      <c r="R185" t="s">
        <v>60</v>
      </c>
      <c r="S185" t="s">
        <v>61</v>
      </c>
    </row>
    <row r="186" spans="1:19" x14ac:dyDescent="0.35">
      <c r="A186" t="s">
        <v>294</v>
      </c>
      <c r="B186" s="5">
        <v>45936</v>
      </c>
      <c r="C186" t="s">
        <v>100</v>
      </c>
      <c r="D186" t="s">
        <v>64</v>
      </c>
      <c r="E186" t="s">
        <v>295</v>
      </c>
      <c r="F186" s="6">
        <v>310</v>
      </c>
      <c r="G186" s="7">
        <v>0</v>
      </c>
      <c r="H186" s="6">
        <v>620</v>
      </c>
      <c r="I186">
        <v>0</v>
      </c>
      <c r="J186" s="6">
        <v>0</v>
      </c>
      <c r="K186">
        <v>2</v>
      </c>
      <c r="L186" s="6">
        <v>620</v>
      </c>
      <c r="M186" s="6">
        <v>483.74</v>
      </c>
      <c r="N186" s="6">
        <v>136.26</v>
      </c>
      <c r="O186" s="6">
        <v>68.81</v>
      </c>
      <c r="P186" s="6">
        <v>67.45</v>
      </c>
      <c r="Q186" t="s">
        <v>59</v>
      </c>
      <c r="S186" t="s">
        <v>76</v>
      </c>
    </row>
    <row r="187" spans="1:19" x14ac:dyDescent="0.35">
      <c r="A187" t="s">
        <v>296</v>
      </c>
      <c r="B187" s="5">
        <v>45856</v>
      </c>
      <c r="C187" t="s">
        <v>114</v>
      </c>
      <c r="D187" t="s">
        <v>64</v>
      </c>
      <c r="E187">
        <v>1</v>
      </c>
      <c r="F187" s="6">
        <v>420</v>
      </c>
      <c r="G187" s="7">
        <v>0</v>
      </c>
      <c r="H187" s="6">
        <v>420</v>
      </c>
      <c r="I187">
        <v>0</v>
      </c>
      <c r="J187" s="6">
        <v>0</v>
      </c>
      <c r="K187">
        <v>1</v>
      </c>
      <c r="L187" s="6">
        <v>420</v>
      </c>
      <c r="M187" s="6">
        <v>260.98</v>
      </c>
      <c r="N187" s="6">
        <v>159.02000000000001</v>
      </c>
      <c r="O187" s="6">
        <v>33.31</v>
      </c>
      <c r="P187" s="6">
        <v>125.71</v>
      </c>
      <c r="Q187" t="s">
        <v>59</v>
      </c>
      <c r="R187" t="s">
        <v>66</v>
      </c>
      <c r="S187" t="s">
        <v>76</v>
      </c>
    </row>
    <row r="188" spans="1:19" x14ac:dyDescent="0.35">
      <c r="A188" t="s">
        <v>297</v>
      </c>
      <c r="B188" s="5">
        <v>45767</v>
      </c>
      <c r="C188" t="s">
        <v>114</v>
      </c>
      <c r="D188" t="s">
        <v>64</v>
      </c>
      <c r="E188">
        <v>2</v>
      </c>
      <c r="F188" s="6">
        <v>420</v>
      </c>
      <c r="G188" s="7">
        <v>0</v>
      </c>
      <c r="H188" s="6">
        <v>840</v>
      </c>
      <c r="I188">
        <v>0</v>
      </c>
      <c r="J188" s="6">
        <v>0</v>
      </c>
      <c r="K188">
        <v>2</v>
      </c>
      <c r="L188" s="6">
        <v>840</v>
      </c>
      <c r="M188" s="6">
        <v>566.62</v>
      </c>
      <c r="N188" s="6">
        <v>273.38</v>
      </c>
      <c r="O188" s="6">
        <v>82.55</v>
      </c>
      <c r="P188" s="6">
        <v>190.83</v>
      </c>
      <c r="Q188" t="s">
        <v>81</v>
      </c>
      <c r="R188" t="s">
        <v>82</v>
      </c>
      <c r="S188" t="s">
        <v>71</v>
      </c>
    </row>
    <row r="189" spans="1:19" x14ac:dyDescent="0.35">
      <c r="A189" t="s">
        <v>298</v>
      </c>
      <c r="B189" s="5">
        <v>45878</v>
      </c>
      <c r="C189" t="s">
        <v>121</v>
      </c>
      <c r="D189" t="s">
        <v>70</v>
      </c>
      <c r="E189">
        <v>3</v>
      </c>
      <c r="F189" s="6">
        <v>110</v>
      </c>
      <c r="G189" s="7">
        <v>0</v>
      </c>
      <c r="H189" s="6">
        <v>330</v>
      </c>
      <c r="I189">
        <v>0</v>
      </c>
      <c r="J189" s="6">
        <v>0</v>
      </c>
      <c r="K189">
        <v>3</v>
      </c>
      <c r="L189" s="6">
        <v>330</v>
      </c>
      <c r="M189" s="6">
        <v>279.95999999999998</v>
      </c>
      <c r="N189" s="6">
        <v>50.04</v>
      </c>
      <c r="O189" s="6">
        <v>40.64</v>
      </c>
      <c r="P189" s="6">
        <v>9.4</v>
      </c>
      <c r="Q189" t="s">
        <v>81</v>
      </c>
      <c r="R189" t="s">
        <v>66</v>
      </c>
      <c r="S189" t="s">
        <v>61</v>
      </c>
    </row>
    <row r="190" spans="1:19" x14ac:dyDescent="0.35">
      <c r="A190" t="s">
        <v>299</v>
      </c>
      <c r="B190" s="5">
        <v>45983</v>
      </c>
      <c r="C190" t="s">
        <v>125</v>
      </c>
      <c r="D190" t="s">
        <v>85</v>
      </c>
      <c r="E190">
        <v>2</v>
      </c>
      <c r="F190" s="6">
        <v>125</v>
      </c>
      <c r="G190" s="7">
        <v>2</v>
      </c>
      <c r="H190" s="6">
        <v>245</v>
      </c>
      <c r="I190">
        <v>0</v>
      </c>
      <c r="J190" s="6">
        <v>0</v>
      </c>
      <c r="K190">
        <v>2</v>
      </c>
      <c r="L190" s="6">
        <v>245</v>
      </c>
      <c r="M190" s="6">
        <v>183.28</v>
      </c>
      <c r="N190" s="6">
        <v>61.72</v>
      </c>
      <c r="O190" s="6">
        <v>27.24</v>
      </c>
      <c r="P190" s="6">
        <v>34.479999999999997</v>
      </c>
      <c r="Q190" t="s">
        <v>81</v>
      </c>
      <c r="R190" t="s">
        <v>82</v>
      </c>
      <c r="S190" t="s">
        <v>61</v>
      </c>
    </row>
    <row r="191" spans="1:19" x14ac:dyDescent="0.35">
      <c r="A191" t="s">
        <v>300</v>
      </c>
      <c r="B191" s="5">
        <v>45938</v>
      </c>
      <c r="C191" t="s">
        <v>264</v>
      </c>
      <c r="D191" t="s">
        <v>85</v>
      </c>
      <c r="E191">
        <v>1</v>
      </c>
      <c r="F191" s="6">
        <v>20</v>
      </c>
      <c r="G191" s="7">
        <v>0</v>
      </c>
      <c r="H191" s="6">
        <v>20</v>
      </c>
      <c r="I191">
        <v>0</v>
      </c>
      <c r="J191" s="6">
        <v>0</v>
      </c>
      <c r="K191">
        <v>1</v>
      </c>
      <c r="L191" s="6">
        <v>20</v>
      </c>
      <c r="M191" s="6">
        <v>12.44</v>
      </c>
      <c r="N191" s="6">
        <v>7.56</v>
      </c>
      <c r="O191" s="6">
        <v>2.44</v>
      </c>
      <c r="P191" s="6">
        <v>5.12</v>
      </c>
      <c r="Q191" t="s">
        <v>65</v>
      </c>
      <c r="R191" t="s">
        <v>60</v>
      </c>
      <c r="S191" t="s">
        <v>76</v>
      </c>
    </row>
    <row r="192" spans="1:19" x14ac:dyDescent="0.35">
      <c r="A192" t="s">
        <v>301</v>
      </c>
      <c r="B192" s="5">
        <v>45709</v>
      </c>
      <c r="C192" t="s">
        <v>73</v>
      </c>
      <c r="D192" t="s">
        <v>74</v>
      </c>
      <c r="E192">
        <v>1</v>
      </c>
      <c r="F192" s="6">
        <v>280</v>
      </c>
      <c r="G192" s="7">
        <v>0</v>
      </c>
      <c r="H192" s="6">
        <v>280</v>
      </c>
      <c r="I192">
        <v>0</v>
      </c>
      <c r="J192" s="6">
        <v>0</v>
      </c>
      <c r="K192">
        <v>1</v>
      </c>
      <c r="L192" s="6">
        <v>280</v>
      </c>
      <c r="M192" s="6">
        <v>186.67</v>
      </c>
      <c r="N192" s="6">
        <v>93.33</v>
      </c>
      <c r="O192" s="6">
        <v>27.83</v>
      </c>
      <c r="P192" s="6">
        <v>65.5</v>
      </c>
      <c r="Q192" t="s">
        <v>81</v>
      </c>
      <c r="R192" t="s">
        <v>60</v>
      </c>
      <c r="S192" t="s">
        <v>67</v>
      </c>
    </row>
    <row r="193" spans="1:19" x14ac:dyDescent="0.35">
      <c r="A193" t="s">
        <v>302</v>
      </c>
      <c r="B193" s="5">
        <v>45734</v>
      </c>
      <c r="C193" t="s">
        <v>73</v>
      </c>
      <c r="D193" t="s">
        <v>74</v>
      </c>
      <c r="E193">
        <v>3</v>
      </c>
      <c r="F193" s="6">
        <v>280</v>
      </c>
      <c r="G193" s="7">
        <v>2</v>
      </c>
      <c r="H193" s="6">
        <v>823.2</v>
      </c>
      <c r="I193">
        <v>0</v>
      </c>
      <c r="J193" s="6">
        <v>0</v>
      </c>
      <c r="K193">
        <v>3</v>
      </c>
      <c r="L193" s="6">
        <v>823.2</v>
      </c>
      <c r="M193" s="6">
        <v>528.09</v>
      </c>
      <c r="N193" s="6">
        <v>295.11</v>
      </c>
      <c r="O193" s="6">
        <v>67.5</v>
      </c>
      <c r="P193" s="6">
        <v>227.61</v>
      </c>
      <c r="Q193" t="s">
        <v>65</v>
      </c>
      <c r="R193" t="s">
        <v>82</v>
      </c>
      <c r="S193" t="s">
        <v>67</v>
      </c>
    </row>
    <row r="194" spans="1:19" x14ac:dyDescent="0.35">
      <c r="A194" t="s">
        <v>303</v>
      </c>
      <c r="B194" s="5">
        <v>45898</v>
      </c>
      <c r="C194" t="s">
        <v>264</v>
      </c>
      <c r="D194" t="s">
        <v>85</v>
      </c>
      <c r="E194">
        <v>1</v>
      </c>
      <c r="F194" s="6">
        <v>20</v>
      </c>
      <c r="G194" s="7">
        <v>10</v>
      </c>
      <c r="H194" s="6">
        <v>18</v>
      </c>
      <c r="I194">
        <v>0</v>
      </c>
      <c r="J194" s="6">
        <v>0</v>
      </c>
      <c r="K194">
        <v>1</v>
      </c>
      <c r="L194" s="6">
        <v>18</v>
      </c>
      <c r="M194" s="6">
        <v>14.62</v>
      </c>
      <c r="N194" s="6">
        <v>3.38</v>
      </c>
      <c r="O194" s="6">
        <v>1.33</v>
      </c>
      <c r="P194" s="6">
        <v>2.0499999999999998</v>
      </c>
      <c r="Q194" t="s">
        <v>81</v>
      </c>
      <c r="R194" t="s">
        <v>66</v>
      </c>
      <c r="S194" t="s">
        <v>71</v>
      </c>
    </row>
    <row r="195" spans="1:19" x14ac:dyDescent="0.35">
      <c r="A195" t="s">
        <v>304</v>
      </c>
      <c r="B195" s="5">
        <v>45704</v>
      </c>
      <c r="C195" t="s">
        <v>63</v>
      </c>
      <c r="D195" t="s">
        <v>64</v>
      </c>
      <c r="E195">
        <v>2</v>
      </c>
      <c r="F195" s="6">
        <v>145</v>
      </c>
      <c r="G195" s="7">
        <v>0</v>
      </c>
      <c r="H195" s="6">
        <v>290</v>
      </c>
      <c r="I195">
        <v>0</v>
      </c>
      <c r="J195" s="6">
        <v>0</v>
      </c>
      <c r="K195">
        <v>2</v>
      </c>
      <c r="L195" s="6">
        <v>290</v>
      </c>
      <c r="M195" s="6">
        <v>236.58</v>
      </c>
      <c r="N195" s="6">
        <v>53.42</v>
      </c>
      <c r="O195" s="6">
        <v>26.71</v>
      </c>
      <c r="P195" s="6">
        <v>26.71</v>
      </c>
      <c r="Q195" t="s">
        <v>59</v>
      </c>
      <c r="R195" t="s">
        <v>66</v>
      </c>
      <c r="S195" t="s">
        <v>76</v>
      </c>
    </row>
    <row r="196" spans="1:19" x14ac:dyDescent="0.35">
      <c r="A196" t="s">
        <v>305</v>
      </c>
      <c r="B196" s="5">
        <v>45809</v>
      </c>
      <c r="C196" t="s">
        <v>97</v>
      </c>
      <c r="D196" t="s">
        <v>57</v>
      </c>
      <c r="E196">
        <v>5</v>
      </c>
      <c r="F196" s="6">
        <v>55</v>
      </c>
      <c r="G196" s="7">
        <v>2</v>
      </c>
      <c r="H196" s="6">
        <v>269.5</v>
      </c>
      <c r="I196">
        <v>0</v>
      </c>
      <c r="J196" s="6">
        <v>0</v>
      </c>
      <c r="K196">
        <v>5</v>
      </c>
      <c r="L196" s="6">
        <v>269.5</v>
      </c>
      <c r="M196" s="6">
        <v>178.39</v>
      </c>
      <c r="N196" s="6">
        <v>91.11</v>
      </c>
      <c r="O196" s="6">
        <v>33.01</v>
      </c>
      <c r="P196" s="6">
        <v>58.1</v>
      </c>
      <c r="Q196" t="s">
        <v>65</v>
      </c>
      <c r="R196" t="s">
        <v>66</v>
      </c>
      <c r="S196" t="s">
        <v>71</v>
      </c>
    </row>
    <row r="197" spans="1:19" x14ac:dyDescent="0.35">
      <c r="A197" t="s">
        <v>306</v>
      </c>
      <c r="B197" s="5">
        <v>45821</v>
      </c>
      <c r="C197" t="s">
        <v>125</v>
      </c>
      <c r="D197" t="s">
        <v>85</v>
      </c>
      <c r="E197">
        <v>2</v>
      </c>
      <c r="F197" s="6">
        <v>125</v>
      </c>
      <c r="G197" s="7">
        <v>5</v>
      </c>
      <c r="H197" s="6">
        <v>237.5</v>
      </c>
      <c r="I197">
        <v>0</v>
      </c>
      <c r="J197" s="6">
        <v>0</v>
      </c>
      <c r="K197">
        <v>2</v>
      </c>
      <c r="L197" s="6">
        <v>237.5</v>
      </c>
      <c r="M197" s="6">
        <v>195.77</v>
      </c>
      <c r="N197" s="6">
        <v>41.73</v>
      </c>
      <c r="O197" s="6">
        <v>27.26</v>
      </c>
      <c r="P197" s="6">
        <v>14.47</v>
      </c>
      <c r="Q197" t="s">
        <v>81</v>
      </c>
      <c r="R197" t="s">
        <v>66</v>
      </c>
      <c r="S197" t="s">
        <v>76</v>
      </c>
    </row>
    <row r="198" spans="1:19" x14ac:dyDescent="0.35">
      <c r="A198" t="s">
        <v>307</v>
      </c>
      <c r="B198" s="5">
        <v>45807</v>
      </c>
      <c r="C198" t="s">
        <v>78</v>
      </c>
      <c r="D198" t="s">
        <v>308</v>
      </c>
      <c r="E198">
        <v>1</v>
      </c>
      <c r="F198" s="6">
        <v>120</v>
      </c>
      <c r="G198" s="7">
        <v>0</v>
      </c>
      <c r="H198" s="6">
        <v>120</v>
      </c>
      <c r="I198">
        <v>0</v>
      </c>
      <c r="J198" s="6">
        <v>0</v>
      </c>
      <c r="K198">
        <v>1</v>
      </c>
      <c r="L198" s="6">
        <v>120</v>
      </c>
      <c r="M198" s="6">
        <v>99.43</v>
      </c>
      <c r="N198" s="6">
        <v>20.57</v>
      </c>
      <c r="O198" s="6">
        <v>11.14</v>
      </c>
      <c r="P198" s="6">
        <v>9.43</v>
      </c>
      <c r="Q198" t="s">
        <v>65</v>
      </c>
      <c r="R198" t="s">
        <v>66</v>
      </c>
      <c r="S198" t="s">
        <v>76</v>
      </c>
    </row>
    <row r="199" spans="1:19" x14ac:dyDescent="0.35">
      <c r="A199" t="s">
        <v>309</v>
      </c>
      <c r="B199" s="5">
        <v>45911</v>
      </c>
      <c r="C199" t="s">
        <v>95</v>
      </c>
      <c r="D199" t="s">
        <v>64</v>
      </c>
      <c r="E199">
        <v>3</v>
      </c>
      <c r="F199" s="6">
        <v>52</v>
      </c>
      <c r="G199" s="7">
        <v>0</v>
      </c>
      <c r="H199" s="6">
        <v>156</v>
      </c>
      <c r="I199">
        <v>0</v>
      </c>
      <c r="J199" s="6">
        <v>0</v>
      </c>
      <c r="K199">
        <v>3</v>
      </c>
      <c r="L199" s="6">
        <v>156</v>
      </c>
      <c r="M199" s="6">
        <v>105.4</v>
      </c>
      <c r="N199" s="6">
        <v>50.6</v>
      </c>
      <c r="O199" s="6">
        <v>15.22</v>
      </c>
      <c r="P199" s="6">
        <v>35.380000000000003</v>
      </c>
      <c r="Q199" t="s">
        <v>75</v>
      </c>
      <c r="R199" t="s">
        <v>82</v>
      </c>
      <c r="S199" t="s">
        <v>61</v>
      </c>
    </row>
    <row r="200" spans="1:19" x14ac:dyDescent="0.35">
      <c r="A200" t="s">
        <v>310</v>
      </c>
      <c r="B200" s="5">
        <v>45937</v>
      </c>
      <c r="C200" t="s">
        <v>95</v>
      </c>
      <c r="D200" t="s">
        <v>64</v>
      </c>
      <c r="E200">
        <v>3</v>
      </c>
      <c r="F200" s="6">
        <v>52</v>
      </c>
      <c r="G200" s="7">
        <v>2</v>
      </c>
      <c r="H200" s="6">
        <v>152.88</v>
      </c>
      <c r="I200">
        <v>0</v>
      </c>
      <c r="J200" s="6">
        <v>0</v>
      </c>
      <c r="K200">
        <v>3</v>
      </c>
      <c r="L200" s="6">
        <v>152.88</v>
      </c>
      <c r="M200" s="6">
        <v>111.03</v>
      </c>
      <c r="N200" s="6">
        <v>41.85</v>
      </c>
      <c r="O200" s="6">
        <v>16.510000000000002</v>
      </c>
      <c r="P200" s="6">
        <v>25.34</v>
      </c>
      <c r="Q200" t="s">
        <v>65</v>
      </c>
      <c r="R200" t="s">
        <v>82</v>
      </c>
      <c r="S200" t="s">
        <v>76</v>
      </c>
    </row>
    <row r="201" spans="1:19" x14ac:dyDescent="0.35">
      <c r="A201" t="s">
        <v>311</v>
      </c>
      <c r="B201" s="5">
        <v>46010</v>
      </c>
      <c r="C201" t="s">
        <v>63</v>
      </c>
      <c r="D201" t="s">
        <v>64</v>
      </c>
      <c r="E201">
        <v>4</v>
      </c>
      <c r="F201" s="6">
        <v>145</v>
      </c>
      <c r="G201" s="7">
        <v>2</v>
      </c>
      <c r="H201" s="6">
        <v>568.4</v>
      </c>
      <c r="I201">
        <v>0</v>
      </c>
      <c r="J201" s="6">
        <v>0</v>
      </c>
      <c r="K201">
        <v>4</v>
      </c>
      <c r="L201" s="6">
        <v>568.4</v>
      </c>
      <c r="M201" s="6">
        <v>389.81</v>
      </c>
      <c r="N201" s="6">
        <v>178.59</v>
      </c>
      <c r="O201" s="6">
        <v>32.32</v>
      </c>
      <c r="P201" s="6">
        <v>146.27000000000001</v>
      </c>
      <c r="Q201" t="s">
        <v>65</v>
      </c>
      <c r="R201" t="s">
        <v>60</v>
      </c>
      <c r="S201" t="s">
        <v>67</v>
      </c>
    </row>
    <row r="202" spans="1:19" x14ac:dyDescent="0.35">
      <c r="A202" t="s">
        <v>312</v>
      </c>
      <c r="B202" s="5">
        <v>45662</v>
      </c>
      <c r="C202" t="s">
        <v>88</v>
      </c>
      <c r="D202" t="s">
        <v>57</v>
      </c>
      <c r="E202">
        <v>2</v>
      </c>
      <c r="F202" s="6">
        <v>30</v>
      </c>
      <c r="G202" s="7">
        <v>0</v>
      </c>
      <c r="H202" s="6">
        <v>60</v>
      </c>
      <c r="I202">
        <v>0</v>
      </c>
      <c r="J202" s="6">
        <v>0</v>
      </c>
      <c r="K202">
        <v>2</v>
      </c>
      <c r="L202" s="6">
        <v>60</v>
      </c>
      <c r="M202" s="6">
        <v>46.09</v>
      </c>
      <c r="N202" s="6">
        <v>13.91</v>
      </c>
      <c r="O202" s="6">
        <v>6.99</v>
      </c>
      <c r="P202" s="6">
        <v>6.92</v>
      </c>
      <c r="Q202" t="s">
        <v>65</v>
      </c>
      <c r="R202" t="s">
        <v>60</v>
      </c>
      <c r="S202" t="s">
        <v>61</v>
      </c>
    </row>
    <row r="203" spans="1:19" x14ac:dyDescent="0.35">
      <c r="A203" t="s">
        <v>313</v>
      </c>
      <c r="B203" s="5">
        <v>45983</v>
      </c>
      <c r="C203" t="s">
        <v>88</v>
      </c>
      <c r="D203" t="s">
        <v>57</v>
      </c>
      <c r="E203">
        <v>6</v>
      </c>
      <c r="F203" s="6">
        <v>30</v>
      </c>
      <c r="G203" s="7">
        <v>2</v>
      </c>
      <c r="H203" s="6">
        <v>176.4</v>
      </c>
      <c r="I203">
        <v>0</v>
      </c>
      <c r="J203" s="6">
        <v>0</v>
      </c>
      <c r="K203">
        <v>6</v>
      </c>
      <c r="L203" s="6">
        <v>176.4</v>
      </c>
      <c r="M203" s="6">
        <v>131.93</v>
      </c>
      <c r="N203" s="6">
        <v>44.47</v>
      </c>
      <c r="O203" s="6">
        <v>13.52</v>
      </c>
      <c r="P203" s="6">
        <v>30.95</v>
      </c>
      <c r="Q203" t="s">
        <v>81</v>
      </c>
      <c r="R203" t="s">
        <v>60</v>
      </c>
      <c r="S203" t="s">
        <v>61</v>
      </c>
    </row>
    <row r="204" spans="1:19" x14ac:dyDescent="0.35">
      <c r="A204" t="s">
        <v>314</v>
      </c>
      <c r="B204" s="5">
        <v>45693</v>
      </c>
      <c r="C204" t="s">
        <v>100</v>
      </c>
      <c r="D204" t="s">
        <v>64</v>
      </c>
      <c r="E204">
        <v>2</v>
      </c>
      <c r="F204" s="6">
        <v>310</v>
      </c>
      <c r="G204" s="7">
        <v>15</v>
      </c>
      <c r="H204" s="6">
        <v>527</v>
      </c>
      <c r="I204">
        <v>0</v>
      </c>
      <c r="J204" s="6">
        <v>0</v>
      </c>
      <c r="K204">
        <v>2</v>
      </c>
      <c r="L204" s="6">
        <v>527</v>
      </c>
      <c r="M204" s="6">
        <v>383.19</v>
      </c>
      <c r="N204" s="6">
        <v>143.81</v>
      </c>
      <c r="O204" s="6">
        <v>50.82</v>
      </c>
      <c r="P204" s="6">
        <v>92.99</v>
      </c>
      <c r="Q204" t="s">
        <v>75</v>
      </c>
      <c r="R204" t="s">
        <v>66</v>
      </c>
      <c r="S204" t="s">
        <v>67</v>
      </c>
    </row>
    <row r="205" spans="1:19" x14ac:dyDescent="0.35">
      <c r="A205" t="s">
        <v>315</v>
      </c>
      <c r="B205" s="5">
        <v>45802</v>
      </c>
      <c r="C205" t="s">
        <v>73</v>
      </c>
      <c r="D205" t="s">
        <v>74</v>
      </c>
      <c r="E205">
        <v>1</v>
      </c>
      <c r="F205" s="6">
        <v>280</v>
      </c>
      <c r="G205" s="7">
        <v>0</v>
      </c>
      <c r="H205" s="6">
        <v>280</v>
      </c>
      <c r="I205">
        <v>0</v>
      </c>
      <c r="J205" s="6">
        <v>0</v>
      </c>
      <c r="K205">
        <v>1</v>
      </c>
      <c r="L205" s="6">
        <v>280</v>
      </c>
      <c r="M205" s="6">
        <v>180.1</v>
      </c>
      <c r="N205" s="6">
        <v>99.9</v>
      </c>
      <c r="O205" s="6">
        <v>30.94</v>
      </c>
      <c r="P205" s="6">
        <v>68.959999999999994</v>
      </c>
      <c r="Q205" t="s">
        <v>65</v>
      </c>
      <c r="R205" t="s">
        <v>86</v>
      </c>
      <c r="S205" t="s">
        <v>61</v>
      </c>
    </row>
    <row r="206" spans="1:19" x14ac:dyDescent="0.35">
      <c r="A206" t="s">
        <v>316</v>
      </c>
      <c r="B206" s="5">
        <v>46017</v>
      </c>
      <c r="C206" t="s">
        <v>104</v>
      </c>
      <c r="D206" t="s">
        <v>105</v>
      </c>
      <c r="E206">
        <v>3</v>
      </c>
      <c r="F206" s="6">
        <v>65</v>
      </c>
      <c r="G206" s="7">
        <v>0</v>
      </c>
      <c r="H206" s="6">
        <v>195</v>
      </c>
      <c r="I206">
        <v>0</v>
      </c>
      <c r="J206" s="6">
        <v>0</v>
      </c>
      <c r="K206">
        <v>3</v>
      </c>
      <c r="L206" s="6">
        <v>195</v>
      </c>
      <c r="M206" s="6">
        <v>126.51</v>
      </c>
      <c r="N206" s="6">
        <v>68.489999999999995</v>
      </c>
      <c r="O206" s="6">
        <v>10.06</v>
      </c>
      <c r="P206" s="6">
        <v>58.43</v>
      </c>
      <c r="Q206" t="s">
        <v>65</v>
      </c>
      <c r="R206" t="s">
        <v>86</v>
      </c>
      <c r="S206" t="s">
        <v>67</v>
      </c>
    </row>
    <row r="207" spans="1:19" x14ac:dyDescent="0.35">
      <c r="A207" t="s">
        <v>317</v>
      </c>
      <c r="B207" s="5">
        <v>45695</v>
      </c>
      <c r="C207" t="s">
        <v>104</v>
      </c>
      <c r="D207" t="s">
        <v>105</v>
      </c>
      <c r="E207">
        <v>4</v>
      </c>
      <c r="F207" s="6">
        <v>65</v>
      </c>
      <c r="G207" s="7">
        <v>0</v>
      </c>
      <c r="H207" s="6">
        <v>260</v>
      </c>
      <c r="I207">
        <v>0</v>
      </c>
      <c r="J207" s="6">
        <v>0</v>
      </c>
      <c r="K207">
        <v>4</v>
      </c>
      <c r="L207" s="6">
        <v>260</v>
      </c>
      <c r="M207" s="6">
        <v>208.33</v>
      </c>
      <c r="N207" s="6">
        <v>51.67</v>
      </c>
      <c r="O207" s="6">
        <v>30.18</v>
      </c>
      <c r="P207" s="6">
        <v>21.49</v>
      </c>
      <c r="Q207" t="s">
        <v>65</v>
      </c>
      <c r="R207" t="s">
        <v>82</v>
      </c>
      <c r="S207" t="s">
        <v>67</v>
      </c>
    </row>
    <row r="208" spans="1:19" x14ac:dyDescent="0.35">
      <c r="A208" t="s">
        <v>318</v>
      </c>
      <c r="B208" s="5">
        <v>45906</v>
      </c>
      <c r="C208" t="s">
        <v>121</v>
      </c>
      <c r="D208" t="s">
        <v>70</v>
      </c>
      <c r="E208">
        <v>1</v>
      </c>
      <c r="F208" s="6">
        <v>110</v>
      </c>
      <c r="G208" s="7">
        <v>0</v>
      </c>
      <c r="H208" s="6">
        <v>110</v>
      </c>
      <c r="I208">
        <v>0</v>
      </c>
      <c r="J208" s="6">
        <v>0</v>
      </c>
      <c r="K208">
        <v>1</v>
      </c>
      <c r="L208" s="6">
        <v>110</v>
      </c>
      <c r="M208" s="6">
        <v>77.22</v>
      </c>
      <c r="N208" s="6">
        <v>32.78</v>
      </c>
      <c r="O208" s="6">
        <v>8.5500000000000007</v>
      </c>
      <c r="P208" s="6">
        <v>24.23</v>
      </c>
      <c r="Q208" t="s">
        <v>75</v>
      </c>
      <c r="R208" t="s">
        <v>66</v>
      </c>
      <c r="S208" t="s">
        <v>76</v>
      </c>
    </row>
    <row r="209" spans="1:19" x14ac:dyDescent="0.35">
      <c r="A209" t="s">
        <v>319</v>
      </c>
      <c r="B209" s="5">
        <v>45800</v>
      </c>
      <c r="C209" t="s">
        <v>95</v>
      </c>
      <c r="D209" t="s">
        <v>64</v>
      </c>
      <c r="E209">
        <v>2</v>
      </c>
      <c r="F209" s="6">
        <v>52</v>
      </c>
      <c r="G209" s="7">
        <v>0</v>
      </c>
      <c r="H209" s="6">
        <v>104</v>
      </c>
      <c r="I209">
        <v>0</v>
      </c>
      <c r="J209" s="6">
        <v>0</v>
      </c>
      <c r="K209">
        <v>2</v>
      </c>
      <c r="L209" s="6">
        <v>104</v>
      </c>
      <c r="M209" s="6">
        <v>79.47</v>
      </c>
      <c r="N209" s="6">
        <v>24.53</v>
      </c>
      <c r="O209" s="6">
        <v>12.85</v>
      </c>
      <c r="P209" s="6">
        <v>11.68</v>
      </c>
      <c r="Q209" t="s">
        <v>81</v>
      </c>
      <c r="R209" t="s">
        <v>86</v>
      </c>
      <c r="S209" t="s">
        <v>67</v>
      </c>
    </row>
    <row r="210" spans="1:19" x14ac:dyDescent="0.35">
      <c r="A210" t="s">
        <v>320</v>
      </c>
      <c r="B210" s="5">
        <v>45873</v>
      </c>
      <c r="C210" t="s">
        <v>104</v>
      </c>
      <c r="D210" t="s">
        <v>105</v>
      </c>
      <c r="E210">
        <v>1</v>
      </c>
      <c r="F210" s="6">
        <v>65</v>
      </c>
      <c r="G210" s="7">
        <v>10</v>
      </c>
      <c r="H210" s="6">
        <v>58.5</v>
      </c>
      <c r="I210">
        <v>0</v>
      </c>
      <c r="J210" s="6">
        <v>0</v>
      </c>
      <c r="K210">
        <v>1</v>
      </c>
      <c r="L210" s="6">
        <v>58.5</v>
      </c>
      <c r="M210" s="6">
        <v>37.9</v>
      </c>
      <c r="N210" s="6">
        <v>20.6</v>
      </c>
      <c r="O210" s="6">
        <v>4.71</v>
      </c>
      <c r="P210" s="6">
        <v>15.89</v>
      </c>
      <c r="Q210" t="s">
        <v>81</v>
      </c>
      <c r="R210" t="s">
        <v>82</v>
      </c>
      <c r="S210" t="s">
        <v>71</v>
      </c>
    </row>
    <row r="211" spans="1:19" x14ac:dyDescent="0.35">
      <c r="A211" t="s">
        <v>321</v>
      </c>
      <c r="B211" s="5">
        <v>46004</v>
      </c>
      <c r="C211" t="s">
        <v>109</v>
      </c>
      <c r="D211" t="s">
        <v>85</v>
      </c>
      <c r="E211">
        <v>1</v>
      </c>
      <c r="F211" s="6">
        <v>180</v>
      </c>
      <c r="G211" s="7">
        <v>0</v>
      </c>
      <c r="H211" s="6">
        <v>180</v>
      </c>
      <c r="I211">
        <v>0</v>
      </c>
      <c r="J211" s="6">
        <v>0</v>
      </c>
      <c r="K211">
        <v>1</v>
      </c>
      <c r="L211" s="6">
        <v>180</v>
      </c>
      <c r="M211" s="6">
        <v>146.97</v>
      </c>
      <c r="N211" s="6">
        <v>33.03</v>
      </c>
      <c r="O211" s="6">
        <v>9.33</v>
      </c>
      <c r="P211" s="6">
        <v>23.7</v>
      </c>
      <c r="Q211" t="s">
        <v>81</v>
      </c>
      <c r="R211" t="s">
        <v>60</v>
      </c>
      <c r="S211" t="s">
        <v>71</v>
      </c>
    </row>
    <row r="212" spans="1:19" x14ac:dyDescent="0.35">
      <c r="A212" t="s">
        <v>322</v>
      </c>
      <c r="B212" s="5">
        <v>45821</v>
      </c>
      <c r="C212" t="s">
        <v>121</v>
      </c>
      <c r="D212" t="s">
        <v>70</v>
      </c>
      <c r="E212">
        <v>10</v>
      </c>
      <c r="F212" s="6">
        <v>110</v>
      </c>
      <c r="G212" s="7">
        <v>2</v>
      </c>
      <c r="H212" s="6">
        <v>1078</v>
      </c>
      <c r="I212">
        <v>0</v>
      </c>
      <c r="J212" s="6">
        <v>0</v>
      </c>
      <c r="K212">
        <v>10</v>
      </c>
      <c r="L212" s="6">
        <v>1078</v>
      </c>
      <c r="M212" s="6">
        <v>881.15</v>
      </c>
      <c r="N212" s="6">
        <v>196.85</v>
      </c>
      <c r="O212" s="6">
        <v>128.24</v>
      </c>
      <c r="P212" s="6">
        <v>68.61</v>
      </c>
      <c r="Q212" t="s">
        <v>59</v>
      </c>
      <c r="R212" t="s">
        <v>82</v>
      </c>
      <c r="S212" t="s">
        <v>67</v>
      </c>
    </row>
    <row r="213" spans="1:19" x14ac:dyDescent="0.35">
      <c r="A213" t="s">
        <v>323</v>
      </c>
      <c r="B213" s="5">
        <v>45798</v>
      </c>
      <c r="C213" t="s">
        <v>121</v>
      </c>
      <c r="D213" t="s">
        <v>70</v>
      </c>
      <c r="E213">
        <v>6</v>
      </c>
      <c r="F213" s="6">
        <v>110</v>
      </c>
      <c r="G213" s="7">
        <v>5</v>
      </c>
      <c r="H213" s="6">
        <v>627</v>
      </c>
      <c r="I213">
        <v>0</v>
      </c>
      <c r="J213" s="6">
        <v>0</v>
      </c>
      <c r="K213">
        <v>6</v>
      </c>
      <c r="L213" s="6">
        <v>627</v>
      </c>
      <c r="M213" s="6">
        <v>436.52</v>
      </c>
      <c r="N213" s="6">
        <v>190.48</v>
      </c>
      <c r="O213" s="6">
        <v>72.739999999999995</v>
      </c>
      <c r="P213" s="6">
        <v>117.74</v>
      </c>
      <c r="Q213" t="s">
        <v>75</v>
      </c>
      <c r="R213" t="s">
        <v>82</v>
      </c>
      <c r="S213" t="s">
        <v>61</v>
      </c>
    </row>
    <row r="214" spans="1:19" x14ac:dyDescent="0.35">
      <c r="A214" t="s">
        <v>324</v>
      </c>
      <c r="B214" s="5">
        <v>45749</v>
      </c>
      <c r="C214" t="s">
        <v>100</v>
      </c>
      <c r="D214" t="s">
        <v>64</v>
      </c>
      <c r="E214">
        <v>3</v>
      </c>
      <c r="F214" s="6">
        <v>310</v>
      </c>
      <c r="G214" s="7">
        <v>0</v>
      </c>
      <c r="H214" s="6">
        <v>930</v>
      </c>
      <c r="I214">
        <v>0</v>
      </c>
      <c r="J214" s="6">
        <v>0</v>
      </c>
      <c r="K214">
        <v>3</v>
      </c>
      <c r="L214" s="6">
        <v>930</v>
      </c>
      <c r="M214" s="6">
        <v>594.45000000000005</v>
      </c>
      <c r="N214" s="6">
        <v>335.55</v>
      </c>
      <c r="O214" s="6">
        <v>55.58</v>
      </c>
      <c r="P214" s="6">
        <v>279.97000000000003</v>
      </c>
      <c r="Q214" t="s">
        <v>75</v>
      </c>
      <c r="R214" t="s">
        <v>60</v>
      </c>
      <c r="S214" t="s">
        <v>71</v>
      </c>
    </row>
    <row r="215" spans="1:19" x14ac:dyDescent="0.35">
      <c r="A215" t="s">
        <v>325</v>
      </c>
      <c r="B215" s="5">
        <v>45717</v>
      </c>
      <c r="C215" t="s">
        <v>104</v>
      </c>
      <c r="D215" t="s">
        <v>105</v>
      </c>
      <c r="E215">
        <v>2</v>
      </c>
      <c r="F215" s="6">
        <v>65</v>
      </c>
      <c r="G215" s="7">
        <v>0</v>
      </c>
      <c r="H215" s="6">
        <v>130</v>
      </c>
      <c r="I215">
        <v>0</v>
      </c>
      <c r="J215" s="6">
        <v>0</v>
      </c>
      <c r="K215">
        <v>2</v>
      </c>
      <c r="L215" s="6">
        <v>130</v>
      </c>
      <c r="M215" s="6">
        <v>100.59</v>
      </c>
      <c r="N215" s="6">
        <v>29.41</v>
      </c>
      <c r="O215" s="6">
        <v>12.94</v>
      </c>
      <c r="P215" s="6">
        <v>16.47</v>
      </c>
      <c r="Q215" t="s">
        <v>59</v>
      </c>
      <c r="R215" t="s">
        <v>60</v>
      </c>
      <c r="S215" t="s">
        <v>76</v>
      </c>
    </row>
    <row r="216" spans="1:19" x14ac:dyDescent="0.35">
      <c r="A216" t="s">
        <v>326</v>
      </c>
      <c r="B216" s="5">
        <v>45713</v>
      </c>
      <c r="C216" t="s">
        <v>92</v>
      </c>
      <c r="D216" t="s">
        <v>79</v>
      </c>
      <c r="E216">
        <v>3</v>
      </c>
      <c r="F216" s="6">
        <v>85</v>
      </c>
      <c r="G216" s="7">
        <v>0</v>
      </c>
      <c r="H216" s="6">
        <v>255</v>
      </c>
      <c r="I216">
        <v>0</v>
      </c>
      <c r="J216" s="6">
        <v>0</v>
      </c>
      <c r="K216">
        <v>3</v>
      </c>
      <c r="L216" s="6">
        <v>255</v>
      </c>
      <c r="M216" s="6">
        <v>171.06</v>
      </c>
      <c r="N216" s="6">
        <v>83.94</v>
      </c>
      <c r="O216" s="6">
        <v>28.14</v>
      </c>
      <c r="P216" s="6">
        <v>55.8</v>
      </c>
      <c r="Q216" t="s">
        <v>59</v>
      </c>
      <c r="R216" t="s">
        <v>66</v>
      </c>
      <c r="S216" t="s">
        <v>76</v>
      </c>
    </row>
    <row r="217" spans="1:19" x14ac:dyDescent="0.35">
      <c r="A217" t="s">
        <v>327</v>
      </c>
      <c r="B217" s="5">
        <v>45909</v>
      </c>
      <c r="C217" t="s">
        <v>92</v>
      </c>
      <c r="D217" t="s">
        <v>79</v>
      </c>
      <c r="E217">
        <v>1</v>
      </c>
      <c r="F217" s="6">
        <v>85</v>
      </c>
      <c r="G217" s="7">
        <v>0</v>
      </c>
      <c r="H217" s="6">
        <v>85</v>
      </c>
      <c r="I217">
        <v>0</v>
      </c>
      <c r="J217" s="6">
        <v>0</v>
      </c>
      <c r="K217">
        <v>1</v>
      </c>
      <c r="L217" s="6">
        <v>85</v>
      </c>
      <c r="M217" s="6">
        <v>68.67</v>
      </c>
      <c r="N217" s="6">
        <v>16.329999999999998</v>
      </c>
      <c r="O217" s="6">
        <v>5.46</v>
      </c>
      <c r="P217" s="6">
        <v>10.87</v>
      </c>
      <c r="Q217" t="s">
        <v>75</v>
      </c>
      <c r="R217" t="s">
        <v>86</v>
      </c>
      <c r="S217" t="s">
        <v>61</v>
      </c>
    </row>
    <row r="218" spans="1:19" x14ac:dyDescent="0.35">
      <c r="A218" t="s">
        <v>328</v>
      </c>
      <c r="B218" s="5">
        <v>45888</v>
      </c>
      <c r="C218" t="s">
        <v>56</v>
      </c>
      <c r="D218" t="s">
        <v>57</v>
      </c>
      <c r="E218">
        <v>2</v>
      </c>
      <c r="F218" s="6">
        <v>40</v>
      </c>
      <c r="G218" s="7">
        <v>0</v>
      </c>
      <c r="H218" s="6">
        <v>80</v>
      </c>
      <c r="I218">
        <v>0</v>
      </c>
      <c r="J218" s="6">
        <v>0</v>
      </c>
      <c r="K218">
        <v>2</v>
      </c>
      <c r="L218" s="6">
        <v>80</v>
      </c>
      <c r="M218" s="6">
        <v>53.84</v>
      </c>
      <c r="N218" s="6">
        <v>26.16</v>
      </c>
      <c r="O218" s="6">
        <v>8.1999999999999993</v>
      </c>
      <c r="P218" s="6">
        <v>17.96</v>
      </c>
      <c r="Q218" t="s">
        <v>81</v>
      </c>
      <c r="R218" t="s">
        <v>60</v>
      </c>
      <c r="S218" t="s">
        <v>67</v>
      </c>
    </row>
    <row r="219" spans="1:19" x14ac:dyDescent="0.35">
      <c r="A219" t="s">
        <v>329</v>
      </c>
      <c r="B219" s="5">
        <v>45886</v>
      </c>
      <c r="C219" t="s">
        <v>104</v>
      </c>
      <c r="D219" t="s">
        <v>105</v>
      </c>
      <c r="E219">
        <v>2</v>
      </c>
      <c r="F219" s="6">
        <v>65</v>
      </c>
      <c r="G219" s="7">
        <v>2</v>
      </c>
      <c r="H219" s="6">
        <v>127.4</v>
      </c>
      <c r="I219">
        <v>0</v>
      </c>
      <c r="J219" s="6">
        <v>0</v>
      </c>
      <c r="K219">
        <v>2</v>
      </c>
      <c r="L219" s="6">
        <v>127.4</v>
      </c>
      <c r="M219" s="6">
        <v>89.82</v>
      </c>
      <c r="N219" s="6">
        <v>37.58</v>
      </c>
      <c r="O219" s="6">
        <v>11.28</v>
      </c>
      <c r="P219" s="6">
        <v>26.3</v>
      </c>
      <c r="Q219" t="s">
        <v>75</v>
      </c>
      <c r="R219" t="s">
        <v>82</v>
      </c>
      <c r="S219" t="s">
        <v>67</v>
      </c>
    </row>
    <row r="220" spans="1:19" x14ac:dyDescent="0.35">
      <c r="A220" t="s">
        <v>330</v>
      </c>
      <c r="B220" s="5">
        <v>45722</v>
      </c>
      <c r="C220" t="s">
        <v>100</v>
      </c>
      <c r="D220" t="s">
        <v>64</v>
      </c>
      <c r="E220">
        <v>1</v>
      </c>
      <c r="F220" s="6">
        <v>310</v>
      </c>
      <c r="G220" s="7">
        <v>0</v>
      </c>
      <c r="H220" s="6">
        <v>310</v>
      </c>
      <c r="I220">
        <v>0</v>
      </c>
      <c r="J220" s="6">
        <v>0</v>
      </c>
      <c r="K220">
        <v>1</v>
      </c>
      <c r="L220" s="6">
        <v>310</v>
      </c>
      <c r="M220" s="6">
        <v>251</v>
      </c>
      <c r="N220" s="6">
        <v>59</v>
      </c>
      <c r="O220" s="6">
        <v>32.39</v>
      </c>
      <c r="P220" s="6">
        <v>26.61</v>
      </c>
      <c r="Q220" t="s">
        <v>75</v>
      </c>
      <c r="R220" t="s">
        <v>66</v>
      </c>
      <c r="S220" t="s">
        <v>71</v>
      </c>
    </row>
    <row r="221" spans="1:19" x14ac:dyDescent="0.35">
      <c r="A221" t="s">
        <v>331</v>
      </c>
      <c r="B221" s="5">
        <v>45845</v>
      </c>
      <c r="C221" t="s">
        <v>78</v>
      </c>
      <c r="D221" t="s">
        <v>79</v>
      </c>
      <c r="E221">
        <v>4</v>
      </c>
      <c r="F221" s="6">
        <v>120</v>
      </c>
      <c r="G221" s="7">
        <v>0</v>
      </c>
      <c r="H221" s="6">
        <v>480</v>
      </c>
      <c r="I221">
        <v>0</v>
      </c>
      <c r="J221" s="6">
        <v>0</v>
      </c>
      <c r="K221">
        <v>4</v>
      </c>
      <c r="L221" s="6">
        <v>480</v>
      </c>
      <c r="M221" s="6">
        <v>305.04000000000002</v>
      </c>
      <c r="N221" s="6">
        <v>174.96</v>
      </c>
      <c r="O221" s="6">
        <v>38.26</v>
      </c>
      <c r="P221" s="6">
        <v>136.69999999999999</v>
      </c>
      <c r="Q221" t="s">
        <v>59</v>
      </c>
      <c r="R221" t="s">
        <v>60</v>
      </c>
      <c r="S221" t="s">
        <v>67</v>
      </c>
    </row>
    <row r="222" spans="1:19" x14ac:dyDescent="0.35">
      <c r="A222" t="s">
        <v>332</v>
      </c>
      <c r="B222" s="5">
        <v>45739</v>
      </c>
      <c r="C222" t="s">
        <v>104</v>
      </c>
      <c r="D222" t="s">
        <v>105</v>
      </c>
      <c r="E222">
        <v>2</v>
      </c>
      <c r="F222" s="6">
        <v>65</v>
      </c>
      <c r="G222" s="7">
        <v>0</v>
      </c>
      <c r="H222" s="6">
        <v>130</v>
      </c>
      <c r="I222">
        <v>0</v>
      </c>
      <c r="J222" s="6">
        <v>0</v>
      </c>
      <c r="K222">
        <v>2</v>
      </c>
      <c r="L222" s="6">
        <v>130</v>
      </c>
      <c r="M222" s="6">
        <v>84.57</v>
      </c>
      <c r="N222" s="6">
        <v>45.43</v>
      </c>
      <c r="O222" s="6">
        <v>9.0299999999999994</v>
      </c>
      <c r="P222" s="6">
        <v>36.4</v>
      </c>
      <c r="Q222" t="s">
        <v>65</v>
      </c>
      <c r="R222" t="s">
        <v>60</v>
      </c>
      <c r="S222" t="s">
        <v>67</v>
      </c>
    </row>
    <row r="223" spans="1:19" x14ac:dyDescent="0.35">
      <c r="A223" t="s">
        <v>333</v>
      </c>
      <c r="B223" s="5">
        <v>45777</v>
      </c>
      <c r="C223" t="s">
        <v>104</v>
      </c>
      <c r="D223" t="s">
        <v>105</v>
      </c>
      <c r="E223">
        <v>6</v>
      </c>
      <c r="F223" s="6">
        <v>65</v>
      </c>
      <c r="G223" s="7">
        <v>0</v>
      </c>
      <c r="H223" s="6">
        <v>390</v>
      </c>
      <c r="I223">
        <v>0</v>
      </c>
      <c r="J223" s="6">
        <v>0</v>
      </c>
      <c r="K223">
        <v>6</v>
      </c>
      <c r="L223" s="6">
        <v>390</v>
      </c>
      <c r="M223" s="6">
        <v>331.3</v>
      </c>
      <c r="N223" s="6">
        <v>58.7</v>
      </c>
      <c r="O223" s="6">
        <v>22.69</v>
      </c>
      <c r="P223" s="6">
        <v>36.01</v>
      </c>
      <c r="Q223" t="s">
        <v>75</v>
      </c>
      <c r="R223" t="s">
        <v>66</v>
      </c>
      <c r="S223" t="s">
        <v>67</v>
      </c>
    </row>
    <row r="224" spans="1:19" x14ac:dyDescent="0.35">
      <c r="A224" t="s">
        <v>334</v>
      </c>
      <c r="B224" s="5">
        <v>45934</v>
      </c>
      <c r="C224" t="s">
        <v>100</v>
      </c>
      <c r="D224" t="s">
        <v>64</v>
      </c>
      <c r="E224">
        <v>2</v>
      </c>
      <c r="F224" s="6">
        <v>310</v>
      </c>
      <c r="G224" s="7">
        <v>0</v>
      </c>
      <c r="H224" s="6">
        <v>620</v>
      </c>
      <c r="I224">
        <v>0</v>
      </c>
      <c r="J224" s="6">
        <v>0</v>
      </c>
      <c r="K224">
        <v>2</v>
      </c>
      <c r="L224" s="6">
        <v>620</v>
      </c>
      <c r="M224" s="6">
        <v>509.52</v>
      </c>
      <c r="N224" s="6">
        <v>110.48</v>
      </c>
      <c r="O224" s="6">
        <v>75.73</v>
      </c>
      <c r="P224" s="6">
        <v>34.75</v>
      </c>
      <c r="Q224" t="s">
        <v>65</v>
      </c>
      <c r="R224" t="s">
        <v>60</v>
      </c>
      <c r="S224" t="s">
        <v>76</v>
      </c>
    </row>
    <row r="225" spans="1:19" x14ac:dyDescent="0.35">
      <c r="A225" t="s">
        <v>335</v>
      </c>
      <c r="B225" s="5">
        <v>45830</v>
      </c>
      <c r="C225" t="s">
        <v>100</v>
      </c>
      <c r="D225" t="s">
        <v>64</v>
      </c>
      <c r="E225">
        <v>2</v>
      </c>
      <c r="F225" s="6">
        <v>310</v>
      </c>
      <c r="G225" s="7">
        <v>0</v>
      </c>
      <c r="H225" s="6">
        <v>620</v>
      </c>
      <c r="I225">
        <v>0</v>
      </c>
      <c r="J225" s="6">
        <v>0</v>
      </c>
      <c r="K225">
        <v>2</v>
      </c>
      <c r="L225" s="6">
        <v>620</v>
      </c>
      <c r="M225" s="6">
        <v>418.17</v>
      </c>
      <c r="N225" s="6">
        <v>201.83</v>
      </c>
      <c r="O225" s="6">
        <v>53.35</v>
      </c>
      <c r="P225" s="6">
        <v>148.47999999999999</v>
      </c>
      <c r="Q225" t="s">
        <v>59</v>
      </c>
      <c r="R225" t="s">
        <v>66</v>
      </c>
      <c r="S225" t="s">
        <v>61</v>
      </c>
    </row>
    <row r="226" spans="1:19" x14ac:dyDescent="0.35">
      <c r="A226" t="s">
        <v>336</v>
      </c>
      <c r="B226" s="5">
        <v>45766</v>
      </c>
      <c r="C226" t="s">
        <v>69</v>
      </c>
      <c r="D226" t="s">
        <v>70</v>
      </c>
      <c r="E226">
        <v>3</v>
      </c>
      <c r="F226" s="6">
        <v>210</v>
      </c>
      <c r="G226" s="7">
        <v>2</v>
      </c>
      <c r="H226" s="6">
        <v>617.4</v>
      </c>
      <c r="I226">
        <v>0</v>
      </c>
      <c r="J226" s="6">
        <v>0</v>
      </c>
      <c r="K226">
        <v>3</v>
      </c>
      <c r="L226" s="6">
        <v>617.4</v>
      </c>
      <c r="M226" s="6">
        <v>388.96</v>
      </c>
      <c r="N226" s="6">
        <v>228.44</v>
      </c>
      <c r="O226" s="6">
        <v>66.25</v>
      </c>
      <c r="P226" s="6">
        <v>162.19</v>
      </c>
      <c r="Q226" t="s">
        <v>59</v>
      </c>
      <c r="R226" t="s">
        <v>86</v>
      </c>
      <c r="S226" t="s">
        <v>76</v>
      </c>
    </row>
    <row r="227" spans="1:19" x14ac:dyDescent="0.35">
      <c r="A227" t="s">
        <v>337</v>
      </c>
      <c r="B227" s="5">
        <v>45868</v>
      </c>
      <c r="C227" t="s">
        <v>107</v>
      </c>
      <c r="D227" t="s">
        <v>74</v>
      </c>
      <c r="E227">
        <v>8</v>
      </c>
      <c r="F227" s="6">
        <v>125</v>
      </c>
      <c r="G227" s="7">
        <v>5</v>
      </c>
      <c r="H227" s="6">
        <v>950</v>
      </c>
      <c r="I227">
        <v>0</v>
      </c>
      <c r="J227" s="6">
        <v>0</v>
      </c>
      <c r="K227">
        <v>8</v>
      </c>
      <c r="L227" s="6">
        <v>950</v>
      </c>
      <c r="M227" s="6">
        <v>669.54</v>
      </c>
      <c r="N227" s="6">
        <v>280.45999999999998</v>
      </c>
      <c r="O227" s="6">
        <v>74.08</v>
      </c>
      <c r="P227" s="6">
        <v>206.38</v>
      </c>
      <c r="Q227" t="s">
        <v>59</v>
      </c>
      <c r="R227" t="s">
        <v>60</v>
      </c>
      <c r="S227" t="s">
        <v>61</v>
      </c>
    </row>
    <row r="228" spans="1:19" x14ac:dyDescent="0.35">
      <c r="A228" t="s">
        <v>338</v>
      </c>
      <c r="B228" s="5">
        <v>45695</v>
      </c>
      <c r="C228" t="s">
        <v>92</v>
      </c>
      <c r="D228" t="s">
        <v>79</v>
      </c>
      <c r="E228">
        <v>1</v>
      </c>
      <c r="F228" s="6">
        <v>85</v>
      </c>
      <c r="G228" s="7">
        <v>0</v>
      </c>
      <c r="H228" s="6">
        <v>85</v>
      </c>
      <c r="I228">
        <v>0</v>
      </c>
      <c r="J228" s="6">
        <v>0</v>
      </c>
      <c r="K228">
        <v>1</v>
      </c>
      <c r="L228" s="6">
        <v>85</v>
      </c>
      <c r="M228" s="6">
        <v>66.17</v>
      </c>
      <c r="N228" s="6">
        <v>18.829999999999998</v>
      </c>
      <c r="O228" s="6">
        <v>6.05</v>
      </c>
      <c r="P228" s="6">
        <v>12.78</v>
      </c>
      <c r="Q228" t="s">
        <v>59</v>
      </c>
      <c r="R228" t="s">
        <v>86</v>
      </c>
      <c r="S228" t="s">
        <v>61</v>
      </c>
    </row>
    <row r="229" spans="1:19" x14ac:dyDescent="0.35">
      <c r="A229" t="s">
        <v>339</v>
      </c>
      <c r="B229" s="5">
        <v>45706</v>
      </c>
      <c r="C229" t="s">
        <v>107</v>
      </c>
      <c r="D229" t="s">
        <v>74</v>
      </c>
      <c r="E229">
        <v>2</v>
      </c>
      <c r="F229" s="6">
        <v>125</v>
      </c>
      <c r="G229" s="7">
        <v>5</v>
      </c>
      <c r="H229" s="6">
        <v>237.5</v>
      </c>
      <c r="I229">
        <v>0</v>
      </c>
      <c r="J229" s="6">
        <v>0</v>
      </c>
      <c r="K229">
        <v>2</v>
      </c>
      <c r="L229" s="6">
        <v>237.5</v>
      </c>
      <c r="M229" s="6">
        <v>182.86</v>
      </c>
      <c r="N229" s="6">
        <v>54.64</v>
      </c>
      <c r="O229" s="6">
        <v>15.78</v>
      </c>
      <c r="P229" s="6">
        <v>38.86</v>
      </c>
      <c r="Q229" t="s">
        <v>65</v>
      </c>
      <c r="R229" t="s">
        <v>82</v>
      </c>
      <c r="S229" t="s">
        <v>61</v>
      </c>
    </row>
    <row r="230" spans="1:19" x14ac:dyDescent="0.35">
      <c r="A230" t="s">
        <v>340</v>
      </c>
      <c r="B230" s="5">
        <v>45821</v>
      </c>
      <c r="C230" t="s">
        <v>121</v>
      </c>
      <c r="D230" t="s">
        <v>70</v>
      </c>
      <c r="E230">
        <v>1</v>
      </c>
      <c r="F230" s="6">
        <v>110</v>
      </c>
      <c r="G230" s="7">
        <v>15</v>
      </c>
      <c r="H230" s="6">
        <v>93.5</v>
      </c>
      <c r="I230">
        <v>0</v>
      </c>
      <c r="J230" s="6">
        <v>0</v>
      </c>
      <c r="K230">
        <v>1</v>
      </c>
      <c r="L230" s="6">
        <v>93.5</v>
      </c>
      <c r="M230" s="6">
        <v>68.7</v>
      </c>
      <c r="N230" s="6">
        <v>24.8</v>
      </c>
      <c r="O230" s="6">
        <v>7.09</v>
      </c>
      <c r="P230" s="6">
        <v>17.71</v>
      </c>
      <c r="Q230" t="s">
        <v>65</v>
      </c>
      <c r="R230" t="s">
        <v>60</v>
      </c>
      <c r="S230" t="s">
        <v>61</v>
      </c>
    </row>
    <row r="231" spans="1:19" x14ac:dyDescent="0.35">
      <c r="A231" t="s">
        <v>341</v>
      </c>
      <c r="B231" s="5">
        <v>45668</v>
      </c>
      <c r="C231" t="s">
        <v>100</v>
      </c>
      <c r="D231" t="s">
        <v>64</v>
      </c>
      <c r="E231">
        <v>3</v>
      </c>
      <c r="F231" s="6">
        <v>310</v>
      </c>
      <c r="G231" s="7">
        <v>2</v>
      </c>
      <c r="H231" s="6">
        <v>911.4</v>
      </c>
      <c r="I231">
        <v>0</v>
      </c>
      <c r="J231" s="6">
        <v>0</v>
      </c>
      <c r="K231">
        <v>3</v>
      </c>
      <c r="L231" s="6">
        <v>911.4</v>
      </c>
      <c r="M231" s="6">
        <v>728.7</v>
      </c>
      <c r="N231" s="6">
        <v>182.7</v>
      </c>
      <c r="O231" s="6">
        <v>93.44</v>
      </c>
      <c r="P231" s="6">
        <v>89.26</v>
      </c>
      <c r="Q231" t="s">
        <v>81</v>
      </c>
      <c r="R231" t="s">
        <v>60</v>
      </c>
      <c r="S231" t="s">
        <v>67</v>
      </c>
    </row>
    <row r="232" spans="1:19" x14ac:dyDescent="0.35">
      <c r="A232" t="s">
        <v>342</v>
      </c>
      <c r="B232" s="5">
        <v>45771</v>
      </c>
      <c r="C232" t="s">
        <v>88</v>
      </c>
      <c r="D232" t="s">
        <v>57</v>
      </c>
      <c r="E232">
        <v>3</v>
      </c>
      <c r="F232" s="6">
        <v>30</v>
      </c>
      <c r="G232" s="7">
        <v>0</v>
      </c>
      <c r="H232" s="6">
        <v>90</v>
      </c>
      <c r="I232">
        <v>0</v>
      </c>
      <c r="J232" s="6">
        <v>0</v>
      </c>
      <c r="K232">
        <v>3</v>
      </c>
      <c r="L232" s="6">
        <v>90</v>
      </c>
      <c r="M232" s="6">
        <v>63.92</v>
      </c>
      <c r="N232" s="6">
        <v>26.08</v>
      </c>
      <c r="O232" s="6">
        <v>7.3</v>
      </c>
      <c r="P232" s="6">
        <v>18.78</v>
      </c>
      <c r="Q232" t="s">
        <v>81</v>
      </c>
      <c r="R232" t="s">
        <v>86</v>
      </c>
      <c r="S232" t="s">
        <v>71</v>
      </c>
    </row>
    <row r="233" spans="1:19" x14ac:dyDescent="0.35">
      <c r="A233" t="s">
        <v>343</v>
      </c>
      <c r="B233" s="5">
        <v>45689</v>
      </c>
      <c r="C233" t="s">
        <v>104</v>
      </c>
      <c r="D233" t="s">
        <v>105</v>
      </c>
      <c r="E233">
        <v>1</v>
      </c>
      <c r="F233" s="6">
        <v>65</v>
      </c>
      <c r="G233" s="7">
        <v>0</v>
      </c>
      <c r="H233" s="6">
        <v>65</v>
      </c>
      <c r="I233">
        <v>0</v>
      </c>
      <c r="J233" s="6">
        <v>0</v>
      </c>
      <c r="K233">
        <v>1</v>
      </c>
      <c r="L233" s="6">
        <v>65</v>
      </c>
      <c r="M233" s="6">
        <v>54.14</v>
      </c>
      <c r="N233" s="6">
        <v>10.86</v>
      </c>
      <c r="O233" s="6">
        <v>4.74</v>
      </c>
      <c r="P233" s="6">
        <v>6.12</v>
      </c>
      <c r="Q233" t="s">
        <v>81</v>
      </c>
      <c r="R233" t="s">
        <v>60</v>
      </c>
      <c r="S233" t="s">
        <v>76</v>
      </c>
    </row>
    <row r="234" spans="1:19" x14ac:dyDescent="0.35">
      <c r="A234" t="s">
        <v>344</v>
      </c>
      <c r="B234" s="5">
        <v>45959</v>
      </c>
      <c r="C234" t="s">
        <v>107</v>
      </c>
      <c r="D234" t="s">
        <v>243</v>
      </c>
      <c r="E234">
        <v>2</v>
      </c>
      <c r="F234" s="6">
        <v>125</v>
      </c>
      <c r="G234" s="7">
        <v>0</v>
      </c>
      <c r="H234" s="6">
        <v>250</v>
      </c>
      <c r="I234">
        <v>0</v>
      </c>
      <c r="J234" s="6">
        <v>0</v>
      </c>
      <c r="K234">
        <v>2</v>
      </c>
      <c r="L234" s="6">
        <v>250</v>
      </c>
      <c r="M234" s="6">
        <v>193.16</v>
      </c>
      <c r="N234" s="6">
        <v>56.84</v>
      </c>
      <c r="O234" s="6">
        <v>32.07</v>
      </c>
      <c r="P234" s="6">
        <v>24.77</v>
      </c>
      <c r="Q234" t="s">
        <v>65</v>
      </c>
      <c r="R234" t="s">
        <v>82</v>
      </c>
      <c r="S234" t="s">
        <v>76</v>
      </c>
    </row>
    <row r="235" spans="1:19" x14ac:dyDescent="0.35">
      <c r="A235" t="s">
        <v>345</v>
      </c>
      <c r="B235" s="5">
        <v>45926</v>
      </c>
      <c r="C235" t="s">
        <v>69</v>
      </c>
      <c r="D235" t="s">
        <v>70</v>
      </c>
      <c r="E235">
        <v>1</v>
      </c>
      <c r="F235" s="6">
        <v>210</v>
      </c>
      <c r="G235" s="7">
        <v>0</v>
      </c>
      <c r="H235" s="6">
        <v>210</v>
      </c>
      <c r="I235">
        <v>0</v>
      </c>
      <c r="J235" s="6">
        <v>0</v>
      </c>
      <c r="K235">
        <v>1</v>
      </c>
      <c r="L235" s="6">
        <v>210</v>
      </c>
      <c r="M235" s="6">
        <v>168.16</v>
      </c>
      <c r="N235" s="6">
        <v>41.84</v>
      </c>
      <c r="O235" s="6">
        <v>19.559999999999999</v>
      </c>
      <c r="P235" s="6">
        <v>22.28</v>
      </c>
      <c r="Q235" t="s">
        <v>81</v>
      </c>
      <c r="R235" t="s">
        <v>82</v>
      </c>
      <c r="S235" t="s">
        <v>67</v>
      </c>
    </row>
    <row r="236" spans="1:19" x14ac:dyDescent="0.35">
      <c r="A236" t="s">
        <v>346</v>
      </c>
      <c r="B236" s="5">
        <v>45935</v>
      </c>
      <c r="C236" t="s">
        <v>73</v>
      </c>
      <c r="D236" t="s">
        <v>74</v>
      </c>
      <c r="E236">
        <v>1</v>
      </c>
      <c r="F236" s="6">
        <v>280</v>
      </c>
      <c r="G236" s="7">
        <v>15</v>
      </c>
      <c r="H236" s="6">
        <v>238</v>
      </c>
      <c r="I236">
        <v>0</v>
      </c>
      <c r="J236" s="6">
        <v>0</v>
      </c>
      <c r="K236">
        <v>1</v>
      </c>
      <c r="L236" s="6">
        <v>238</v>
      </c>
      <c r="M236" s="6">
        <v>175.46</v>
      </c>
      <c r="N236" s="6">
        <v>62.54</v>
      </c>
      <c r="O236" s="6">
        <v>18.420000000000002</v>
      </c>
      <c r="P236" s="6">
        <v>44.12</v>
      </c>
      <c r="Q236" t="s">
        <v>59</v>
      </c>
      <c r="R236" t="s">
        <v>66</v>
      </c>
      <c r="S236" t="s">
        <v>67</v>
      </c>
    </row>
    <row r="237" spans="1:19" x14ac:dyDescent="0.35">
      <c r="A237" t="s">
        <v>347</v>
      </c>
      <c r="B237" s="5">
        <v>45938</v>
      </c>
      <c r="C237" t="s">
        <v>114</v>
      </c>
      <c r="D237" t="s">
        <v>64</v>
      </c>
      <c r="E237">
        <v>3</v>
      </c>
      <c r="F237" s="6">
        <v>420</v>
      </c>
      <c r="G237" s="7">
        <v>0</v>
      </c>
      <c r="H237" s="6">
        <v>1260</v>
      </c>
      <c r="I237">
        <v>0</v>
      </c>
      <c r="J237" s="6">
        <v>0</v>
      </c>
      <c r="K237">
        <v>3</v>
      </c>
      <c r="L237" s="6">
        <v>1260</v>
      </c>
      <c r="M237" s="6">
        <v>952.06</v>
      </c>
      <c r="N237" s="6">
        <v>307.94</v>
      </c>
      <c r="O237" s="6">
        <v>151.03</v>
      </c>
      <c r="P237" s="6">
        <v>156.91</v>
      </c>
      <c r="Q237" t="s">
        <v>65</v>
      </c>
      <c r="R237" t="s">
        <v>66</v>
      </c>
      <c r="S237" t="s">
        <v>76</v>
      </c>
    </row>
    <row r="238" spans="1:19" x14ac:dyDescent="0.35">
      <c r="A238" t="s">
        <v>348</v>
      </c>
      <c r="B238" s="5">
        <v>45761</v>
      </c>
      <c r="C238" t="s">
        <v>88</v>
      </c>
      <c r="D238" t="s">
        <v>57</v>
      </c>
      <c r="E238">
        <v>3</v>
      </c>
      <c r="F238" s="6">
        <v>30</v>
      </c>
      <c r="G238" s="7">
        <v>0</v>
      </c>
      <c r="H238" s="6">
        <v>90</v>
      </c>
      <c r="I238">
        <v>0</v>
      </c>
      <c r="J238" s="6">
        <v>0</v>
      </c>
      <c r="K238">
        <v>3</v>
      </c>
      <c r="L238" s="6">
        <v>90</v>
      </c>
      <c r="M238" s="6">
        <v>61.13</v>
      </c>
      <c r="N238" s="6">
        <v>28.87</v>
      </c>
      <c r="O238" s="6">
        <v>11.64</v>
      </c>
      <c r="P238" s="6">
        <v>17.23</v>
      </c>
      <c r="Q238" t="s">
        <v>59</v>
      </c>
      <c r="R238" t="s">
        <v>86</v>
      </c>
      <c r="S238" t="s">
        <v>61</v>
      </c>
    </row>
    <row r="239" spans="1:19" x14ac:dyDescent="0.35">
      <c r="A239" t="s">
        <v>349</v>
      </c>
      <c r="B239" s="5">
        <v>45723</v>
      </c>
      <c r="C239" t="s">
        <v>350</v>
      </c>
      <c r="D239" t="s">
        <v>85</v>
      </c>
      <c r="E239">
        <v>4</v>
      </c>
      <c r="F239" s="6">
        <v>48</v>
      </c>
      <c r="G239" s="7">
        <v>0</v>
      </c>
      <c r="H239" s="6">
        <v>192</v>
      </c>
      <c r="I239">
        <v>0</v>
      </c>
      <c r="J239" s="6">
        <v>0</v>
      </c>
      <c r="K239">
        <v>4</v>
      </c>
      <c r="L239" s="6">
        <v>192</v>
      </c>
      <c r="M239" s="6">
        <v>153.25</v>
      </c>
      <c r="N239" s="6">
        <v>38.75</v>
      </c>
      <c r="O239" s="6">
        <v>19.05</v>
      </c>
      <c r="P239" s="6">
        <v>19.7</v>
      </c>
      <c r="Q239" t="s">
        <v>75</v>
      </c>
      <c r="R239" t="s">
        <v>86</v>
      </c>
      <c r="S239" t="s">
        <v>67</v>
      </c>
    </row>
    <row r="240" spans="1:19" x14ac:dyDescent="0.35">
      <c r="A240" t="s">
        <v>351</v>
      </c>
      <c r="B240" s="5">
        <v>45671</v>
      </c>
      <c r="C240" t="s">
        <v>97</v>
      </c>
      <c r="D240" t="s">
        <v>57</v>
      </c>
      <c r="E240">
        <v>3</v>
      </c>
      <c r="F240" s="6">
        <v>55</v>
      </c>
      <c r="G240" s="7">
        <v>0</v>
      </c>
      <c r="H240" s="6">
        <v>165</v>
      </c>
      <c r="I240">
        <v>0</v>
      </c>
      <c r="J240" s="6">
        <v>0</v>
      </c>
      <c r="K240">
        <v>3</v>
      </c>
      <c r="L240" s="6">
        <v>165</v>
      </c>
      <c r="M240" s="6">
        <v>132.44</v>
      </c>
      <c r="N240" s="6">
        <v>32.56</v>
      </c>
      <c r="O240" s="6">
        <v>18.09</v>
      </c>
      <c r="P240" s="6">
        <v>14.47</v>
      </c>
      <c r="Q240" t="s">
        <v>75</v>
      </c>
      <c r="R240" t="s">
        <v>82</v>
      </c>
      <c r="S240" t="s">
        <v>67</v>
      </c>
    </row>
    <row r="241" spans="1:19" x14ac:dyDescent="0.35">
      <c r="A241" t="s">
        <v>352</v>
      </c>
      <c r="B241" s="5">
        <v>45789</v>
      </c>
      <c r="C241" t="s">
        <v>104</v>
      </c>
      <c r="D241" t="s">
        <v>105</v>
      </c>
      <c r="E241">
        <v>2</v>
      </c>
      <c r="F241" s="6">
        <v>65</v>
      </c>
      <c r="G241" s="7">
        <v>0</v>
      </c>
      <c r="H241" s="6">
        <v>130</v>
      </c>
      <c r="I241">
        <v>0</v>
      </c>
      <c r="J241" s="6">
        <v>0</v>
      </c>
      <c r="K241">
        <v>2</v>
      </c>
      <c r="L241" s="6">
        <v>130</v>
      </c>
      <c r="M241" s="6">
        <v>90.13</v>
      </c>
      <c r="N241" s="6">
        <v>39.869999999999997</v>
      </c>
      <c r="O241" s="6">
        <v>16.86</v>
      </c>
      <c r="P241" s="6">
        <v>23.01</v>
      </c>
      <c r="Q241" t="s">
        <v>59</v>
      </c>
      <c r="R241" t="s">
        <v>66</v>
      </c>
      <c r="S241" t="s">
        <v>61</v>
      </c>
    </row>
    <row r="242" spans="1:19" x14ac:dyDescent="0.35">
      <c r="A242" t="s">
        <v>353</v>
      </c>
      <c r="B242" s="5">
        <v>46016</v>
      </c>
      <c r="C242" t="s">
        <v>104</v>
      </c>
      <c r="D242" t="s">
        <v>105</v>
      </c>
      <c r="E242" t="s">
        <v>58</v>
      </c>
      <c r="F242" s="6">
        <v>65</v>
      </c>
      <c r="G242" s="7">
        <v>0</v>
      </c>
      <c r="H242" s="6">
        <v>325</v>
      </c>
      <c r="I242">
        <v>0</v>
      </c>
      <c r="J242" s="6">
        <v>0</v>
      </c>
      <c r="K242">
        <v>5</v>
      </c>
      <c r="L242" s="6">
        <v>325</v>
      </c>
      <c r="M242" s="6">
        <v>212.25</v>
      </c>
      <c r="N242" s="6">
        <v>112.75</v>
      </c>
      <c r="O242" s="6">
        <v>16.3</v>
      </c>
      <c r="P242" s="6">
        <v>96.45</v>
      </c>
      <c r="Q242" t="s">
        <v>75</v>
      </c>
      <c r="R242" t="s">
        <v>82</v>
      </c>
      <c r="S242" t="s">
        <v>71</v>
      </c>
    </row>
    <row r="243" spans="1:19" x14ac:dyDescent="0.35">
      <c r="A243" t="s">
        <v>354</v>
      </c>
      <c r="B243" s="5">
        <v>45671</v>
      </c>
      <c r="C243" t="s">
        <v>121</v>
      </c>
      <c r="D243" t="s">
        <v>70</v>
      </c>
      <c r="E243">
        <v>2</v>
      </c>
      <c r="F243" s="6">
        <v>110</v>
      </c>
      <c r="G243" s="7">
        <v>5</v>
      </c>
      <c r="H243" s="6">
        <v>209</v>
      </c>
      <c r="I243">
        <v>0</v>
      </c>
      <c r="J243" s="6">
        <v>0</v>
      </c>
      <c r="K243">
        <v>2</v>
      </c>
      <c r="L243" s="6">
        <v>209</v>
      </c>
      <c r="M243" s="6">
        <v>134.24</v>
      </c>
      <c r="N243" s="6">
        <v>74.760000000000005</v>
      </c>
      <c r="O243" s="6">
        <v>18.489999999999998</v>
      </c>
      <c r="P243" s="6">
        <v>56.27</v>
      </c>
      <c r="Q243" t="s">
        <v>59</v>
      </c>
      <c r="R243" t="s">
        <v>86</v>
      </c>
      <c r="S243" t="s">
        <v>67</v>
      </c>
    </row>
    <row r="244" spans="1:19" x14ac:dyDescent="0.35">
      <c r="A244" t="s">
        <v>355</v>
      </c>
      <c r="B244" s="5">
        <v>45816</v>
      </c>
      <c r="C244" t="s">
        <v>117</v>
      </c>
      <c r="D244" t="s">
        <v>74</v>
      </c>
      <c r="E244">
        <v>2</v>
      </c>
      <c r="F244" s="6">
        <v>95</v>
      </c>
      <c r="G244" s="7">
        <v>5</v>
      </c>
      <c r="H244" s="6">
        <v>180.5</v>
      </c>
      <c r="I244">
        <v>0</v>
      </c>
      <c r="J244" s="6">
        <v>0</v>
      </c>
      <c r="K244">
        <v>2</v>
      </c>
      <c r="L244" s="6">
        <v>180.5</v>
      </c>
      <c r="M244" s="6">
        <v>114.2</v>
      </c>
      <c r="N244" s="6">
        <v>66.3</v>
      </c>
      <c r="O244" s="6">
        <v>17.68</v>
      </c>
      <c r="P244" s="6">
        <v>48.62</v>
      </c>
      <c r="Q244" t="s">
        <v>65</v>
      </c>
      <c r="R244" t="s">
        <v>86</v>
      </c>
      <c r="S244" t="s">
        <v>76</v>
      </c>
    </row>
    <row r="245" spans="1:19" x14ac:dyDescent="0.35">
      <c r="A245" t="s">
        <v>356</v>
      </c>
      <c r="B245" s="5">
        <v>45774</v>
      </c>
      <c r="C245" t="s">
        <v>107</v>
      </c>
      <c r="D245" t="s">
        <v>74</v>
      </c>
      <c r="E245">
        <v>4</v>
      </c>
      <c r="F245" s="6">
        <v>125</v>
      </c>
      <c r="G245" s="7">
        <v>0</v>
      </c>
      <c r="H245" s="6">
        <v>500</v>
      </c>
      <c r="I245">
        <v>0</v>
      </c>
      <c r="J245" s="6">
        <v>0</v>
      </c>
      <c r="K245">
        <v>4</v>
      </c>
      <c r="L245" s="6">
        <v>500</v>
      </c>
      <c r="M245" s="6">
        <v>393.45</v>
      </c>
      <c r="N245" s="6">
        <v>106.55</v>
      </c>
      <c r="O245" s="6">
        <v>64.28</v>
      </c>
      <c r="P245" s="6">
        <v>42.27</v>
      </c>
      <c r="Q245" t="s">
        <v>59</v>
      </c>
      <c r="R245" t="s">
        <v>86</v>
      </c>
      <c r="S245" t="s">
        <v>61</v>
      </c>
    </row>
    <row r="246" spans="1:19" x14ac:dyDescent="0.35">
      <c r="A246" t="s">
        <v>357</v>
      </c>
      <c r="B246" s="5">
        <v>45773</v>
      </c>
      <c r="C246" t="s">
        <v>92</v>
      </c>
      <c r="D246" t="s">
        <v>79</v>
      </c>
      <c r="E246">
        <v>3</v>
      </c>
      <c r="F246" s="6">
        <v>85</v>
      </c>
      <c r="G246" s="7">
        <v>0</v>
      </c>
      <c r="H246" s="6">
        <v>255</v>
      </c>
      <c r="I246">
        <v>0</v>
      </c>
      <c r="J246" s="6">
        <v>0</v>
      </c>
      <c r="K246">
        <v>3</v>
      </c>
      <c r="L246" s="6">
        <v>255</v>
      </c>
      <c r="M246" s="6">
        <v>178.19</v>
      </c>
      <c r="N246" s="6">
        <v>76.81</v>
      </c>
      <c r="O246" s="6">
        <v>14.56</v>
      </c>
      <c r="P246" s="6">
        <v>62.25</v>
      </c>
      <c r="Q246" t="s">
        <v>75</v>
      </c>
      <c r="R246" t="s">
        <v>60</v>
      </c>
      <c r="S246" t="s">
        <v>61</v>
      </c>
    </row>
    <row r="247" spans="1:19" x14ac:dyDescent="0.35">
      <c r="A247" t="s">
        <v>358</v>
      </c>
      <c r="B247" s="5">
        <v>45897</v>
      </c>
      <c r="C247" t="s">
        <v>73</v>
      </c>
      <c r="D247" t="s">
        <v>74</v>
      </c>
      <c r="E247">
        <v>10</v>
      </c>
      <c r="F247" s="6">
        <v>280</v>
      </c>
      <c r="G247" s="7">
        <v>10</v>
      </c>
      <c r="H247" s="6">
        <v>2520</v>
      </c>
      <c r="I247">
        <v>0</v>
      </c>
      <c r="J247" s="6">
        <v>0</v>
      </c>
      <c r="K247">
        <v>10</v>
      </c>
      <c r="L247" s="6">
        <v>2520</v>
      </c>
      <c r="M247" s="6">
        <v>1951.02</v>
      </c>
      <c r="N247" s="6">
        <v>568.98</v>
      </c>
      <c r="O247" s="6">
        <v>254.25</v>
      </c>
      <c r="P247" s="6">
        <v>314.73</v>
      </c>
      <c r="Q247" t="s">
        <v>59</v>
      </c>
      <c r="R247" t="s">
        <v>60</v>
      </c>
      <c r="S247" t="s">
        <v>76</v>
      </c>
    </row>
    <row r="248" spans="1:19" x14ac:dyDescent="0.35">
      <c r="A248" t="s">
        <v>359</v>
      </c>
      <c r="B248" s="5">
        <v>45718</v>
      </c>
      <c r="C248" t="s">
        <v>109</v>
      </c>
      <c r="D248" t="s">
        <v>85</v>
      </c>
      <c r="E248">
        <v>10</v>
      </c>
      <c r="F248" s="6">
        <v>180</v>
      </c>
      <c r="G248" s="7">
        <v>5</v>
      </c>
      <c r="H248" s="6">
        <v>1710</v>
      </c>
      <c r="I248">
        <v>0</v>
      </c>
      <c r="J248" s="6">
        <v>0</v>
      </c>
      <c r="K248">
        <v>10</v>
      </c>
      <c r="L248" s="6">
        <v>1710</v>
      </c>
      <c r="M248" s="6">
        <v>1363.89</v>
      </c>
      <c r="N248" s="6">
        <v>346.11</v>
      </c>
      <c r="O248" s="6">
        <v>113.26</v>
      </c>
      <c r="P248" s="6">
        <v>232.85</v>
      </c>
      <c r="Q248" t="s">
        <v>81</v>
      </c>
      <c r="R248" t="s">
        <v>82</v>
      </c>
      <c r="S248" t="s">
        <v>76</v>
      </c>
    </row>
    <row r="249" spans="1:19" x14ac:dyDescent="0.35">
      <c r="A249" t="s">
        <v>360</v>
      </c>
      <c r="B249" s="5">
        <v>45708</v>
      </c>
      <c r="C249" t="s">
        <v>90</v>
      </c>
      <c r="D249" t="s">
        <v>70</v>
      </c>
      <c r="E249">
        <v>4</v>
      </c>
      <c r="F249" s="6">
        <v>38</v>
      </c>
      <c r="G249" s="7">
        <v>2</v>
      </c>
      <c r="H249" s="6">
        <v>148.96</v>
      </c>
      <c r="I249">
        <v>0</v>
      </c>
      <c r="J249" s="6">
        <v>0</v>
      </c>
      <c r="K249">
        <v>4</v>
      </c>
      <c r="L249" s="6">
        <v>148.96</v>
      </c>
      <c r="M249" s="6">
        <v>113.32</v>
      </c>
      <c r="N249" s="6">
        <v>35.64</v>
      </c>
      <c r="O249" s="6">
        <v>18.53</v>
      </c>
      <c r="P249" s="6">
        <v>17.11</v>
      </c>
      <c r="Q249" t="s">
        <v>75</v>
      </c>
      <c r="R249" t="s">
        <v>60</v>
      </c>
      <c r="S249" t="s">
        <v>71</v>
      </c>
    </row>
    <row r="250" spans="1:19" x14ac:dyDescent="0.35">
      <c r="A250" t="s">
        <v>361</v>
      </c>
      <c r="B250" s="5">
        <v>45731</v>
      </c>
      <c r="C250" t="s">
        <v>362</v>
      </c>
      <c r="D250" t="s">
        <v>64</v>
      </c>
      <c r="E250">
        <v>2</v>
      </c>
      <c r="F250" s="6">
        <v>52</v>
      </c>
      <c r="G250" s="7">
        <v>10</v>
      </c>
      <c r="H250" s="6">
        <v>93.6</v>
      </c>
      <c r="I250">
        <v>0</v>
      </c>
      <c r="J250" s="6">
        <v>0</v>
      </c>
      <c r="K250">
        <v>2</v>
      </c>
      <c r="L250" s="6">
        <v>93.6</v>
      </c>
      <c r="M250" s="6">
        <v>76.95</v>
      </c>
      <c r="N250" s="6">
        <v>16.649999999999999</v>
      </c>
      <c r="O250" s="6">
        <v>10.69</v>
      </c>
      <c r="P250" s="6">
        <v>5.96</v>
      </c>
      <c r="Q250" t="s">
        <v>65</v>
      </c>
      <c r="R250" t="s">
        <v>66</v>
      </c>
      <c r="S250" t="s">
        <v>61</v>
      </c>
    </row>
    <row r="251" spans="1:19" x14ac:dyDescent="0.35">
      <c r="A251" t="s">
        <v>363</v>
      </c>
      <c r="B251" s="5">
        <v>45757</v>
      </c>
      <c r="C251" t="s">
        <v>109</v>
      </c>
      <c r="D251" t="s">
        <v>85</v>
      </c>
      <c r="E251">
        <v>4</v>
      </c>
      <c r="F251" s="6">
        <v>180</v>
      </c>
      <c r="G251" s="7">
        <v>0</v>
      </c>
      <c r="H251" s="6">
        <v>720</v>
      </c>
      <c r="I251">
        <v>0</v>
      </c>
      <c r="J251" s="6">
        <v>0</v>
      </c>
      <c r="K251">
        <v>4</v>
      </c>
      <c r="L251" s="6">
        <v>720</v>
      </c>
      <c r="M251" s="6">
        <v>602.6</v>
      </c>
      <c r="N251" s="6">
        <v>117.4</v>
      </c>
      <c r="O251" s="6">
        <v>80.94</v>
      </c>
      <c r="P251" s="6">
        <v>36.46</v>
      </c>
      <c r="Q251" t="s">
        <v>81</v>
      </c>
      <c r="R251" t="s">
        <v>66</v>
      </c>
      <c r="S251" t="s">
        <v>71</v>
      </c>
    </row>
    <row r="252" spans="1:19" x14ac:dyDescent="0.35">
      <c r="A252" t="s">
        <v>364</v>
      </c>
      <c r="B252" s="5">
        <v>46021</v>
      </c>
      <c r="C252" t="s">
        <v>121</v>
      </c>
      <c r="D252" t="s">
        <v>70</v>
      </c>
      <c r="E252">
        <v>3</v>
      </c>
      <c r="F252" s="6">
        <v>110</v>
      </c>
      <c r="G252" s="7">
        <v>0</v>
      </c>
      <c r="H252" s="6">
        <v>330</v>
      </c>
      <c r="I252">
        <v>0</v>
      </c>
      <c r="J252" s="6">
        <v>0</v>
      </c>
      <c r="K252">
        <v>3</v>
      </c>
      <c r="L252" s="6">
        <v>330</v>
      </c>
      <c r="M252" s="6">
        <v>264.11</v>
      </c>
      <c r="N252" s="6">
        <v>65.89</v>
      </c>
      <c r="O252" s="6">
        <v>41.75</v>
      </c>
      <c r="P252" s="6">
        <v>24.14</v>
      </c>
      <c r="Q252" t="s">
        <v>81</v>
      </c>
      <c r="R252" t="s">
        <v>82</v>
      </c>
      <c r="S252" t="s">
        <v>71</v>
      </c>
    </row>
    <row r="253" spans="1:19" x14ac:dyDescent="0.35">
      <c r="A253" t="s">
        <v>365</v>
      </c>
      <c r="B253" s="5">
        <v>45763</v>
      </c>
      <c r="C253" t="s">
        <v>56</v>
      </c>
      <c r="D253" t="s">
        <v>57</v>
      </c>
      <c r="E253">
        <v>2</v>
      </c>
      <c r="F253" s="6">
        <v>40</v>
      </c>
      <c r="G253" s="7">
        <v>10</v>
      </c>
      <c r="H253" s="6">
        <v>72</v>
      </c>
      <c r="I253">
        <v>0</v>
      </c>
      <c r="J253" s="6">
        <v>0</v>
      </c>
      <c r="K253">
        <v>2</v>
      </c>
      <c r="L253" s="6">
        <v>72</v>
      </c>
      <c r="M253" s="6">
        <v>48.95</v>
      </c>
      <c r="N253" s="6">
        <v>23.05</v>
      </c>
      <c r="O253" s="6">
        <v>7.97</v>
      </c>
      <c r="P253" s="6">
        <v>15.08</v>
      </c>
      <c r="Q253" t="s">
        <v>75</v>
      </c>
      <c r="R253" t="s">
        <v>366</v>
      </c>
      <c r="S253" t="s">
        <v>71</v>
      </c>
    </row>
    <row r="254" spans="1:19" x14ac:dyDescent="0.35">
      <c r="A254" t="s">
        <v>367</v>
      </c>
      <c r="B254" s="5">
        <v>45678</v>
      </c>
      <c r="C254" t="s">
        <v>69</v>
      </c>
      <c r="D254" t="s">
        <v>70</v>
      </c>
      <c r="E254">
        <v>1</v>
      </c>
      <c r="F254" s="6">
        <v>210</v>
      </c>
      <c r="G254" s="7">
        <v>10</v>
      </c>
      <c r="H254" s="6">
        <v>189</v>
      </c>
      <c r="I254">
        <v>0</v>
      </c>
      <c r="J254" s="6">
        <v>0</v>
      </c>
      <c r="K254">
        <v>1</v>
      </c>
      <c r="L254" s="6">
        <v>189</v>
      </c>
      <c r="M254" s="6">
        <v>119.29</v>
      </c>
      <c r="N254" s="6">
        <v>69.709999999999994</v>
      </c>
      <c r="O254" s="6">
        <v>17.95</v>
      </c>
      <c r="P254" s="6">
        <v>51.76</v>
      </c>
      <c r="Q254" t="s">
        <v>65</v>
      </c>
      <c r="R254" t="s">
        <v>82</v>
      </c>
      <c r="S254" t="s">
        <v>67</v>
      </c>
    </row>
    <row r="255" spans="1:19" x14ac:dyDescent="0.35">
      <c r="A255" t="s">
        <v>368</v>
      </c>
      <c r="B255" s="5">
        <v>45856</v>
      </c>
      <c r="C255" t="s">
        <v>56</v>
      </c>
      <c r="D255" t="s">
        <v>57</v>
      </c>
      <c r="E255">
        <v>1</v>
      </c>
      <c r="F255" s="6">
        <v>40</v>
      </c>
      <c r="G255" s="7">
        <v>0</v>
      </c>
      <c r="H255" s="6">
        <v>40</v>
      </c>
      <c r="I255">
        <v>0</v>
      </c>
      <c r="J255" s="6">
        <v>0</v>
      </c>
      <c r="K255">
        <v>1</v>
      </c>
      <c r="L255" s="6">
        <v>40</v>
      </c>
      <c r="M255" s="6">
        <v>31.83</v>
      </c>
      <c r="N255" s="6">
        <v>8.17</v>
      </c>
      <c r="O255" s="6">
        <v>2.41</v>
      </c>
      <c r="P255" s="6">
        <v>5.76</v>
      </c>
      <c r="Q255" t="s">
        <v>75</v>
      </c>
      <c r="R255" t="s">
        <v>82</v>
      </c>
      <c r="S255" t="s">
        <v>71</v>
      </c>
    </row>
    <row r="256" spans="1:19" x14ac:dyDescent="0.35">
      <c r="A256" t="s">
        <v>369</v>
      </c>
      <c r="B256" s="5">
        <v>45744</v>
      </c>
      <c r="C256" t="s">
        <v>69</v>
      </c>
      <c r="D256" t="s">
        <v>70</v>
      </c>
      <c r="E256">
        <v>5</v>
      </c>
      <c r="F256" s="6">
        <v>210</v>
      </c>
      <c r="G256" s="7">
        <v>2</v>
      </c>
      <c r="H256" s="6">
        <v>1029</v>
      </c>
      <c r="I256">
        <v>0</v>
      </c>
      <c r="J256" s="6">
        <v>0</v>
      </c>
      <c r="K256">
        <v>5</v>
      </c>
      <c r="L256" s="6">
        <v>1029</v>
      </c>
      <c r="M256" s="6">
        <v>760.1</v>
      </c>
      <c r="N256" s="6">
        <v>268.89999999999998</v>
      </c>
      <c r="O256" s="6">
        <v>63.38</v>
      </c>
      <c r="P256" s="6">
        <v>205.52</v>
      </c>
      <c r="Q256" t="s">
        <v>81</v>
      </c>
      <c r="R256" t="s">
        <v>66</v>
      </c>
      <c r="S256" t="s">
        <v>61</v>
      </c>
    </row>
    <row r="257" spans="1:19" x14ac:dyDescent="0.35">
      <c r="A257" t="s">
        <v>370</v>
      </c>
      <c r="B257" s="5">
        <v>45835</v>
      </c>
      <c r="C257" t="s">
        <v>107</v>
      </c>
      <c r="D257" t="s">
        <v>74</v>
      </c>
      <c r="E257">
        <v>3</v>
      </c>
      <c r="F257" s="6">
        <v>125</v>
      </c>
      <c r="G257" s="7">
        <v>15</v>
      </c>
      <c r="H257" s="6">
        <v>318.75</v>
      </c>
      <c r="I257">
        <v>0</v>
      </c>
      <c r="J257" s="6">
        <v>0</v>
      </c>
      <c r="K257">
        <v>3</v>
      </c>
      <c r="L257" s="6">
        <v>318.75</v>
      </c>
      <c r="M257" s="6">
        <v>244.18</v>
      </c>
      <c r="N257" s="6">
        <v>74.569999999999993</v>
      </c>
      <c r="O257" s="6">
        <v>18.850000000000001</v>
      </c>
      <c r="P257" s="6">
        <v>55.72</v>
      </c>
      <c r="Q257" t="s">
        <v>75</v>
      </c>
      <c r="R257" t="s">
        <v>86</v>
      </c>
      <c r="S257" t="s">
        <v>76</v>
      </c>
    </row>
    <row r="258" spans="1:19" x14ac:dyDescent="0.35">
      <c r="A258" t="s">
        <v>371</v>
      </c>
      <c r="B258" s="5">
        <v>45685</v>
      </c>
      <c r="C258" t="s">
        <v>84</v>
      </c>
      <c r="D258" t="s">
        <v>85</v>
      </c>
      <c r="E258">
        <v>1</v>
      </c>
      <c r="F258" s="6">
        <v>48</v>
      </c>
      <c r="G258" s="7">
        <v>2</v>
      </c>
      <c r="H258" s="6">
        <v>47.04</v>
      </c>
      <c r="I258">
        <v>0</v>
      </c>
      <c r="J258" s="6">
        <v>0</v>
      </c>
      <c r="K258">
        <v>1</v>
      </c>
      <c r="L258" s="6">
        <v>47.04</v>
      </c>
      <c r="M258" s="6">
        <v>35.32</v>
      </c>
      <c r="N258" s="6">
        <v>11.72</v>
      </c>
      <c r="O258" s="6">
        <v>3.21</v>
      </c>
      <c r="P258" s="6">
        <v>8.51</v>
      </c>
      <c r="Q258" t="s">
        <v>81</v>
      </c>
      <c r="R258" t="s">
        <v>60</v>
      </c>
      <c r="S258" t="s">
        <v>67</v>
      </c>
    </row>
    <row r="259" spans="1:19" x14ac:dyDescent="0.35">
      <c r="A259" t="s">
        <v>372</v>
      </c>
      <c r="B259" s="5">
        <v>45998</v>
      </c>
      <c r="C259" t="s">
        <v>56</v>
      </c>
      <c r="D259" t="s">
        <v>57</v>
      </c>
      <c r="E259">
        <v>4</v>
      </c>
      <c r="F259" s="6">
        <v>40</v>
      </c>
      <c r="G259" s="7">
        <v>0</v>
      </c>
      <c r="H259" s="6">
        <v>160</v>
      </c>
      <c r="I259">
        <v>0</v>
      </c>
      <c r="J259" s="6">
        <v>0</v>
      </c>
      <c r="K259">
        <v>4</v>
      </c>
      <c r="L259" s="6">
        <v>160</v>
      </c>
      <c r="M259" s="6">
        <v>102.34</v>
      </c>
      <c r="N259" s="6">
        <v>57.66</v>
      </c>
      <c r="O259" s="6">
        <v>14.2</v>
      </c>
      <c r="P259" s="6">
        <v>43.46</v>
      </c>
      <c r="Q259" t="s">
        <v>75</v>
      </c>
      <c r="R259" t="s">
        <v>82</v>
      </c>
      <c r="S259" t="s">
        <v>71</v>
      </c>
    </row>
    <row r="260" spans="1:19" x14ac:dyDescent="0.35">
      <c r="A260" t="s">
        <v>373</v>
      </c>
      <c r="B260" s="5">
        <v>45733</v>
      </c>
      <c r="C260" t="s">
        <v>117</v>
      </c>
      <c r="D260" t="s">
        <v>74</v>
      </c>
      <c r="E260">
        <v>1</v>
      </c>
      <c r="F260" s="6">
        <v>95</v>
      </c>
      <c r="G260" s="7">
        <v>0</v>
      </c>
      <c r="H260" s="6">
        <v>95</v>
      </c>
      <c r="I260">
        <v>0</v>
      </c>
      <c r="J260" s="6">
        <v>0</v>
      </c>
      <c r="K260">
        <v>1</v>
      </c>
      <c r="L260" s="6">
        <v>95</v>
      </c>
      <c r="M260" s="6">
        <v>78.55</v>
      </c>
      <c r="N260" s="6">
        <v>16.45</v>
      </c>
      <c r="O260" s="6">
        <v>10.44</v>
      </c>
      <c r="P260" s="6">
        <v>6.01</v>
      </c>
      <c r="Q260" t="s">
        <v>65</v>
      </c>
      <c r="R260" t="s">
        <v>60</v>
      </c>
      <c r="S260" t="s">
        <v>61</v>
      </c>
    </row>
    <row r="261" spans="1:19" x14ac:dyDescent="0.35">
      <c r="A261" t="s">
        <v>374</v>
      </c>
      <c r="B261" s="5">
        <v>45934</v>
      </c>
      <c r="C261" t="s">
        <v>109</v>
      </c>
      <c r="D261" t="s">
        <v>85</v>
      </c>
      <c r="E261">
        <v>5</v>
      </c>
      <c r="F261" s="6">
        <v>180</v>
      </c>
      <c r="G261" s="7">
        <v>0</v>
      </c>
      <c r="H261" s="6">
        <v>900</v>
      </c>
      <c r="I261">
        <v>0</v>
      </c>
      <c r="J261" s="6">
        <v>0</v>
      </c>
      <c r="K261">
        <v>5</v>
      </c>
      <c r="L261" s="6">
        <v>900</v>
      </c>
      <c r="M261" s="6">
        <v>569.22</v>
      </c>
      <c r="N261" s="6">
        <v>330.78</v>
      </c>
      <c r="O261" s="6">
        <v>59.5</v>
      </c>
      <c r="P261" s="6">
        <v>271.27999999999997</v>
      </c>
      <c r="Q261" t="s">
        <v>65</v>
      </c>
      <c r="R261" t="s">
        <v>82</v>
      </c>
      <c r="S261" t="s">
        <v>76</v>
      </c>
    </row>
    <row r="262" spans="1:19" x14ac:dyDescent="0.35">
      <c r="A262" t="s">
        <v>375</v>
      </c>
      <c r="B262" s="5">
        <v>45749</v>
      </c>
      <c r="C262" t="s">
        <v>376</v>
      </c>
      <c r="D262" t="s">
        <v>64</v>
      </c>
      <c r="E262">
        <v>5</v>
      </c>
      <c r="F262" s="6">
        <v>145</v>
      </c>
      <c r="G262" s="7">
        <v>0</v>
      </c>
      <c r="H262" s="6">
        <v>725</v>
      </c>
      <c r="I262">
        <v>0</v>
      </c>
      <c r="J262" s="6">
        <v>0</v>
      </c>
      <c r="K262">
        <v>5</v>
      </c>
      <c r="L262" s="6">
        <v>725</v>
      </c>
      <c r="M262" s="6">
        <v>485.15</v>
      </c>
      <c r="N262" s="6">
        <v>239.85</v>
      </c>
      <c r="O262" s="6">
        <v>87.27</v>
      </c>
      <c r="P262" s="6">
        <v>152.58000000000001</v>
      </c>
      <c r="Q262" t="s">
        <v>81</v>
      </c>
      <c r="R262" t="s">
        <v>60</v>
      </c>
      <c r="S262" t="s">
        <v>67</v>
      </c>
    </row>
    <row r="263" spans="1:19" x14ac:dyDescent="0.35">
      <c r="A263" t="s">
        <v>377</v>
      </c>
      <c r="B263" s="5">
        <v>45701</v>
      </c>
      <c r="C263" t="s">
        <v>97</v>
      </c>
      <c r="D263" t="s">
        <v>57</v>
      </c>
      <c r="E263">
        <v>3</v>
      </c>
      <c r="F263" s="6">
        <v>55</v>
      </c>
      <c r="G263" s="7">
        <v>5</v>
      </c>
      <c r="H263" s="6">
        <v>156.75</v>
      </c>
      <c r="I263">
        <v>0</v>
      </c>
      <c r="J263" s="6">
        <v>0</v>
      </c>
      <c r="K263">
        <v>3</v>
      </c>
      <c r="L263" s="6">
        <v>156.75</v>
      </c>
      <c r="M263" s="6">
        <v>118.18</v>
      </c>
      <c r="N263" s="6">
        <v>38.57</v>
      </c>
      <c r="O263" s="6">
        <v>9.02</v>
      </c>
      <c r="P263" s="6">
        <v>29.55</v>
      </c>
      <c r="Q263" t="s">
        <v>75</v>
      </c>
      <c r="R263" t="s">
        <v>82</v>
      </c>
      <c r="S263" t="s">
        <v>61</v>
      </c>
    </row>
    <row r="264" spans="1:19" x14ac:dyDescent="0.35">
      <c r="A264" t="s">
        <v>378</v>
      </c>
      <c r="B264" s="5">
        <v>45964</v>
      </c>
      <c r="C264" t="s">
        <v>95</v>
      </c>
      <c r="D264" t="s">
        <v>64</v>
      </c>
      <c r="E264">
        <v>1</v>
      </c>
      <c r="F264" s="6">
        <v>52</v>
      </c>
      <c r="G264" s="7">
        <v>2</v>
      </c>
      <c r="H264" s="6">
        <v>50.96</v>
      </c>
      <c r="I264">
        <v>0</v>
      </c>
      <c r="J264" s="6">
        <v>0</v>
      </c>
      <c r="K264">
        <v>1</v>
      </c>
      <c r="L264" s="6">
        <v>50.96</v>
      </c>
      <c r="M264" s="6">
        <v>41.65</v>
      </c>
      <c r="N264" s="6">
        <v>9.31</v>
      </c>
      <c r="O264" s="6">
        <v>5.71</v>
      </c>
      <c r="P264" s="6">
        <v>3.6</v>
      </c>
      <c r="Q264" t="s">
        <v>59</v>
      </c>
      <c r="R264" t="s">
        <v>86</v>
      </c>
      <c r="S264" t="s">
        <v>61</v>
      </c>
    </row>
    <row r="265" spans="1:19" x14ac:dyDescent="0.35">
      <c r="A265" t="s">
        <v>379</v>
      </c>
      <c r="B265" s="5">
        <v>45704</v>
      </c>
      <c r="C265" t="s">
        <v>84</v>
      </c>
      <c r="D265" t="s">
        <v>85</v>
      </c>
      <c r="E265">
        <v>1</v>
      </c>
      <c r="F265" s="6">
        <v>48</v>
      </c>
      <c r="G265" s="7">
        <v>0</v>
      </c>
      <c r="H265" s="6">
        <v>48</v>
      </c>
      <c r="I265">
        <v>0</v>
      </c>
      <c r="J265" s="6">
        <v>0</v>
      </c>
      <c r="K265">
        <v>1</v>
      </c>
      <c r="L265" s="6">
        <v>48</v>
      </c>
      <c r="M265" s="6">
        <v>38.49</v>
      </c>
      <c r="N265" s="6">
        <v>9.51</v>
      </c>
      <c r="O265" s="6">
        <v>3.6</v>
      </c>
      <c r="P265" s="6">
        <v>5.91</v>
      </c>
      <c r="Q265" t="s">
        <v>59</v>
      </c>
      <c r="R265" t="s">
        <v>86</v>
      </c>
      <c r="S265" t="s">
        <v>71</v>
      </c>
    </row>
    <row r="266" spans="1:19" x14ac:dyDescent="0.35">
      <c r="A266" t="s">
        <v>380</v>
      </c>
      <c r="B266" s="5">
        <v>46022</v>
      </c>
      <c r="C266" t="s">
        <v>88</v>
      </c>
      <c r="D266" t="s">
        <v>57</v>
      </c>
      <c r="E266">
        <v>3</v>
      </c>
      <c r="F266" s="6">
        <v>30</v>
      </c>
      <c r="G266" s="7">
        <v>0</v>
      </c>
      <c r="H266" s="6">
        <v>90</v>
      </c>
      <c r="I266">
        <v>0</v>
      </c>
      <c r="J266" s="6">
        <v>0</v>
      </c>
      <c r="K266">
        <v>3</v>
      </c>
      <c r="L266" s="6">
        <v>90</v>
      </c>
      <c r="M266" s="6">
        <v>67.849999999999994</v>
      </c>
      <c r="N266" s="6">
        <v>22.15</v>
      </c>
      <c r="O266" s="6">
        <v>8.92</v>
      </c>
      <c r="P266" s="6">
        <v>13.23</v>
      </c>
      <c r="Q266" t="s">
        <v>59</v>
      </c>
      <c r="R266" t="s">
        <v>60</v>
      </c>
      <c r="S266" t="s">
        <v>71</v>
      </c>
    </row>
    <row r="267" spans="1:19" x14ac:dyDescent="0.35">
      <c r="A267" t="s">
        <v>381</v>
      </c>
      <c r="B267" s="5">
        <v>45833</v>
      </c>
      <c r="C267" t="s">
        <v>264</v>
      </c>
      <c r="D267" t="s">
        <v>85</v>
      </c>
      <c r="E267">
        <v>10</v>
      </c>
      <c r="F267" s="6">
        <v>20</v>
      </c>
      <c r="G267" s="7">
        <v>0</v>
      </c>
      <c r="H267" s="6">
        <v>200</v>
      </c>
      <c r="I267">
        <v>0</v>
      </c>
      <c r="J267" s="6">
        <v>0</v>
      </c>
      <c r="K267">
        <v>10</v>
      </c>
      <c r="L267" s="6">
        <v>200</v>
      </c>
      <c r="M267" s="6">
        <v>133.69999999999999</v>
      </c>
      <c r="N267" s="6">
        <v>66.3</v>
      </c>
      <c r="O267" s="6">
        <v>24.3</v>
      </c>
      <c r="P267" s="6">
        <v>42</v>
      </c>
      <c r="Q267" t="s">
        <v>59</v>
      </c>
      <c r="R267" t="s">
        <v>66</v>
      </c>
      <c r="S267" t="s">
        <v>61</v>
      </c>
    </row>
    <row r="268" spans="1:19" x14ac:dyDescent="0.35">
      <c r="A268" t="s">
        <v>382</v>
      </c>
      <c r="B268" s="5">
        <v>45786</v>
      </c>
      <c r="C268" t="s">
        <v>109</v>
      </c>
      <c r="D268" t="s">
        <v>85</v>
      </c>
      <c r="E268">
        <v>8</v>
      </c>
      <c r="F268" s="6">
        <v>180</v>
      </c>
      <c r="G268" s="7">
        <v>10</v>
      </c>
      <c r="H268" s="6">
        <v>1296</v>
      </c>
      <c r="I268">
        <v>0</v>
      </c>
      <c r="J268" s="6">
        <v>0</v>
      </c>
      <c r="K268">
        <v>8</v>
      </c>
      <c r="L268" s="6">
        <v>1296</v>
      </c>
      <c r="M268" s="6">
        <v>840.11</v>
      </c>
      <c r="N268" s="6">
        <v>455.89</v>
      </c>
      <c r="O268" s="6">
        <v>97.94</v>
      </c>
      <c r="P268" s="6">
        <v>357.95</v>
      </c>
      <c r="Q268" t="s">
        <v>59</v>
      </c>
      <c r="R268" t="s">
        <v>66</v>
      </c>
      <c r="S268" t="s">
        <v>76</v>
      </c>
    </row>
    <row r="269" spans="1:19" x14ac:dyDescent="0.35">
      <c r="A269" t="s">
        <v>383</v>
      </c>
      <c r="B269" s="5">
        <v>45982</v>
      </c>
      <c r="C269" t="s">
        <v>90</v>
      </c>
      <c r="D269" t="s">
        <v>70</v>
      </c>
      <c r="E269">
        <v>2</v>
      </c>
      <c r="F269" s="6">
        <v>38</v>
      </c>
      <c r="G269" s="7">
        <v>15</v>
      </c>
      <c r="H269" s="6">
        <v>64.599999999999994</v>
      </c>
      <c r="I269">
        <v>0</v>
      </c>
      <c r="J269" s="6">
        <v>0</v>
      </c>
      <c r="K269">
        <v>2</v>
      </c>
      <c r="L269" s="6">
        <v>64.599999999999994</v>
      </c>
      <c r="M269" s="6">
        <v>55.24</v>
      </c>
      <c r="N269" s="6">
        <v>9.36</v>
      </c>
      <c r="O269" s="6">
        <v>3.9</v>
      </c>
      <c r="P269" s="6">
        <v>5.46</v>
      </c>
      <c r="Q269" t="s">
        <v>75</v>
      </c>
      <c r="R269" t="s">
        <v>199</v>
      </c>
      <c r="S269" t="s">
        <v>67</v>
      </c>
    </row>
    <row r="270" spans="1:19" x14ac:dyDescent="0.35">
      <c r="A270" t="s">
        <v>384</v>
      </c>
      <c r="B270" s="5">
        <v>45922</v>
      </c>
      <c r="C270" t="s">
        <v>63</v>
      </c>
      <c r="D270" t="s">
        <v>64</v>
      </c>
      <c r="E270">
        <v>4</v>
      </c>
      <c r="F270" s="6">
        <v>145</v>
      </c>
      <c r="G270" s="7">
        <v>10</v>
      </c>
      <c r="H270" s="6">
        <v>522</v>
      </c>
      <c r="I270">
        <v>0</v>
      </c>
      <c r="J270" s="6">
        <v>0</v>
      </c>
      <c r="K270">
        <v>4</v>
      </c>
      <c r="L270" s="6">
        <v>522</v>
      </c>
      <c r="M270" s="6">
        <v>333.59</v>
      </c>
      <c r="N270" s="6">
        <v>188.41</v>
      </c>
      <c r="O270" s="6">
        <v>33.93</v>
      </c>
      <c r="P270" s="6">
        <v>154.47999999999999</v>
      </c>
      <c r="Q270" t="s">
        <v>65</v>
      </c>
      <c r="R270" t="s">
        <v>82</v>
      </c>
      <c r="S270" t="s">
        <v>71</v>
      </c>
    </row>
    <row r="271" spans="1:19" x14ac:dyDescent="0.35">
      <c r="A271" t="s">
        <v>385</v>
      </c>
      <c r="B271" s="5">
        <v>45870</v>
      </c>
      <c r="C271" t="s">
        <v>109</v>
      </c>
      <c r="D271" t="s">
        <v>85</v>
      </c>
      <c r="E271">
        <v>4</v>
      </c>
      <c r="F271" s="6">
        <v>180</v>
      </c>
      <c r="G271" s="7">
        <v>0</v>
      </c>
      <c r="H271" s="6">
        <v>720</v>
      </c>
      <c r="I271">
        <v>0</v>
      </c>
      <c r="J271" s="6">
        <v>0</v>
      </c>
      <c r="K271">
        <v>4</v>
      </c>
      <c r="L271" s="6">
        <v>720</v>
      </c>
      <c r="M271" s="6">
        <v>527.82000000000005</v>
      </c>
      <c r="N271" s="6">
        <v>192.18</v>
      </c>
      <c r="O271" s="6">
        <v>62.45</v>
      </c>
      <c r="P271" s="6">
        <v>129.72999999999999</v>
      </c>
      <c r="Q271" t="s">
        <v>65</v>
      </c>
      <c r="R271" t="s">
        <v>82</v>
      </c>
      <c r="S271" t="s">
        <v>71</v>
      </c>
    </row>
    <row r="272" spans="1:19" x14ac:dyDescent="0.35">
      <c r="A272" t="s">
        <v>386</v>
      </c>
      <c r="B272" s="5">
        <v>45820</v>
      </c>
      <c r="C272" t="s">
        <v>95</v>
      </c>
      <c r="D272" t="s">
        <v>64</v>
      </c>
      <c r="E272">
        <v>6</v>
      </c>
      <c r="F272" s="6">
        <v>52</v>
      </c>
      <c r="G272" s="7">
        <v>0</v>
      </c>
      <c r="H272" s="6">
        <v>312</v>
      </c>
      <c r="I272">
        <v>0</v>
      </c>
      <c r="J272" s="6">
        <v>0</v>
      </c>
      <c r="K272">
        <v>6</v>
      </c>
      <c r="L272" s="6">
        <v>312</v>
      </c>
      <c r="M272" s="6">
        <v>211.74</v>
      </c>
      <c r="N272" s="6">
        <v>100.26</v>
      </c>
      <c r="O272" s="6">
        <v>17.78</v>
      </c>
      <c r="P272" s="6">
        <v>82.48</v>
      </c>
      <c r="Q272" t="s">
        <v>65</v>
      </c>
      <c r="R272" t="s">
        <v>82</v>
      </c>
      <c r="S272" t="s">
        <v>67</v>
      </c>
    </row>
    <row r="273" spans="1:19" x14ac:dyDescent="0.35">
      <c r="A273" t="s">
        <v>387</v>
      </c>
      <c r="B273" s="5">
        <v>45982</v>
      </c>
      <c r="C273" t="s">
        <v>92</v>
      </c>
      <c r="D273" t="s">
        <v>79</v>
      </c>
      <c r="E273">
        <v>3</v>
      </c>
      <c r="F273" s="6">
        <v>85</v>
      </c>
      <c r="G273" s="7">
        <v>5</v>
      </c>
      <c r="H273" s="6">
        <v>242.25</v>
      </c>
      <c r="I273">
        <v>0</v>
      </c>
      <c r="J273" s="6">
        <v>0</v>
      </c>
      <c r="K273">
        <v>3</v>
      </c>
      <c r="L273" s="6">
        <v>242.25</v>
      </c>
      <c r="M273" s="6">
        <v>188.05</v>
      </c>
      <c r="N273" s="6">
        <v>54.2</v>
      </c>
      <c r="O273" s="6">
        <v>18.940000000000001</v>
      </c>
      <c r="P273" s="6">
        <v>35.26</v>
      </c>
      <c r="Q273" t="s">
        <v>65</v>
      </c>
      <c r="R273" t="s">
        <v>60</v>
      </c>
      <c r="S273" t="s">
        <v>71</v>
      </c>
    </row>
    <row r="274" spans="1:19" x14ac:dyDescent="0.35">
      <c r="A274" t="s">
        <v>388</v>
      </c>
      <c r="B274" s="5">
        <v>45905</v>
      </c>
      <c r="C274" t="s">
        <v>73</v>
      </c>
      <c r="D274" t="s">
        <v>74</v>
      </c>
      <c r="E274">
        <v>2</v>
      </c>
      <c r="F274" s="6">
        <v>280</v>
      </c>
      <c r="G274" s="7">
        <v>0</v>
      </c>
      <c r="H274" s="6">
        <v>560</v>
      </c>
      <c r="I274">
        <v>0</v>
      </c>
      <c r="J274" s="6">
        <v>0</v>
      </c>
      <c r="K274">
        <v>2</v>
      </c>
      <c r="L274" s="6">
        <v>560</v>
      </c>
      <c r="M274" s="6">
        <v>446.56</v>
      </c>
      <c r="N274" s="6">
        <v>113.44</v>
      </c>
      <c r="O274" s="6">
        <v>42.11</v>
      </c>
      <c r="P274" s="6">
        <v>71.33</v>
      </c>
      <c r="Q274" t="s">
        <v>65</v>
      </c>
      <c r="R274" t="s">
        <v>60</v>
      </c>
      <c r="S274" t="s">
        <v>76</v>
      </c>
    </row>
    <row r="275" spans="1:19" x14ac:dyDescent="0.35">
      <c r="A275" t="s">
        <v>389</v>
      </c>
      <c r="B275" s="5">
        <v>45661</v>
      </c>
      <c r="C275" t="s">
        <v>109</v>
      </c>
      <c r="D275" t="s">
        <v>85</v>
      </c>
      <c r="E275">
        <v>6</v>
      </c>
      <c r="F275" s="6">
        <v>180</v>
      </c>
      <c r="G275" s="7">
        <v>0</v>
      </c>
      <c r="H275" s="6">
        <v>1080</v>
      </c>
      <c r="I275">
        <v>0</v>
      </c>
      <c r="J275" s="6">
        <v>0</v>
      </c>
      <c r="K275">
        <v>6</v>
      </c>
      <c r="L275" s="6">
        <v>1080</v>
      </c>
      <c r="M275" s="6">
        <v>886.56</v>
      </c>
      <c r="N275" s="6">
        <v>193.44</v>
      </c>
      <c r="O275" s="6">
        <v>109.54</v>
      </c>
      <c r="P275" s="6">
        <v>83.9</v>
      </c>
      <c r="Q275" t="s">
        <v>81</v>
      </c>
      <c r="R275" t="s">
        <v>66</v>
      </c>
      <c r="S275" t="s">
        <v>76</v>
      </c>
    </row>
    <row r="276" spans="1:19" x14ac:dyDescent="0.35">
      <c r="A276" t="s">
        <v>390</v>
      </c>
      <c r="B276" s="5">
        <v>45696</v>
      </c>
      <c r="C276" t="s">
        <v>293</v>
      </c>
      <c r="D276" t="s">
        <v>85</v>
      </c>
      <c r="E276">
        <v>2</v>
      </c>
      <c r="F276" s="6">
        <v>180</v>
      </c>
      <c r="G276" s="7">
        <v>0</v>
      </c>
      <c r="H276" s="6">
        <v>360</v>
      </c>
      <c r="I276">
        <v>0</v>
      </c>
      <c r="J276" s="6">
        <v>0</v>
      </c>
      <c r="K276">
        <v>2</v>
      </c>
      <c r="L276" s="6">
        <v>360</v>
      </c>
      <c r="M276" s="6">
        <v>289.14</v>
      </c>
      <c r="N276" s="6">
        <v>70.86</v>
      </c>
      <c r="O276" s="6">
        <v>39.869999999999997</v>
      </c>
      <c r="P276" s="6">
        <v>30.99</v>
      </c>
      <c r="Q276" t="s">
        <v>75</v>
      </c>
      <c r="R276" t="s">
        <v>60</v>
      </c>
      <c r="S276" t="s">
        <v>61</v>
      </c>
    </row>
    <row r="277" spans="1:19" x14ac:dyDescent="0.35">
      <c r="A277" t="s">
        <v>391</v>
      </c>
      <c r="B277" s="5">
        <v>45703</v>
      </c>
      <c r="C277" t="s">
        <v>90</v>
      </c>
      <c r="D277" t="s">
        <v>70</v>
      </c>
      <c r="E277">
        <v>6</v>
      </c>
      <c r="F277" s="6">
        <v>38</v>
      </c>
      <c r="G277" s="7">
        <v>2</v>
      </c>
      <c r="H277" s="6">
        <v>223.44</v>
      </c>
      <c r="I277">
        <v>1</v>
      </c>
      <c r="J277" s="6">
        <v>37.24</v>
      </c>
      <c r="K277">
        <v>5</v>
      </c>
      <c r="L277" s="6">
        <v>186.2</v>
      </c>
      <c r="M277" s="6">
        <v>154.51</v>
      </c>
      <c r="N277" s="6">
        <v>31.69</v>
      </c>
      <c r="O277" s="6">
        <v>10.96</v>
      </c>
      <c r="P277" s="6">
        <v>20.73</v>
      </c>
      <c r="Q277" t="s">
        <v>81</v>
      </c>
      <c r="R277" t="s">
        <v>82</v>
      </c>
    </row>
    <row r="278" spans="1:19" x14ac:dyDescent="0.35">
      <c r="A278" t="s">
        <v>392</v>
      </c>
      <c r="B278" s="5">
        <v>46001</v>
      </c>
      <c r="C278" t="s">
        <v>88</v>
      </c>
      <c r="D278" t="s">
        <v>57</v>
      </c>
      <c r="E278">
        <v>1</v>
      </c>
      <c r="F278" s="6">
        <v>30</v>
      </c>
      <c r="G278" s="7">
        <v>0</v>
      </c>
      <c r="H278" s="6">
        <v>30</v>
      </c>
      <c r="I278">
        <v>0</v>
      </c>
      <c r="J278" s="6">
        <v>0</v>
      </c>
      <c r="K278">
        <v>1</v>
      </c>
      <c r="L278" s="6">
        <v>30</v>
      </c>
      <c r="M278" s="6">
        <v>24.38</v>
      </c>
      <c r="N278" s="6">
        <v>5.62</v>
      </c>
      <c r="O278" s="6">
        <v>1.54</v>
      </c>
      <c r="P278" s="6">
        <v>4.08</v>
      </c>
      <c r="Q278" t="s">
        <v>81</v>
      </c>
      <c r="R278" t="s">
        <v>82</v>
      </c>
      <c r="S278" t="s">
        <v>71</v>
      </c>
    </row>
    <row r="279" spans="1:19" x14ac:dyDescent="0.35">
      <c r="A279" t="s">
        <v>393</v>
      </c>
      <c r="B279" s="5">
        <v>45830</v>
      </c>
      <c r="C279" t="s">
        <v>117</v>
      </c>
      <c r="D279" t="s">
        <v>74</v>
      </c>
      <c r="E279">
        <v>4</v>
      </c>
      <c r="F279" s="6">
        <v>95</v>
      </c>
      <c r="G279" s="7">
        <v>15</v>
      </c>
      <c r="H279" s="6">
        <v>323</v>
      </c>
      <c r="I279">
        <v>0</v>
      </c>
      <c r="J279" s="6">
        <v>0</v>
      </c>
      <c r="K279">
        <v>4</v>
      </c>
      <c r="L279" s="6">
        <v>323</v>
      </c>
      <c r="M279" s="6">
        <v>264.29000000000002</v>
      </c>
      <c r="N279" s="6">
        <v>58.71</v>
      </c>
      <c r="O279" s="6">
        <v>37.840000000000003</v>
      </c>
      <c r="P279" s="6">
        <v>20.87</v>
      </c>
      <c r="Q279" t="s">
        <v>59</v>
      </c>
      <c r="R279" t="s">
        <v>82</v>
      </c>
      <c r="S279" t="s">
        <v>76</v>
      </c>
    </row>
    <row r="280" spans="1:19" x14ac:dyDescent="0.35">
      <c r="A280" t="s">
        <v>394</v>
      </c>
      <c r="B280" s="5">
        <v>45974</v>
      </c>
      <c r="C280" t="s">
        <v>97</v>
      </c>
      <c r="D280" t="s">
        <v>153</v>
      </c>
      <c r="E280">
        <v>2</v>
      </c>
      <c r="F280" s="6">
        <v>55</v>
      </c>
      <c r="G280" s="7">
        <v>5</v>
      </c>
      <c r="H280" s="6">
        <v>104.5</v>
      </c>
      <c r="I280">
        <v>0</v>
      </c>
      <c r="J280" s="6">
        <v>0</v>
      </c>
      <c r="K280">
        <v>2</v>
      </c>
      <c r="L280" s="6">
        <v>104.5</v>
      </c>
      <c r="M280" s="6">
        <v>71.849999999999994</v>
      </c>
      <c r="N280" s="6">
        <v>32.65</v>
      </c>
      <c r="O280" s="6">
        <v>6.17</v>
      </c>
      <c r="P280" s="6">
        <v>26.48</v>
      </c>
      <c r="Q280" t="s">
        <v>65</v>
      </c>
      <c r="R280" t="s">
        <v>86</v>
      </c>
      <c r="S280" t="s">
        <v>67</v>
      </c>
    </row>
    <row r="281" spans="1:19" x14ac:dyDescent="0.35">
      <c r="A281" t="s">
        <v>395</v>
      </c>
      <c r="B281" s="5">
        <v>45991</v>
      </c>
      <c r="C281" t="s">
        <v>97</v>
      </c>
      <c r="D281" t="s">
        <v>57</v>
      </c>
      <c r="E281">
        <v>1</v>
      </c>
      <c r="F281" s="6">
        <v>55</v>
      </c>
      <c r="G281" s="7">
        <v>0</v>
      </c>
      <c r="H281" s="6">
        <v>55</v>
      </c>
      <c r="I281">
        <v>0</v>
      </c>
      <c r="J281" s="6">
        <v>0</v>
      </c>
      <c r="K281">
        <v>1</v>
      </c>
      <c r="L281" s="6">
        <v>55</v>
      </c>
      <c r="M281" s="6">
        <v>38.08</v>
      </c>
      <c r="N281" s="6">
        <v>16.920000000000002</v>
      </c>
      <c r="O281" s="6">
        <v>4.0599999999999996</v>
      </c>
      <c r="P281" s="6">
        <v>12.86</v>
      </c>
      <c r="Q281" t="s">
        <v>81</v>
      </c>
      <c r="R281" t="s">
        <v>66</v>
      </c>
      <c r="S281" t="s">
        <v>61</v>
      </c>
    </row>
    <row r="282" spans="1:19" x14ac:dyDescent="0.35">
      <c r="A282" t="s">
        <v>396</v>
      </c>
      <c r="B282" s="5">
        <v>45912</v>
      </c>
      <c r="C282" t="s">
        <v>63</v>
      </c>
      <c r="D282" t="s">
        <v>64</v>
      </c>
      <c r="E282">
        <v>6</v>
      </c>
      <c r="F282" s="6">
        <v>145</v>
      </c>
      <c r="G282" s="7">
        <v>10</v>
      </c>
      <c r="H282" s="6">
        <v>783</v>
      </c>
      <c r="I282">
        <v>0</v>
      </c>
      <c r="J282" s="6">
        <v>0</v>
      </c>
      <c r="K282">
        <v>6</v>
      </c>
      <c r="L282" s="6">
        <v>783</v>
      </c>
      <c r="M282" s="6">
        <v>547.54999999999995</v>
      </c>
      <c r="N282" s="6">
        <v>235.45</v>
      </c>
      <c r="O282" s="6">
        <v>101.1</v>
      </c>
      <c r="P282" s="6">
        <v>134.35</v>
      </c>
      <c r="Q282" t="s">
        <v>59</v>
      </c>
      <c r="R282" t="s">
        <v>86</v>
      </c>
      <c r="S282" t="s">
        <v>67</v>
      </c>
    </row>
    <row r="283" spans="1:19" x14ac:dyDescent="0.35">
      <c r="A283" t="s">
        <v>397</v>
      </c>
      <c r="B283" s="5">
        <v>45806</v>
      </c>
      <c r="C283" t="s">
        <v>107</v>
      </c>
      <c r="D283" t="s">
        <v>74</v>
      </c>
      <c r="E283">
        <v>2</v>
      </c>
      <c r="F283" s="6">
        <v>125</v>
      </c>
      <c r="G283" s="7">
        <v>0</v>
      </c>
      <c r="H283" s="6">
        <v>250</v>
      </c>
      <c r="I283">
        <v>0</v>
      </c>
      <c r="J283" s="6">
        <v>0</v>
      </c>
      <c r="K283">
        <v>2</v>
      </c>
      <c r="L283" s="6">
        <v>250</v>
      </c>
      <c r="M283" s="6">
        <v>171.07</v>
      </c>
      <c r="N283" s="6">
        <v>78.930000000000007</v>
      </c>
      <c r="O283" s="6">
        <v>23.97</v>
      </c>
      <c r="P283" s="6">
        <v>54.96</v>
      </c>
      <c r="Q283" t="s">
        <v>75</v>
      </c>
      <c r="R283" t="s">
        <v>86</v>
      </c>
      <c r="S283" t="s">
        <v>61</v>
      </c>
    </row>
    <row r="284" spans="1:19" x14ac:dyDescent="0.35">
      <c r="A284" t="s">
        <v>398</v>
      </c>
      <c r="B284" s="5">
        <v>45873</v>
      </c>
      <c r="C284" t="s">
        <v>125</v>
      </c>
      <c r="D284" t="s">
        <v>110</v>
      </c>
      <c r="E284">
        <v>3</v>
      </c>
      <c r="F284" s="6">
        <v>125</v>
      </c>
      <c r="G284" s="7">
        <v>0</v>
      </c>
      <c r="H284" s="6">
        <v>375</v>
      </c>
      <c r="I284">
        <v>0</v>
      </c>
      <c r="J284" s="6">
        <v>0</v>
      </c>
      <c r="K284">
        <v>3</v>
      </c>
      <c r="L284" s="6">
        <v>375</v>
      </c>
      <c r="M284" s="6">
        <v>240.95</v>
      </c>
      <c r="N284" s="6">
        <v>134.05000000000001</v>
      </c>
      <c r="O284" s="6">
        <v>38.83</v>
      </c>
      <c r="P284" s="6">
        <v>95.22</v>
      </c>
      <c r="Q284" t="s">
        <v>65</v>
      </c>
      <c r="R284" t="s">
        <v>66</v>
      </c>
      <c r="S284" t="s">
        <v>61</v>
      </c>
    </row>
    <row r="285" spans="1:19" x14ac:dyDescent="0.35">
      <c r="A285" t="s">
        <v>399</v>
      </c>
      <c r="B285" s="5">
        <v>45804</v>
      </c>
      <c r="C285" t="s">
        <v>90</v>
      </c>
      <c r="D285" t="s">
        <v>70</v>
      </c>
      <c r="E285">
        <v>4</v>
      </c>
      <c r="F285" s="6">
        <v>38</v>
      </c>
      <c r="G285" s="7">
        <v>0</v>
      </c>
      <c r="H285" s="6">
        <v>152</v>
      </c>
      <c r="I285">
        <v>0</v>
      </c>
      <c r="J285" s="6">
        <v>0</v>
      </c>
      <c r="K285">
        <v>4</v>
      </c>
      <c r="L285" s="6">
        <v>152</v>
      </c>
      <c r="M285" s="6">
        <v>127.46</v>
      </c>
      <c r="N285" s="6">
        <v>24.54</v>
      </c>
      <c r="O285" s="6">
        <v>9.27</v>
      </c>
      <c r="P285" s="6">
        <v>15.27</v>
      </c>
      <c r="Q285" t="s">
        <v>81</v>
      </c>
      <c r="R285" t="s">
        <v>86</v>
      </c>
      <c r="S285" t="s">
        <v>67</v>
      </c>
    </row>
    <row r="286" spans="1:19" x14ac:dyDescent="0.35">
      <c r="A286" t="s">
        <v>400</v>
      </c>
      <c r="B286" s="5">
        <v>46005</v>
      </c>
      <c r="C286" t="s">
        <v>88</v>
      </c>
      <c r="D286" t="s">
        <v>57</v>
      </c>
      <c r="E286">
        <v>8</v>
      </c>
      <c r="F286" s="6">
        <v>30</v>
      </c>
      <c r="G286" s="7">
        <v>0</v>
      </c>
      <c r="H286" s="6">
        <v>240</v>
      </c>
      <c r="I286">
        <v>0</v>
      </c>
      <c r="J286" s="6">
        <v>0</v>
      </c>
      <c r="K286">
        <v>8</v>
      </c>
      <c r="L286" s="6">
        <v>240</v>
      </c>
      <c r="M286" s="6">
        <v>194.24</v>
      </c>
      <c r="N286" s="6">
        <v>45.76</v>
      </c>
      <c r="O286" s="6">
        <v>24.99</v>
      </c>
      <c r="P286" s="6">
        <v>20.77</v>
      </c>
      <c r="Q286" t="s">
        <v>65</v>
      </c>
      <c r="R286" t="s">
        <v>86</v>
      </c>
      <c r="S286" t="s">
        <v>71</v>
      </c>
    </row>
    <row r="287" spans="1:19" x14ac:dyDescent="0.35">
      <c r="A287" t="s">
        <v>401</v>
      </c>
      <c r="B287" s="5">
        <v>45914</v>
      </c>
      <c r="C287" t="s">
        <v>69</v>
      </c>
      <c r="D287" t="s">
        <v>70</v>
      </c>
      <c r="E287">
        <v>3</v>
      </c>
      <c r="F287" s="6">
        <v>210</v>
      </c>
      <c r="G287" s="7">
        <v>2</v>
      </c>
      <c r="H287" s="6">
        <v>617.4</v>
      </c>
      <c r="I287">
        <v>0</v>
      </c>
      <c r="J287" s="6">
        <v>0</v>
      </c>
      <c r="K287">
        <v>3</v>
      </c>
      <c r="L287" s="6">
        <v>617.4</v>
      </c>
      <c r="M287" s="6">
        <v>523.63</v>
      </c>
      <c r="N287" s="6">
        <v>93.77</v>
      </c>
      <c r="O287" s="6">
        <v>67.599999999999994</v>
      </c>
      <c r="P287" s="6">
        <v>26.17</v>
      </c>
      <c r="Q287" t="s">
        <v>65</v>
      </c>
      <c r="R287" t="s">
        <v>60</v>
      </c>
      <c r="S287" t="s">
        <v>71</v>
      </c>
    </row>
    <row r="288" spans="1:19" x14ac:dyDescent="0.35">
      <c r="A288" t="s">
        <v>402</v>
      </c>
      <c r="B288" s="5">
        <v>46019</v>
      </c>
      <c r="C288" t="s">
        <v>109</v>
      </c>
      <c r="D288" t="s">
        <v>85</v>
      </c>
      <c r="E288">
        <v>6</v>
      </c>
      <c r="F288" s="6">
        <v>180</v>
      </c>
      <c r="G288" s="7">
        <v>0</v>
      </c>
      <c r="H288" s="6">
        <v>1080</v>
      </c>
      <c r="I288">
        <v>0</v>
      </c>
      <c r="J288" s="6">
        <v>0</v>
      </c>
      <c r="K288">
        <v>6</v>
      </c>
      <c r="L288" s="6">
        <v>1080</v>
      </c>
      <c r="M288" s="6">
        <v>679.91</v>
      </c>
      <c r="N288" s="6">
        <v>400.09</v>
      </c>
      <c r="O288" s="6">
        <v>132.4</v>
      </c>
      <c r="P288" s="6">
        <v>267.69</v>
      </c>
      <c r="Q288" t="s">
        <v>75</v>
      </c>
      <c r="R288" t="s">
        <v>66</v>
      </c>
      <c r="S288" t="s">
        <v>67</v>
      </c>
    </row>
    <row r="289" spans="1:19" x14ac:dyDescent="0.35">
      <c r="A289" t="s">
        <v>403</v>
      </c>
      <c r="B289" s="5">
        <v>45798</v>
      </c>
      <c r="C289" t="s">
        <v>90</v>
      </c>
      <c r="D289" t="s">
        <v>70</v>
      </c>
      <c r="E289">
        <v>3</v>
      </c>
      <c r="F289" s="6">
        <v>38</v>
      </c>
      <c r="G289" s="7">
        <v>0</v>
      </c>
      <c r="H289" s="6">
        <v>114</v>
      </c>
      <c r="I289">
        <v>0</v>
      </c>
      <c r="J289" s="6">
        <v>0</v>
      </c>
      <c r="K289">
        <v>3</v>
      </c>
      <c r="L289" s="6">
        <v>114</v>
      </c>
      <c r="M289" s="6">
        <v>87.39</v>
      </c>
      <c r="N289" s="6">
        <v>26.61</v>
      </c>
      <c r="O289" s="6">
        <v>7.59</v>
      </c>
      <c r="P289" s="6">
        <v>19.02</v>
      </c>
      <c r="Q289" t="s">
        <v>75</v>
      </c>
      <c r="R289" t="s">
        <v>82</v>
      </c>
      <c r="S289" t="s">
        <v>67</v>
      </c>
    </row>
    <row r="290" spans="1:19" x14ac:dyDescent="0.35">
      <c r="A290" t="s">
        <v>404</v>
      </c>
      <c r="B290" s="5">
        <v>45902</v>
      </c>
      <c r="C290" t="s">
        <v>121</v>
      </c>
      <c r="D290" t="s">
        <v>70</v>
      </c>
      <c r="E290">
        <v>1</v>
      </c>
      <c r="F290" s="6">
        <v>110</v>
      </c>
      <c r="G290" s="7">
        <v>5</v>
      </c>
      <c r="H290" s="6">
        <v>104.5</v>
      </c>
      <c r="I290">
        <v>0</v>
      </c>
      <c r="J290" s="6">
        <v>0</v>
      </c>
      <c r="K290">
        <v>1</v>
      </c>
      <c r="L290" s="6">
        <v>104.5</v>
      </c>
      <c r="M290" s="6">
        <v>85.96</v>
      </c>
      <c r="N290" s="6">
        <v>18.54</v>
      </c>
      <c r="O290" s="6">
        <v>9.09</v>
      </c>
      <c r="P290" s="6">
        <v>9.4499999999999993</v>
      </c>
      <c r="Q290" t="s">
        <v>75</v>
      </c>
      <c r="R290" t="s">
        <v>86</v>
      </c>
      <c r="S290" t="s">
        <v>71</v>
      </c>
    </row>
    <row r="291" spans="1:19" x14ac:dyDescent="0.35">
      <c r="A291" t="s">
        <v>405</v>
      </c>
      <c r="B291" s="5">
        <v>46001</v>
      </c>
      <c r="C291" t="s">
        <v>84</v>
      </c>
      <c r="D291" t="s">
        <v>85</v>
      </c>
      <c r="E291">
        <v>2</v>
      </c>
      <c r="F291" s="6">
        <v>48</v>
      </c>
      <c r="G291" s="7">
        <v>10</v>
      </c>
      <c r="H291" s="6">
        <v>86.4</v>
      </c>
      <c r="I291">
        <v>0</v>
      </c>
      <c r="J291" s="6">
        <v>0</v>
      </c>
      <c r="K291">
        <v>2</v>
      </c>
      <c r="L291" s="6">
        <v>86.4</v>
      </c>
      <c r="M291" s="6">
        <v>61.8</v>
      </c>
      <c r="N291" s="6">
        <v>24.6</v>
      </c>
      <c r="O291" s="6">
        <v>8.59</v>
      </c>
      <c r="P291" s="6">
        <v>16.010000000000002</v>
      </c>
      <c r="Q291" t="s">
        <v>75</v>
      </c>
      <c r="R291" t="s">
        <v>60</v>
      </c>
      <c r="S291" t="s">
        <v>76</v>
      </c>
    </row>
    <row r="292" spans="1:19" x14ac:dyDescent="0.35">
      <c r="A292" t="s">
        <v>406</v>
      </c>
      <c r="B292" s="5">
        <v>45784</v>
      </c>
      <c r="C292" t="s">
        <v>56</v>
      </c>
      <c r="D292" t="s">
        <v>57</v>
      </c>
      <c r="E292">
        <v>3</v>
      </c>
      <c r="F292" s="6">
        <v>40</v>
      </c>
      <c r="G292" s="7">
        <v>0</v>
      </c>
      <c r="H292" s="6">
        <v>120</v>
      </c>
      <c r="I292">
        <v>0</v>
      </c>
      <c r="J292" s="6">
        <v>0</v>
      </c>
      <c r="K292">
        <v>3</v>
      </c>
      <c r="L292" s="6">
        <v>120</v>
      </c>
      <c r="M292" s="6">
        <v>93.85</v>
      </c>
      <c r="N292" s="6">
        <v>26.15</v>
      </c>
      <c r="O292" s="6">
        <v>10.33</v>
      </c>
      <c r="P292" s="6">
        <v>15.82</v>
      </c>
      <c r="Q292" t="s">
        <v>81</v>
      </c>
      <c r="R292" t="s">
        <v>66</v>
      </c>
      <c r="S292" t="s">
        <v>67</v>
      </c>
    </row>
    <row r="293" spans="1:19" x14ac:dyDescent="0.35">
      <c r="A293" t="s">
        <v>407</v>
      </c>
      <c r="B293" s="5">
        <v>45897</v>
      </c>
      <c r="C293" t="s">
        <v>88</v>
      </c>
      <c r="D293" t="s">
        <v>57</v>
      </c>
      <c r="E293">
        <v>2</v>
      </c>
      <c r="F293" s="6">
        <v>30</v>
      </c>
      <c r="G293" s="7">
        <v>0</v>
      </c>
      <c r="H293" s="6">
        <v>60</v>
      </c>
      <c r="I293">
        <v>0</v>
      </c>
      <c r="J293" s="6">
        <v>0</v>
      </c>
      <c r="K293">
        <v>2</v>
      </c>
      <c r="L293" s="6">
        <v>60</v>
      </c>
      <c r="M293" s="6">
        <v>50.27</v>
      </c>
      <c r="N293" s="6">
        <v>9.73</v>
      </c>
      <c r="O293" s="6">
        <v>5.92</v>
      </c>
      <c r="P293" s="6">
        <v>3.81</v>
      </c>
      <c r="Q293" t="s">
        <v>75</v>
      </c>
      <c r="R293" t="s">
        <v>66</v>
      </c>
      <c r="S293" t="s">
        <v>71</v>
      </c>
    </row>
    <row r="294" spans="1:19" x14ac:dyDescent="0.35">
      <c r="A294" t="s">
        <v>408</v>
      </c>
      <c r="B294" s="5">
        <v>45872</v>
      </c>
      <c r="C294" t="s">
        <v>56</v>
      </c>
      <c r="D294" t="s">
        <v>57</v>
      </c>
      <c r="E294">
        <v>8</v>
      </c>
      <c r="F294" s="6">
        <v>40</v>
      </c>
      <c r="G294" s="7">
        <v>5</v>
      </c>
      <c r="H294" s="6">
        <v>304</v>
      </c>
      <c r="I294">
        <v>8</v>
      </c>
      <c r="J294" s="6">
        <v>304</v>
      </c>
      <c r="K294">
        <v>0</v>
      </c>
      <c r="L294" s="6">
        <v>0</v>
      </c>
      <c r="M294" s="6">
        <v>0</v>
      </c>
      <c r="N294" s="6">
        <v>0</v>
      </c>
      <c r="O294" s="6">
        <v>0</v>
      </c>
      <c r="P294" s="6">
        <v>0</v>
      </c>
      <c r="Q294" t="s">
        <v>75</v>
      </c>
      <c r="R294" t="s">
        <v>60</v>
      </c>
      <c r="S294" t="s">
        <v>61</v>
      </c>
    </row>
    <row r="295" spans="1:19" x14ac:dyDescent="0.35">
      <c r="A295" t="s">
        <v>409</v>
      </c>
      <c r="B295" s="5">
        <v>45896</v>
      </c>
      <c r="C295" t="s">
        <v>78</v>
      </c>
      <c r="D295" t="s">
        <v>79</v>
      </c>
      <c r="E295">
        <v>2</v>
      </c>
      <c r="F295" s="6">
        <v>120</v>
      </c>
      <c r="G295" s="7">
        <v>2</v>
      </c>
      <c r="H295" s="6">
        <v>235.2</v>
      </c>
      <c r="I295">
        <v>0</v>
      </c>
      <c r="J295" s="6">
        <v>0</v>
      </c>
      <c r="K295">
        <v>2</v>
      </c>
      <c r="L295" s="6">
        <v>235.2</v>
      </c>
      <c r="M295" s="6">
        <v>191</v>
      </c>
      <c r="N295" s="6">
        <v>44.2</v>
      </c>
      <c r="O295" s="6">
        <v>13.5</v>
      </c>
      <c r="P295" s="6">
        <v>30.7</v>
      </c>
      <c r="Q295" t="s">
        <v>65</v>
      </c>
      <c r="R295" t="s">
        <v>86</v>
      </c>
      <c r="S295" t="s">
        <v>61</v>
      </c>
    </row>
    <row r="296" spans="1:19" x14ac:dyDescent="0.35">
      <c r="A296" t="s">
        <v>410</v>
      </c>
      <c r="B296" s="5">
        <v>45762</v>
      </c>
      <c r="C296" t="s">
        <v>107</v>
      </c>
      <c r="D296" t="s">
        <v>74</v>
      </c>
      <c r="E296">
        <v>1</v>
      </c>
      <c r="F296" s="6">
        <v>125</v>
      </c>
      <c r="G296" s="7">
        <v>0</v>
      </c>
      <c r="H296" s="6">
        <v>125</v>
      </c>
      <c r="I296">
        <v>0</v>
      </c>
      <c r="J296" s="6">
        <v>0</v>
      </c>
      <c r="K296">
        <v>1</v>
      </c>
      <c r="L296" s="6">
        <v>125</v>
      </c>
      <c r="M296" s="6">
        <v>88.14</v>
      </c>
      <c r="N296" s="6">
        <v>36.86</v>
      </c>
      <c r="O296" s="6">
        <v>12.94</v>
      </c>
      <c r="P296" s="6">
        <v>23.92</v>
      </c>
      <c r="Q296" t="s">
        <v>81</v>
      </c>
      <c r="R296" t="s">
        <v>82</v>
      </c>
      <c r="S296" t="s">
        <v>76</v>
      </c>
    </row>
    <row r="297" spans="1:19" x14ac:dyDescent="0.35">
      <c r="A297" t="s">
        <v>411</v>
      </c>
      <c r="B297" s="5">
        <v>45916</v>
      </c>
      <c r="C297" t="s">
        <v>264</v>
      </c>
      <c r="D297" t="s">
        <v>85</v>
      </c>
      <c r="E297">
        <v>3</v>
      </c>
      <c r="F297" s="6">
        <v>20</v>
      </c>
      <c r="G297" s="7">
        <v>0</v>
      </c>
      <c r="H297" s="6">
        <v>60</v>
      </c>
      <c r="I297">
        <v>0</v>
      </c>
      <c r="J297" s="6">
        <v>0</v>
      </c>
      <c r="K297">
        <v>3</v>
      </c>
      <c r="L297" s="6">
        <v>60</v>
      </c>
      <c r="M297" s="6">
        <v>39.200000000000003</v>
      </c>
      <c r="N297" s="6">
        <v>20.8</v>
      </c>
      <c r="O297" s="6">
        <v>3.74</v>
      </c>
      <c r="P297" s="6">
        <v>17.059999999999999</v>
      </c>
      <c r="Q297" t="s">
        <v>65</v>
      </c>
      <c r="R297" t="s">
        <v>82</v>
      </c>
      <c r="S297" t="s">
        <v>76</v>
      </c>
    </row>
    <row r="298" spans="1:19" x14ac:dyDescent="0.35">
      <c r="A298" t="s">
        <v>412</v>
      </c>
      <c r="B298" s="5">
        <v>45925</v>
      </c>
      <c r="C298" t="s">
        <v>100</v>
      </c>
      <c r="D298" t="s">
        <v>64</v>
      </c>
      <c r="E298">
        <v>3</v>
      </c>
      <c r="F298" s="6">
        <v>310</v>
      </c>
      <c r="G298" s="7">
        <v>5</v>
      </c>
      <c r="H298" s="6">
        <v>883.5</v>
      </c>
      <c r="I298">
        <v>0</v>
      </c>
      <c r="J298" s="6">
        <v>0</v>
      </c>
      <c r="K298">
        <v>3</v>
      </c>
      <c r="L298" s="6">
        <v>883.5</v>
      </c>
      <c r="M298" s="6">
        <v>757.96</v>
      </c>
      <c r="N298" s="6">
        <v>125.54</v>
      </c>
      <c r="O298" s="6">
        <v>93.29</v>
      </c>
      <c r="P298" s="6">
        <v>32.25</v>
      </c>
      <c r="Q298" t="s">
        <v>59</v>
      </c>
      <c r="R298" t="s">
        <v>60</v>
      </c>
      <c r="S298" t="s">
        <v>67</v>
      </c>
    </row>
    <row r="299" spans="1:19" x14ac:dyDescent="0.35">
      <c r="A299" t="s">
        <v>413</v>
      </c>
      <c r="B299" s="5">
        <v>45951</v>
      </c>
      <c r="C299" t="s">
        <v>90</v>
      </c>
      <c r="D299" t="s">
        <v>70</v>
      </c>
      <c r="E299">
        <v>2</v>
      </c>
      <c r="F299" s="6">
        <v>38</v>
      </c>
      <c r="G299" s="7">
        <v>10</v>
      </c>
      <c r="H299" s="6">
        <v>68.400000000000006</v>
      </c>
      <c r="I299">
        <v>0</v>
      </c>
      <c r="J299" s="6">
        <v>0</v>
      </c>
      <c r="K299">
        <v>2</v>
      </c>
      <c r="L299" s="6">
        <v>68.400000000000006</v>
      </c>
      <c r="M299" s="6">
        <v>55.67</v>
      </c>
      <c r="N299" s="6">
        <v>12.73</v>
      </c>
      <c r="O299" s="6">
        <v>5.97</v>
      </c>
      <c r="P299" s="6">
        <v>6.76</v>
      </c>
      <c r="Q299" t="s">
        <v>65</v>
      </c>
      <c r="R299" t="s">
        <v>66</v>
      </c>
      <c r="S299" t="s">
        <v>71</v>
      </c>
    </row>
    <row r="300" spans="1:19" x14ac:dyDescent="0.35">
      <c r="A300" t="s">
        <v>414</v>
      </c>
      <c r="B300" s="5">
        <v>45845</v>
      </c>
      <c r="C300" t="s">
        <v>264</v>
      </c>
      <c r="D300" t="s">
        <v>85</v>
      </c>
      <c r="E300">
        <v>2</v>
      </c>
      <c r="F300" s="6">
        <v>20</v>
      </c>
      <c r="G300" s="7">
        <v>2</v>
      </c>
      <c r="H300" s="6">
        <v>39.200000000000003</v>
      </c>
      <c r="I300">
        <v>0</v>
      </c>
      <c r="J300" s="6">
        <v>0</v>
      </c>
      <c r="K300">
        <v>2</v>
      </c>
      <c r="L300" s="6">
        <v>39.200000000000003</v>
      </c>
      <c r="M300" s="6">
        <v>26.89</v>
      </c>
      <c r="N300" s="6">
        <v>12.31</v>
      </c>
      <c r="O300" s="6">
        <v>4.43</v>
      </c>
      <c r="P300" s="6">
        <v>7.88</v>
      </c>
      <c r="Q300" t="s">
        <v>65</v>
      </c>
      <c r="R300" t="s">
        <v>82</v>
      </c>
      <c r="S300" t="s">
        <v>61</v>
      </c>
    </row>
    <row r="301" spans="1:19" x14ac:dyDescent="0.35">
      <c r="A301" t="s">
        <v>415</v>
      </c>
      <c r="B301" s="5">
        <v>45817</v>
      </c>
      <c r="C301" t="s">
        <v>95</v>
      </c>
      <c r="D301" t="s">
        <v>64</v>
      </c>
      <c r="E301">
        <v>3</v>
      </c>
      <c r="F301" s="6">
        <v>52</v>
      </c>
      <c r="G301" s="7">
        <v>2</v>
      </c>
      <c r="H301" s="6">
        <v>152.88</v>
      </c>
      <c r="I301">
        <v>0</v>
      </c>
      <c r="J301" s="6">
        <v>0</v>
      </c>
      <c r="K301">
        <v>3</v>
      </c>
      <c r="L301" s="6">
        <v>152.88</v>
      </c>
      <c r="M301" s="6">
        <v>122.65</v>
      </c>
      <c r="N301" s="6">
        <v>30.23</v>
      </c>
      <c r="O301" s="6">
        <v>18.52</v>
      </c>
      <c r="P301" s="6">
        <v>11.71</v>
      </c>
      <c r="Q301" t="s">
        <v>81</v>
      </c>
      <c r="R301" t="s">
        <v>60</v>
      </c>
      <c r="S301" t="s">
        <v>67</v>
      </c>
    </row>
    <row r="302" spans="1:19" x14ac:dyDescent="0.35">
      <c r="A302" t="s">
        <v>416</v>
      </c>
      <c r="B302" s="5">
        <v>45713</v>
      </c>
      <c r="C302" t="s">
        <v>63</v>
      </c>
      <c r="D302" t="s">
        <v>64</v>
      </c>
      <c r="E302">
        <v>2</v>
      </c>
      <c r="F302" s="6">
        <v>145</v>
      </c>
      <c r="G302" s="7">
        <v>0</v>
      </c>
      <c r="H302" s="6">
        <v>290</v>
      </c>
      <c r="I302">
        <v>0</v>
      </c>
      <c r="J302" s="6">
        <v>0</v>
      </c>
      <c r="K302">
        <v>2</v>
      </c>
      <c r="L302" s="6">
        <v>290</v>
      </c>
      <c r="M302" s="6">
        <v>215.41</v>
      </c>
      <c r="N302" s="6">
        <v>74.59</v>
      </c>
      <c r="O302" s="6">
        <v>29.48</v>
      </c>
      <c r="P302" s="6">
        <v>45.11</v>
      </c>
      <c r="Q302" t="s">
        <v>75</v>
      </c>
      <c r="R302" t="s">
        <v>66</v>
      </c>
      <c r="S302" t="s">
        <v>76</v>
      </c>
    </row>
    <row r="303" spans="1:19" x14ac:dyDescent="0.35">
      <c r="A303" t="s">
        <v>417</v>
      </c>
      <c r="B303" s="5">
        <v>45783</v>
      </c>
      <c r="C303" t="s">
        <v>104</v>
      </c>
      <c r="D303" t="s">
        <v>105</v>
      </c>
      <c r="E303">
        <v>2</v>
      </c>
      <c r="F303" s="6">
        <v>65</v>
      </c>
      <c r="G303" s="7">
        <v>0</v>
      </c>
      <c r="H303" s="6">
        <v>130</v>
      </c>
      <c r="I303">
        <v>1</v>
      </c>
      <c r="J303" s="6">
        <v>65</v>
      </c>
      <c r="K303">
        <v>1</v>
      </c>
      <c r="L303" s="6">
        <v>65</v>
      </c>
      <c r="M303" s="6">
        <v>46.21</v>
      </c>
      <c r="N303" s="6">
        <v>18.79</v>
      </c>
      <c r="O303" s="6">
        <v>3.62</v>
      </c>
      <c r="P303" s="6">
        <v>15.17</v>
      </c>
      <c r="Q303" t="s">
        <v>59</v>
      </c>
      <c r="R303" t="s">
        <v>66</v>
      </c>
      <c r="S303" t="s">
        <v>67</v>
      </c>
    </row>
    <row r="304" spans="1:19" x14ac:dyDescent="0.35">
      <c r="A304" t="s">
        <v>418</v>
      </c>
      <c r="B304" s="5">
        <v>45688</v>
      </c>
      <c r="C304" t="s">
        <v>109</v>
      </c>
      <c r="D304" t="s">
        <v>85</v>
      </c>
      <c r="E304">
        <v>5</v>
      </c>
      <c r="F304" s="6">
        <v>180</v>
      </c>
      <c r="G304" s="7">
        <v>0</v>
      </c>
      <c r="H304" s="6">
        <v>900</v>
      </c>
      <c r="I304">
        <v>0</v>
      </c>
      <c r="J304" s="6">
        <v>0</v>
      </c>
      <c r="K304">
        <v>5</v>
      </c>
      <c r="L304" s="6">
        <v>900</v>
      </c>
      <c r="M304" s="6">
        <v>739.81</v>
      </c>
      <c r="N304" s="6">
        <v>160.19</v>
      </c>
      <c r="O304" s="6">
        <v>85.3</v>
      </c>
      <c r="P304" s="6">
        <v>74.89</v>
      </c>
      <c r="Q304" t="s">
        <v>65</v>
      </c>
      <c r="R304" t="s">
        <v>66</v>
      </c>
      <c r="S304" t="s">
        <v>67</v>
      </c>
    </row>
    <row r="305" spans="1:19" x14ac:dyDescent="0.35">
      <c r="A305" t="s">
        <v>419</v>
      </c>
      <c r="B305" s="5">
        <v>45812</v>
      </c>
      <c r="C305" t="s">
        <v>78</v>
      </c>
      <c r="D305" t="s">
        <v>79</v>
      </c>
      <c r="E305">
        <v>3</v>
      </c>
      <c r="F305" s="6">
        <v>120</v>
      </c>
      <c r="G305" s="7">
        <v>0</v>
      </c>
      <c r="H305" s="6">
        <v>360</v>
      </c>
      <c r="I305">
        <v>0</v>
      </c>
      <c r="J305" s="6">
        <v>0</v>
      </c>
      <c r="K305">
        <v>3</v>
      </c>
      <c r="L305" s="6">
        <v>360</v>
      </c>
      <c r="M305" s="6">
        <v>266.87</v>
      </c>
      <c r="N305" s="6">
        <v>93.13</v>
      </c>
      <c r="O305" s="6">
        <v>29.07</v>
      </c>
      <c r="P305" s="6">
        <v>64.06</v>
      </c>
      <c r="Q305" t="s">
        <v>81</v>
      </c>
      <c r="R305" t="s">
        <v>82</v>
      </c>
      <c r="S305" t="s">
        <v>76</v>
      </c>
    </row>
    <row r="306" spans="1:19" x14ac:dyDescent="0.35">
      <c r="A306" t="s">
        <v>420</v>
      </c>
      <c r="B306" s="5">
        <v>45779</v>
      </c>
      <c r="C306" t="s">
        <v>84</v>
      </c>
      <c r="D306" t="s">
        <v>85</v>
      </c>
      <c r="E306" t="s">
        <v>295</v>
      </c>
      <c r="F306" s="6">
        <v>48</v>
      </c>
      <c r="G306" s="7">
        <v>0</v>
      </c>
      <c r="H306" s="6">
        <v>96</v>
      </c>
      <c r="I306">
        <v>0</v>
      </c>
      <c r="J306" s="6">
        <v>0</v>
      </c>
      <c r="K306">
        <v>2</v>
      </c>
      <c r="L306" s="6">
        <v>96</v>
      </c>
      <c r="M306" s="6">
        <v>62.91</v>
      </c>
      <c r="N306" s="6">
        <v>33.090000000000003</v>
      </c>
      <c r="O306" s="6">
        <v>5.8</v>
      </c>
      <c r="P306" s="6">
        <v>27.29</v>
      </c>
      <c r="Q306" t="s">
        <v>75</v>
      </c>
      <c r="R306" t="s">
        <v>66</v>
      </c>
      <c r="S306" t="s">
        <v>71</v>
      </c>
    </row>
    <row r="307" spans="1:19" x14ac:dyDescent="0.35">
      <c r="A307" t="s">
        <v>421</v>
      </c>
      <c r="B307" s="5">
        <v>45716</v>
      </c>
      <c r="C307" t="s">
        <v>125</v>
      </c>
      <c r="D307" t="s">
        <v>85</v>
      </c>
      <c r="E307">
        <v>3</v>
      </c>
      <c r="F307" s="6">
        <v>125</v>
      </c>
      <c r="G307" s="7">
        <v>0</v>
      </c>
      <c r="H307" s="6">
        <v>375</v>
      </c>
      <c r="I307">
        <v>0</v>
      </c>
      <c r="J307" s="6">
        <v>0</v>
      </c>
      <c r="K307">
        <v>3</v>
      </c>
      <c r="L307" s="6">
        <v>375</v>
      </c>
      <c r="M307" s="6">
        <v>322.04000000000002</v>
      </c>
      <c r="N307" s="6">
        <v>52.96</v>
      </c>
      <c r="O307" s="6">
        <v>21.4</v>
      </c>
      <c r="P307" s="6">
        <v>31.56</v>
      </c>
      <c r="Q307" t="s">
        <v>59</v>
      </c>
      <c r="R307" t="s">
        <v>82</v>
      </c>
      <c r="S307" t="s">
        <v>61</v>
      </c>
    </row>
    <row r="308" spans="1:19" x14ac:dyDescent="0.35">
      <c r="A308" t="s">
        <v>422</v>
      </c>
      <c r="B308" s="5">
        <v>45819</v>
      </c>
      <c r="C308" t="s">
        <v>107</v>
      </c>
      <c r="D308" t="s">
        <v>74</v>
      </c>
      <c r="E308">
        <v>2</v>
      </c>
      <c r="F308" s="6">
        <v>125</v>
      </c>
      <c r="G308" s="7">
        <v>0</v>
      </c>
      <c r="H308" s="6">
        <v>250</v>
      </c>
      <c r="I308">
        <v>0</v>
      </c>
      <c r="J308" s="6">
        <v>0</v>
      </c>
      <c r="K308">
        <v>2</v>
      </c>
      <c r="L308" s="6">
        <v>250</v>
      </c>
      <c r="M308" s="6">
        <v>187.48</v>
      </c>
      <c r="N308" s="6">
        <v>62.52</v>
      </c>
      <c r="O308" s="6">
        <v>23.57</v>
      </c>
      <c r="P308" s="6">
        <v>38.950000000000003</v>
      </c>
      <c r="Q308" t="s">
        <v>75</v>
      </c>
      <c r="R308" t="s">
        <v>82</v>
      </c>
      <c r="S308" t="s">
        <v>67</v>
      </c>
    </row>
    <row r="309" spans="1:19" x14ac:dyDescent="0.35">
      <c r="A309" t="s">
        <v>423</v>
      </c>
      <c r="B309" s="5">
        <v>45678</v>
      </c>
      <c r="C309" t="s">
        <v>92</v>
      </c>
      <c r="D309" t="s">
        <v>79</v>
      </c>
      <c r="E309">
        <v>2</v>
      </c>
      <c r="F309" s="6">
        <v>85</v>
      </c>
      <c r="G309" s="7">
        <v>5</v>
      </c>
      <c r="H309" s="6">
        <v>161.5</v>
      </c>
      <c r="I309">
        <v>0</v>
      </c>
      <c r="J309" s="6">
        <v>0</v>
      </c>
      <c r="K309">
        <v>2</v>
      </c>
      <c r="L309" s="6">
        <v>161.5</v>
      </c>
      <c r="M309" s="6">
        <v>127.61</v>
      </c>
      <c r="N309" s="6">
        <v>33.89</v>
      </c>
      <c r="O309" s="6">
        <v>14.63</v>
      </c>
      <c r="P309" s="6">
        <v>19.260000000000002</v>
      </c>
      <c r="Q309" t="s">
        <v>65</v>
      </c>
      <c r="R309" t="s">
        <v>60</v>
      </c>
      <c r="S309" t="s">
        <v>76</v>
      </c>
    </row>
    <row r="310" spans="1:19" x14ac:dyDescent="0.35">
      <c r="A310" t="s">
        <v>424</v>
      </c>
      <c r="B310" s="5">
        <v>45796</v>
      </c>
      <c r="C310" t="s">
        <v>63</v>
      </c>
      <c r="D310" t="s">
        <v>64</v>
      </c>
      <c r="E310">
        <v>2</v>
      </c>
      <c r="F310" s="6">
        <v>145</v>
      </c>
      <c r="G310" s="7">
        <v>2</v>
      </c>
      <c r="H310" s="6">
        <v>284.2</v>
      </c>
      <c r="I310">
        <v>0</v>
      </c>
      <c r="J310" s="6">
        <v>0</v>
      </c>
      <c r="K310">
        <v>2</v>
      </c>
      <c r="L310" s="6">
        <v>284.2</v>
      </c>
      <c r="M310" s="6">
        <v>185.7</v>
      </c>
      <c r="N310" s="6">
        <v>98.5</v>
      </c>
      <c r="O310" s="6">
        <v>28.45</v>
      </c>
      <c r="P310" s="6">
        <v>70.05</v>
      </c>
      <c r="Q310" t="s">
        <v>65</v>
      </c>
      <c r="R310" t="s">
        <v>60</v>
      </c>
      <c r="S310" t="s">
        <v>67</v>
      </c>
    </row>
    <row r="311" spans="1:19" x14ac:dyDescent="0.35">
      <c r="A311" t="s">
        <v>425</v>
      </c>
      <c r="B311" s="5">
        <v>45998</v>
      </c>
      <c r="C311" t="s">
        <v>107</v>
      </c>
      <c r="D311" t="s">
        <v>74</v>
      </c>
      <c r="E311">
        <v>4</v>
      </c>
      <c r="F311" s="6">
        <v>125</v>
      </c>
      <c r="G311" s="7">
        <v>0</v>
      </c>
      <c r="H311" s="6">
        <v>500</v>
      </c>
      <c r="I311">
        <v>0</v>
      </c>
      <c r="J311" s="6">
        <v>0</v>
      </c>
      <c r="K311">
        <v>4</v>
      </c>
      <c r="L311" s="6">
        <v>500</v>
      </c>
      <c r="M311" s="6">
        <v>349.1</v>
      </c>
      <c r="N311" s="6">
        <v>150.9</v>
      </c>
      <c r="O311" s="6">
        <v>43.46</v>
      </c>
      <c r="P311" s="6">
        <v>107.44</v>
      </c>
      <c r="Q311" t="s">
        <v>65</v>
      </c>
      <c r="R311" t="s">
        <v>86</v>
      </c>
      <c r="S311" t="s">
        <v>67</v>
      </c>
    </row>
    <row r="312" spans="1:19" x14ac:dyDescent="0.35">
      <c r="A312" t="s">
        <v>426</v>
      </c>
      <c r="B312" s="5">
        <v>45967</v>
      </c>
      <c r="C312" t="s">
        <v>427</v>
      </c>
      <c r="D312" t="s">
        <v>74</v>
      </c>
      <c r="E312">
        <v>4</v>
      </c>
      <c r="F312" s="6">
        <v>125</v>
      </c>
      <c r="G312" s="7">
        <v>10</v>
      </c>
      <c r="H312" s="6">
        <v>450</v>
      </c>
      <c r="I312">
        <v>0</v>
      </c>
      <c r="J312" s="6">
        <v>0</v>
      </c>
      <c r="K312">
        <v>4</v>
      </c>
      <c r="L312" s="6">
        <v>450</v>
      </c>
      <c r="M312" s="6">
        <v>293.3</v>
      </c>
      <c r="N312" s="6">
        <v>156.69999999999999</v>
      </c>
      <c r="O312" s="6">
        <v>44.07</v>
      </c>
      <c r="P312" s="6">
        <v>112.63</v>
      </c>
      <c r="Q312" t="s">
        <v>75</v>
      </c>
      <c r="R312" t="s">
        <v>60</v>
      </c>
      <c r="S312" t="s">
        <v>61</v>
      </c>
    </row>
    <row r="313" spans="1:19" x14ac:dyDescent="0.35">
      <c r="A313" t="s">
        <v>428</v>
      </c>
      <c r="B313" s="5">
        <v>45727</v>
      </c>
      <c r="C313" t="s">
        <v>264</v>
      </c>
      <c r="D313" t="s">
        <v>85</v>
      </c>
      <c r="E313">
        <v>3</v>
      </c>
      <c r="F313" s="6">
        <v>20</v>
      </c>
      <c r="G313" s="7">
        <v>0</v>
      </c>
      <c r="H313" s="6">
        <v>60</v>
      </c>
      <c r="I313">
        <v>0</v>
      </c>
      <c r="J313" s="6">
        <v>0</v>
      </c>
      <c r="K313">
        <v>3</v>
      </c>
      <c r="L313" s="6">
        <v>60</v>
      </c>
      <c r="M313" s="6">
        <v>47</v>
      </c>
      <c r="N313" s="6">
        <v>13</v>
      </c>
      <c r="O313" s="6">
        <v>3.17</v>
      </c>
      <c r="P313" s="6">
        <v>9.83</v>
      </c>
      <c r="Q313" t="s">
        <v>75</v>
      </c>
      <c r="R313" t="s">
        <v>60</v>
      </c>
      <c r="S313" t="s">
        <v>76</v>
      </c>
    </row>
    <row r="314" spans="1:19" x14ac:dyDescent="0.35">
      <c r="A314" t="s">
        <v>429</v>
      </c>
      <c r="B314" s="5">
        <v>45732</v>
      </c>
      <c r="C314" t="s">
        <v>117</v>
      </c>
      <c r="D314" t="s">
        <v>74</v>
      </c>
      <c r="E314">
        <v>1</v>
      </c>
      <c r="F314" s="6">
        <v>95</v>
      </c>
      <c r="G314" s="7">
        <v>5</v>
      </c>
      <c r="H314" s="6">
        <v>90.25</v>
      </c>
      <c r="I314">
        <v>0</v>
      </c>
      <c r="J314" s="6">
        <v>0</v>
      </c>
      <c r="K314">
        <v>1</v>
      </c>
      <c r="L314" s="6">
        <v>90.25</v>
      </c>
      <c r="M314" s="6">
        <v>66.61</v>
      </c>
      <c r="N314" s="6">
        <v>23.64</v>
      </c>
      <c r="O314" s="6">
        <v>8.06</v>
      </c>
      <c r="P314" s="6">
        <v>15.58</v>
      </c>
      <c r="Q314" t="s">
        <v>75</v>
      </c>
      <c r="R314" t="s">
        <v>176</v>
      </c>
      <c r="S314" t="s">
        <v>61</v>
      </c>
    </row>
    <row r="315" spans="1:19" x14ac:dyDescent="0.35">
      <c r="A315" t="s">
        <v>430</v>
      </c>
      <c r="B315" s="5">
        <v>45876</v>
      </c>
      <c r="C315" t="s">
        <v>73</v>
      </c>
      <c r="D315" t="s">
        <v>74</v>
      </c>
      <c r="E315">
        <v>3</v>
      </c>
      <c r="F315" s="6">
        <v>280</v>
      </c>
      <c r="G315" s="7">
        <v>10</v>
      </c>
      <c r="H315" s="6">
        <v>756</v>
      </c>
      <c r="I315">
        <v>0</v>
      </c>
      <c r="J315" s="6">
        <v>0</v>
      </c>
      <c r="K315">
        <v>3</v>
      </c>
      <c r="L315" s="6">
        <v>756</v>
      </c>
      <c r="M315" s="6">
        <v>534.45000000000005</v>
      </c>
      <c r="N315" s="6">
        <v>221.55</v>
      </c>
      <c r="O315" s="6">
        <v>91.9</v>
      </c>
      <c r="P315" s="6">
        <v>129.65</v>
      </c>
      <c r="Q315" t="s">
        <v>81</v>
      </c>
      <c r="R315" t="s">
        <v>86</v>
      </c>
      <c r="S315" t="s">
        <v>76</v>
      </c>
    </row>
    <row r="316" spans="1:19" x14ac:dyDescent="0.35">
      <c r="A316" t="s">
        <v>431</v>
      </c>
      <c r="B316" s="5">
        <v>45773</v>
      </c>
      <c r="C316" t="s">
        <v>73</v>
      </c>
      <c r="D316" t="s">
        <v>74</v>
      </c>
      <c r="E316">
        <v>5</v>
      </c>
      <c r="F316" s="6">
        <v>280</v>
      </c>
      <c r="G316" s="7">
        <v>2</v>
      </c>
      <c r="H316" s="6">
        <v>1372</v>
      </c>
      <c r="I316">
        <v>0</v>
      </c>
      <c r="J316" s="6">
        <v>0</v>
      </c>
      <c r="K316">
        <v>5</v>
      </c>
      <c r="L316" s="6">
        <v>1372</v>
      </c>
      <c r="M316" s="6">
        <v>1165.45</v>
      </c>
      <c r="N316" s="6">
        <v>206.55</v>
      </c>
      <c r="O316" s="6">
        <v>80.59</v>
      </c>
      <c r="P316" s="6">
        <v>125.96</v>
      </c>
      <c r="Q316" t="s">
        <v>75</v>
      </c>
      <c r="R316" t="s">
        <v>66</v>
      </c>
      <c r="S316" t="s">
        <v>67</v>
      </c>
    </row>
    <row r="317" spans="1:19" x14ac:dyDescent="0.35">
      <c r="A317" t="s">
        <v>432</v>
      </c>
      <c r="B317" s="5">
        <v>45846</v>
      </c>
      <c r="C317" t="s">
        <v>107</v>
      </c>
      <c r="D317" t="s">
        <v>74</v>
      </c>
      <c r="E317">
        <v>2</v>
      </c>
      <c r="F317" s="6">
        <v>125</v>
      </c>
      <c r="G317" s="7">
        <v>0</v>
      </c>
      <c r="H317" s="6">
        <v>250</v>
      </c>
      <c r="I317">
        <v>0</v>
      </c>
      <c r="J317" s="6">
        <v>0</v>
      </c>
      <c r="K317">
        <v>2</v>
      </c>
      <c r="L317" s="6">
        <v>250</v>
      </c>
      <c r="M317" s="6">
        <v>173.71</v>
      </c>
      <c r="N317" s="6">
        <v>76.290000000000006</v>
      </c>
      <c r="O317" s="6">
        <v>13.12</v>
      </c>
      <c r="P317" s="6">
        <v>63.17</v>
      </c>
      <c r="Q317" t="s">
        <v>59</v>
      </c>
      <c r="R317" t="s">
        <v>60</v>
      </c>
      <c r="S317" t="s">
        <v>61</v>
      </c>
    </row>
    <row r="318" spans="1:19" x14ac:dyDescent="0.35">
      <c r="A318" t="s">
        <v>433</v>
      </c>
      <c r="B318" s="5">
        <v>45783</v>
      </c>
      <c r="C318" t="s">
        <v>78</v>
      </c>
      <c r="D318" t="s">
        <v>79</v>
      </c>
      <c r="E318">
        <v>3</v>
      </c>
      <c r="F318" s="6">
        <v>120</v>
      </c>
      <c r="G318" s="7">
        <v>2</v>
      </c>
      <c r="H318" s="6">
        <v>352.8</v>
      </c>
      <c r="I318">
        <v>0</v>
      </c>
      <c r="J318" s="6">
        <v>0</v>
      </c>
      <c r="K318">
        <v>3</v>
      </c>
      <c r="L318" s="6">
        <v>352.8</v>
      </c>
      <c r="M318" s="6">
        <v>279.93</v>
      </c>
      <c r="N318" s="6">
        <v>72.87</v>
      </c>
      <c r="O318" s="6">
        <v>21.43</v>
      </c>
      <c r="P318" s="6">
        <v>51.44</v>
      </c>
      <c r="Q318" t="s">
        <v>75</v>
      </c>
      <c r="R318" t="s">
        <v>86</v>
      </c>
      <c r="S318" t="s">
        <v>61</v>
      </c>
    </row>
    <row r="319" spans="1:19" x14ac:dyDescent="0.35">
      <c r="A319" t="s">
        <v>434</v>
      </c>
      <c r="B319" s="5">
        <v>45921</v>
      </c>
      <c r="C319" t="s">
        <v>100</v>
      </c>
      <c r="D319" t="s">
        <v>64</v>
      </c>
      <c r="E319">
        <v>2</v>
      </c>
      <c r="F319" s="6">
        <v>310</v>
      </c>
      <c r="G319" s="7">
        <v>5</v>
      </c>
      <c r="H319" s="6">
        <v>589</v>
      </c>
      <c r="I319">
        <v>0</v>
      </c>
      <c r="J319" s="6">
        <v>0</v>
      </c>
      <c r="K319">
        <v>2</v>
      </c>
      <c r="L319" s="6">
        <v>589</v>
      </c>
      <c r="M319" s="6">
        <v>439.9</v>
      </c>
      <c r="N319" s="6">
        <v>149.1</v>
      </c>
      <c r="O319" s="6">
        <v>76.12</v>
      </c>
      <c r="P319" s="6">
        <v>72.98</v>
      </c>
      <c r="Q319" t="s">
        <v>81</v>
      </c>
      <c r="R319" t="s">
        <v>66</v>
      </c>
      <c r="S319" t="s">
        <v>61</v>
      </c>
    </row>
    <row r="320" spans="1:19" x14ac:dyDescent="0.35">
      <c r="A320" t="s">
        <v>435</v>
      </c>
      <c r="B320" s="5">
        <v>45798</v>
      </c>
      <c r="C320" t="s">
        <v>56</v>
      </c>
      <c r="D320" t="s">
        <v>57</v>
      </c>
      <c r="E320">
        <v>1</v>
      </c>
      <c r="F320" s="6">
        <v>40</v>
      </c>
      <c r="G320" s="7">
        <v>0</v>
      </c>
      <c r="H320" s="6">
        <v>40</v>
      </c>
      <c r="I320">
        <v>0</v>
      </c>
      <c r="J320" s="6">
        <v>0</v>
      </c>
      <c r="K320">
        <v>1</v>
      </c>
      <c r="L320" s="6">
        <v>40</v>
      </c>
      <c r="M320" s="6">
        <v>28.08</v>
      </c>
      <c r="N320" s="6">
        <v>11.92</v>
      </c>
      <c r="O320" s="6">
        <v>2.2200000000000002</v>
      </c>
      <c r="P320" s="6">
        <v>9.6999999999999993</v>
      </c>
      <c r="Q320" t="s">
        <v>65</v>
      </c>
      <c r="R320" t="s">
        <v>86</v>
      </c>
      <c r="S320" t="s">
        <v>67</v>
      </c>
    </row>
    <row r="321" spans="1:19" x14ac:dyDescent="0.35">
      <c r="A321" t="s">
        <v>436</v>
      </c>
      <c r="B321" s="5">
        <v>45917</v>
      </c>
      <c r="C321" t="s">
        <v>97</v>
      </c>
      <c r="D321" t="s">
        <v>57</v>
      </c>
      <c r="E321">
        <v>5</v>
      </c>
      <c r="F321" s="6">
        <v>55</v>
      </c>
      <c r="G321" s="7">
        <v>5</v>
      </c>
      <c r="H321" s="6">
        <v>261.25</v>
      </c>
      <c r="I321">
        <v>0</v>
      </c>
      <c r="J321" s="6">
        <v>0</v>
      </c>
      <c r="K321">
        <v>5</v>
      </c>
      <c r="L321" s="6">
        <v>261.25</v>
      </c>
      <c r="M321" s="6">
        <v>200.45</v>
      </c>
      <c r="N321" s="6">
        <v>60.8</v>
      </c>
      <c r="O321" s="6">
        <v>23.25</v>
      </c>
      <c r="P321" s="6">
        <v>37.549999999999997</v>
      </c>
      <c r="Q321" t="s">
        <v>81</v>
      </c>
      <c r="R321" t="s">
        <v>60</v>
      </c>
      <c r="S321" t="s">
        <v>71</v>
      </c>
    </row>
    <row r="322" spans="1:19" x14ac:dyDescent="0.35">
      <c r="A322" t="s">
        <v>437</v>
      </c>
      <c r="B322" s="5">
        <v>45718</v>
      </c>
      <c r="C322" t="s">
        <v>264</v>
      </c>
      <c r="D322" t="s">
        <v>85</v>
      </c>
      <c r="E322">
        <v>2</v>
      </c>
      <c r="F322" s="6">
        <v>20</v>
      </c>
      <c r="G322" s="7">
        <v>0</v>
      </c>
      <c r="H322" s="6">
        <v>40</v>
      </c>
      <c r="I322">
        <v>0</v>
      </c>
      <c r="J322" s="6">
        <v>0</v>
      </c>
      <c r="K322">
        <v>2</v>
      </c>
      <c r="L322" s="6">
        <v>40</v>
      </c>
      <c r="M322" s="6">
        <v>32.56</v>
      </c>
      <c r="N322" s="6">
        <v>7.44</v>
      </c>
      <c r="O322" s="6">
        <v>2.23</v>
      </c>
      <c r="P322" s="6">
        <v>5.21</v>
      </c>
      <c r="Q322" t="s">
        <v>59</v>
      </c>
      <c r="R322" t="s">
        <v>60</v>
      </c>
      <c r="S322" t="s">
        <v>71</v>
      </c>
    </row>
    <row r="323" spans="1:19" x14ac:dyDescent="0.35">
      <c r="A323" t="s">
        <v>438</v>
      </c>
      <c r="B323" s="5">
        <v>45979</v>
      </c>
      <c r="C323" t="s">
        <v>117</v>
      </c>
      <c r="D323" t="s">
        <v>74</v>
      </c>
      <c r="E323">
        <v>4</v>
      </c>
      <c r="F323" s="6">
        <v>95</v>
      </c>
      <c r="G323" s="7">
        <v>0</v>
      </c>
      <c r="H323" s="6">
        <v>380</v>
      </c>
      <c r="I323">
        <v>0</v>
      </c>
      <c r="J323" s="6">
        <v>0</v>
      </c>
      <c r="K323">
        <v>4</v>
      </c>
      <c r="L323" s="6">
        <v>380</v>
      </c>
      <c r="M323" s="6">
        <v>312.39999999999998</v>
      </c>
      <c r="N323" s="6">
        <v>67.599999999999994</v>
      </c>
      <c r="O323" s="6">
        <v>33.54</v>
      </c>
      <c r="P323" s="6">
        <v>34.06</v>
      </c>
      <c r="Q323" t="s">
        <v>81</v>
      </c>
      <c r="R323" t="s">
        <v>82</v>
      </c>
      <c r="S323" t="s">
        <v>67</v>
      </c>
    </row>
    <row r="324" spans="1:19" x14ac:dyDescent="0.35">
      <c r="A324" t="s">
        <v>439</v>
      </c>
      <c r="B324" s="5">
        <v>45712</v>
      </c>
      <c r="C324" t="s">
        <v>73</v>
      </c>
      <c r="D324" t="s">
        <v>74</v>
      </c>
      <c r="E324">
        <v>1</v>
      </c>
      <c r="F324" s="6">
        <v>280</v>
      </c>
      <c r="G324" s="7">
        <v>10</v>
      </c>
      <c r="H324" s="6">
        <v>252</v>
      </c>
      <c r="I324">
        <v>0</v>
      </c>
      <c r="J324" s="6">
        <v>0</v>
      </c>
      <c r="K324">
        <v>1</v>
      </c>
      <c r="L324" s="6">
        <v>252</v>
      </c>
      <c r="M324" s="6">
        <v>180.51</v>
      </c>
      <c r="N324" s="6">
        <v>71.489999999999995</v>
      </c>
      <c r="O324" s="6">
        <v>15.67</v>
      </c>
      <c r="P324" s="6">
        <v>55.82</v>
      </c>
      <c r="Q324" t="s">
        <v>59</v>
      </c>
      <c r="R324" t="s">
        <v>82</v>
      </c>
      <c r="S324" t="s">
        <v>67</v>
      </c>
    </row>
    <row r="325" spans="1:19" x14ac:dyDescent="0.35">
      <c r="A325" t="s">
        <v>440</v>
      </c>
      <c r="B325" s="5">
        <v>45710</v>
      </c>
      <c r="C325" t="s">
        <v>56</v>
      </c>
      <c r="D325" t="s">
        <v>57</v>
      </c>
      <c r="E325">
        <v>3</v>
      </c>
      <c r="F325" s="6">
        <v>40</v>
      </c>
      <c r="G325" s="7">
        <v>0</v>
      </c>
      <c r="H325" s="6">
        <v>120</v>
      </c>
      <c r="I325">
        <v>0</v>
      </c>
      <c r="J325" s="6">
        <v>0</v>
      </c>
      <c r="K325">
        <v>3</v>
      </c>
      <c r="L325" s="6">
        <v>120</v>
      </c>
      <c r="M325" s="6">
        <v>92.85</v>
      </c>
      <c r="N325" s="6">
        <v>27.15</v>
      </c>
      <c r="O325" s="6">
        <v>11.79</v>
      </c>
      <c r="P325" s="6">
        <v>15.36</v>
      </c>
      <c r="Q325" t="s">
        <v>59</v>
      </c>
      <c r="R325" t="s">
        <v>66</v>
      </c>
      <c r="S325" t="s">
        <v>67</v>
      </c>
    </row>
    <row r="326" spans="1:19" x14ac:dyDescent="0.35">
      <c r="A326" t="s">
        <v>441</v>
      </c>
      <c r="B326" s="5">
        <v>45805</v>
      </c>
      <c r="C326" t="s">
        <v>107</v>
      </c>
      <c r="D326" t="s">
        <v>74</v>
      </c>
      <c r="E326">
        <v>4</v>
      </c>
      <c r="F326" s="6">
        <v>125</v>
      </c>
      <c r="G326" s="7">
        <v>10</v>
      </c>
      <c r="H326" s="6">
        <v>450</v>
      </c>
      <c r="I326">
        <v>0</v>
      </c>
      <c r="J326" s="6">
        <v>0</v>
      </c>
      <c r="K326">
        <v>4</v>
      </c>
      <c r="L326" s="6">
        <v>450</v>
      </c>
      <c r="M326" s="6">
        <v>328.03</v>
      </c>
      <c r="N326" s="6">
        <v>121.97</v>
      </c>
      <c r="O326" s="6">
        <v>42.47</v>
      </c>
      <c r="P326" s="6">
        <v>79.5</v>
      </c>
      <c r="Q326" t="s">
        <v>65</v>
      </c>
      <c r="R326" t="s">
        <v>82</v>
      </c>
      <c r="S326" t="s">
        <v>71</v>
      </c>
    </row>
    <row r="327" spans="1:19" x14ac:dyDescent="0.35">
      <c r="A327" t="s">
        <v>442</v>
      </c>
      <c r="B327" s="5">
        <v>45862</v>
      </c>
      <c r="C327" t="s">
        <v>78</v>
      </c>
      <c r="D327" t="s">
        <v>79</v>
      </c>
      <c r="E327">
        <v>4</v>
      </c>
      <c r="F327" s="6">
        <v>120</v>
      </c>
      <c r="G327" s="7">
        <v>5</v>
      </c>
      <c r="H327" s="6">
        <v>456</v>
      </c>
      <c r="I327">
        <v>0</v>
      </c>
      <c r="J327" s="6">
        <v>0</v>
      </c>
      <c r="K327">
        <v>4</v>
      </c>
      <c r="L327" s="6">
        <v>456</v>
      </c>
      <c r="M327" s="6">
        <v>370.71</v>
      </c>
      <c r="N327" s="6">
        <v>85.29</v>
      </c>
      <c r="O327" s="6">
        <v>41.78</v>
      </c>
      <c r="P327" s="6">
        <v>43.51</v>
      </c>
      <c r="Q327" t="s">
        <v>59</v>
      </c>
      <c r="R327" t="s">
        <v>60</v>
      </c>
      <c r="S327" t="s">
        <v>61</v>
      </c>
    </row>
    <row r="328" spans="1:19" x14ac:dyDescent="0.35">
      <c r="A328" t="s">
        <v>443</v>
      </c>
      <c r="B328" s="5">
        <v>46018</v>
      </c>
      <c r="C328" t="s">
        <v>78</v>
      </c>
      <c r="D328" t="s">
        <v>79</v>
      </c>
      <c r="E328">
        <v>2</v>
      </c>
      <c r="F328" s="6">
        <v>120</v>
      </c>
      <c r="G328" s="7">
        <v>0</v>
      </c>
      <c r="H328" s="6">
        <v>240</v>
      </c>
      <c r="I328">
        <v>0</v>
      </c>
      <c r="J328" s="6">
        <v>0</v>
      </c>
      <c r="K328">
        <v>2</v>
      </c>
      <c r="L328" s="6">
        <v>240</v>
      </c>
      <c r="M328" s="6">
        <v>199.6</v>
      </c>
      <c r="N328" s="6">
        <v>40.4</v>
      </c>
      <c r="O328" s="6">
        <v>25.86</v>
      </c>
      <c r="P328" s="6">
        <v>14.54</v>
      </c>
      <c r="Q328" t="s">
        <v>65</v>
      </c>
      <c r="R328" t="s">
        <v>66</v>
      </c>
      <c r="S328" t="s">
        <v>76</v>
      </c>
    </row>
    <row r="329" spans="1:19" x14ac:dyDescent="0.35">
      <c r="A329" t="s">
        <v>444</v>
      </c>
      <c r="B329" s="5">
        <v>45963</v>
      </c>
      <c r="C329" t="s">
        <v>107</v>
      </c>
      <c r="D329" t="s">
        <v>74</v>
      </c>
      <c r="E329">
        <v>3</v>
      </c>
      <c r="F329" s="6">
        <v>125</v>
      </c>
      <c r="G329" s="7">
        <v>0</v>
      </c>
      <c r="H329" s="6">
        <v>375</v>
      </c>
      <c r="I329">
        <v>0</v>
      </c>
      <c r="J329" s="6">
        <v>0</v>
      </c>
      <c r="K329">
        <v>3</v>
      </c>
      <c r="L329" s="6">
        <v>375</v>
      </c>
      <c r="M329" s="6">
        <v>257.36</v>
      </c>
      <c r="N329" s="6">
        <v>117.64</v>
      </c>
      <c r="O329" s="6">
        <v>20.63</v>
      </c>
      <c r="P329" s="6">
        <v>97.01</v>
      </c>
      <c r="Q329" t="s">
        <v>65</v>
      </c>
      <c r="R329" t="s">
        <v>66</v>
      </c>
      <c r="S329" t="s">
        <v>71</v>
      </c>
    </row>
    <row r="330" spans="1:19" x14ac:dyDescent="0.35">
      <c r="A330" t="s">
        <v>445</v>
      </c>
      <c r="B330" s="5">
        <v>45794</v>
      </c>
      <c r="C330" t="s">
        <v>125</v>
      </c>
      <c r="D330" t="s">
        <v>85</v>
      </c>
      <c r="E330">
        <v>8</v>
      </c>
      <c r="F330" s="6">
        <v>125</v>
      </c>
      <c r="G330" s="7">
        <v>0</v>
      </c>
      <c r="H330" s="6">
        <v>1000</v>
      </c>
      <c r="I330">
        <v>0</v>
      </c>
      <c r="J330" s="6">
        <v>0</v>
      </c>
      <c r="K330">
        <v>8</v>
      </c>
      <c r="L330" s="6">
        <v>1000</v>
      </c>
      <c r="M330" s="6">
        <v>843.41</v>
      </c>
      <c r="N330" s="6">
        <v>156.59</v>
      </c>
      <c r="O330" s="6">
        <v>60.39</v>
      </c>
      <c r="P330" s="6">
        <v>96.2</v>
      </c>
      <c r="Q330" t="s">
        <v>59</v>
      </c>
      <c r="R330" t="s">
        <v>82</v>
      </c>
      <c r="S330" t="s">
        <v>61</v>
      </c>
    </row>
    <row r="331" spans="1:19" x14ac:dyDescent="0.35">
      <c r="A331" t="s">
        <v>446</v>
      </c>
      <c r="B331" s="5">
        <v>45836</v>
      </c>
      <c r="C331" t="s">
        <v>63</v>
      </c>
      <c r="D331" t="s">
        <v>64</v>
      </c>
      <c r="E331">
        <v>5</v>
      </c>
      <c r="F331" s="6">
        <v>145</v>
      </c>
      <c r="G331" s="7">
        <v>10</v>
      </c>
      <c r="H331" s="6">
        <v>652.5</v>
      </c>
      <c r="I331">
        <v>0</v>
      </c>
      <c r="J331" s="6">
        <v>0</v>
      </c>
      <c r="K331">
        <v>5</v>
      </c>
      <c r="L331" s="6">
        <v>652.5</v>
      </c>
      <c r="M331" s="6">
        <v>472.49</v>
      </c>
      <c r="N331" s="6">
        <v>180.01</v>
      </c>
      <c r="O331" s="6">
        <v>52.32</v>
      </c>
      <c r="P331" s="6">
        <v>127.69</v>
      </c>
      <c r="Q331" t="s">
        <v>75</v>
      </c>
      <c r="R331" t="s">
        <v>66</v>
      </c>
      <c r="S331" t="s">
        <v>71</v>
      </c>
    </row>
    <row r="332" spans="1:19" x14ac:dyDescent="0.35">
      <c r="A332" t="s">
        <v>447</v>
      </c>
      <c r="B332" s="5">
        <v>45892</v>
      </c>
      <c r="C332" t="s">
        <v>114</v>
      </c>
      <c r="D332" t="s">
        <v>64</v>
      </c>
      <c r="E332">
        <v>8</v>
      </c>
      <c r="F332" s="6">
        <v>420</v>
      </c>
      <c r="G332" s="7">
        <v>5</v>
      </c>
      <c r="H332" s="6">
        <v>3192</v>
      </c>
      <c r="I332">
        <v>0</v>
      </c>
      <c r="J332" s="6">
        <v>0</v>
      </c>
      <c r="K332">
        <v>8</v>
      </c>
      <c r="L332" s="6">
        <v>3192</v>
      </c>
      <c r="M332" s="6">
        <v>2496.79</v>
      </c>
      <c r="N332" s="6">
        <v>695.21</v>
      </c>
      <c r="O332" s="6">
        <v>224.52</v>
      </c>
      <c r="P332" s="6">
        <v>470.69</v>
      </c>
      <c r="Q332" t="s">
        <v>75</v>
      </c>
      <c r="R332" t="s">
        <v>66</v>
      </c>
      <c r="S332" t="s">
        <v>67</v>
      </c>
    </row>
    <row r="333" spans="1:19" x14ac:dyDescent="0.35">
      <c r="A333" t="s">
        <v>448</v>
      </c>
      <c r="B333" s="5">
        <v>45868</v>
      </c>
      <c r="C333" t="s">
        <v>69</v>
      </c>
      <c r="D333" t="s">
        <v>70</v>
      </c>
      <c r="E333">
        <v>1</v>
      </c>
      <c r="F333" s="6">
        <v>210</v>
      </c>
      <c r="G333" s="7">
        <v>2</v>
      </c>
      <c r="H333" s="6">
        <v>205.8</v>
      </c>
      <c r="I333">
        <v>0</v>
      </c>
      <c r="J333" s="6">
        <v>0</v>
      </c>
      <c r="K333">
        <v>1</v>
      </c>
      <c r="L333" s="6">
        <v>205.8</v>
      </c>
      <c r="M333" s="6">
        <v>174.22</v>
      </c>
      <c r="N333" s="6">
        <v>31.58</v>
      </c>
      <c r="O333" s="6">
        <v>18.12</v>
      </c>
      <c r="P333" s="6">
        <v>13.46</v>
      </c>
      <c r="Q333" t="s">
        <v>65</v>
      </c>
      <c r="R333" t="s">
        <v>66</v>
      </c>
      <c r="S333" t="s">
        <v>71</v>
      </c>
    </row>
    <row r="334" spans="1:19" x14ac:dyDescent="0.35">
      <c r="A334" t="s">
        <v>449</v>
      </c>
      <c r="B334" s="5">
        <v>45803</v>
      </c>
      <c r="C334" t="s">
        <v>107</v>
      </c>
      <c r="D334" t="s">
        <v>243</v>
      </c>
      <c r="E334">
        <v>2</v>
      </c>
      <c r="F334" s="6">
        <v>125</v>
      </c>
      <c r="G334" s="7">
        <v>15</v>
      </c>
      <c r="H334" s="6">
        <v>212.5</v>
      </c>
      <c r="I334">
        <v>0</v>
      </c>
      <c r="J334" s="6">
        <v>0</v>
      </c>
      <c r="K334">
        <v>2</v>
      </c>
      <c r="L334" s="6">
        <v>212.5</v>
      </c>
      <c r="M334" s="6">
        <v>157.27000000000001</v>
      </c>
      <c r="N334" s="6">
        <v>55.23</v>
      </c>
      <c r="O334" s="6">
        <v>18.41</v>
      </c>
      <c r="P334" s="6">
        <v>36.82</v>
      </c>
      <c r="Q334" t="s">
        <v>65</v>
      </c>
      <c r="R334" t="s">
        <v>82</v>
      </c>
      <c r="S334" t="s">
        <v>76</v>
      </c>
    </row>
    <row r="335" spans="1:19" x14ac:dyDescent="0.35">
      <c r="A335" t="s">
        <v>450</v>
      </c>
      <c r="B335" s="5">
        <v>45673</v>
      </c>
      <c r="C335" t="s">
        <v>69</v>
      </c>
      <c r="D335" t="s">
        <v>70</v>
      </c>
      <c r="E335">
        <v>1</v>
      </c>
      <c r="F335" s="6">
        <v>210</v>
      </c>
      <c r="G335" s="7">
        <v>10</v>
      </c>
      <c r="H335" s="6">
        <v>189</v>
      </c>
      <c r="I335">
        <v>0</v>
      </c>
      <c r="J335" s="6">
        <v>0</v>
      </c>
      <c r="K335">
        <v>1</v>
      </c>
      <c r="L335" s="6">
        <v>189</v>
      </c>
      <c r="M335" s="6">
        <v>125.62</v>
      </c>
      <c r="N335" s="6">
        <v>63.38</v>
      </c>
      <c r="O335" s="6">
        <v>15.74</v>
      </c>
      <c r="P335" s="6">
        <v>47.64</v>
      </c>
      <c r="Q335" t="s">
        <v>75</v>
      </c>
      <c r="R335" t="s">
        <v>66</v>
      </c>
      <c r="S335" t="s">
        <v>71</v>
      </c>
    </row>
    <row r="336" spans="1:19" x14ac:dyDescent="0.35">
      <c r="A336" t="s">
        <v>451</v>
      </c>
      <c r="B336" s="5">
        <v>45873</v>
      </c>
      <c r="C336" t="s">
        <v>264</v>
      </c>
      <c r="D336" t="s">
        <v>85</v>
      </c>
      <c r="E336">
        <v>4</v>
      </c>
      <c r="F336" s="6">
        <v>20</v>
      </c>
      <c r="G336" s="7">
        <v>2</v>
      </c>
      <c r="H336" s="6">
        <v>78.400000000000006</v>
      </c>
      <c r="I336">
        <v>0</v>
      </c>
      <c r="J336" s="6">
        <v>0</v>
      </c>
      <c r="K336">
        <v>4</v>
      </c>
      <c r="L336" s="6">
        <v>78.400000000000006</v>
      </c>
      <c r="M336" s="6">
        <v>63.59</v>
      </c>
      <c r="N336" s="6">
        <v>14.81</v>
      </c>
      <c r="O336" s="6">
        <v>4.1500000000000004</v>
      </c>
      <c r="P336" s="6">
        <v>10.66</v>
      </c>
      <c r="Q336" t="s">
        <v>65</v>
      </c>
      <c r="R336" t="s">
        <v>60</v>
      </c>
      <c r="S336" t="s">
        <v>61</v>
      </c>
    </row>
    <row r="337" spans="1:19" x14ac:dyDescent="0.35">
      <c r="A337" t="s">
        <v>452</v>
      </c>
      <c r="B337" s="5">
        <v>45722</v>
      </c>
      <c r="C337" t="s">
        <v>78</v>
      </c>
      <c r="D337" t="s">
        <v>79</v>
      </c>
      <c r="E337">
        <v>4</v>
      </c>
      <c r="F337" s="6">
        <v>120</v>
      </c>
      <c r="G337" s="7">
        <v>15</v>
      </c>
      <c r="H337" s="6">
        <v>408</v>
      </c>
      <c r="I337">
        <v>0</v>
      </c>
      <c r="J337" s="6">
        <v>0</v>
      </c>
      <c r="K337">
        <v>4</v>
      </c>
      <c r="L337" s="6">
        <v>408</v>
      </c>
      <c r="M337" s="6">
        <v>258.07</v>
      </c>
      <c r="N337" s="6">
        <v>149.93</v>
      </c>
      <c r="O337" s="6">
        <v>35.68</v>
      </c>
      <c r="P337" s="6">
        <v>114.25</v>
      </c>
      <c r="Q337" t="s">
        <v>65</v>
      </c>
      <c r="R337" t="s">
        <v>66</v>
      </c>
      <c r="S337" t="s">
        <v>61</v>
      </c>
    </row>
    <row r="338" spans="1:19" x14ac:dyDescent="0.35">
      <c r="A338" t="s">
        <v>453</v>
      </c>
      <c r="B338" s="5">
        <v>45710</v>
      </c>
      <c r="C338" t="s">
        <v>264</v>
      </c>
      <c r="D338" t="s">
        <v>85</v>
      </c>
      <c r="E338">
        <v>2</v>
      </c>
      <c r="F338" s="6">
        <v>20</v>
      </c>
      <c r="G338" s="7">
        <v>0</v>
      </c>
      <c r="H338" s="6">
        <v>40</v>
      </c>
      <c r="I338">
        <v>0</v>
      </c>
      <c r="J338" s="6">
        <v>0</v>
      </c>
      <c r="K338">
        <v>2</v>
      </c>
      <c r="L338" s="6">
        <v>40</v>
      </c>
      <c r="M338" s="6">
        <v>25.87</v>
      </c>
      <c r="N338" s="6">
        <v>14.13</v>
      </c>
      <c r="O338" s="6">
        <v>2.86</v>
      </c>
      <c r="P338" s="6">
        <v>11.27</v>
      </c>
      <c r="Q338" t="s">
        <v>81</v>
      </c>
      <c r="R338" t="s">
        <v>82</v>
      </c>
      <c r="S338" t="s">
        <v>67</v>
      </c>
    </row>
    <row r="339" spans="1:19" x14ac:dyDescent="0.35">
      <c r="A339" t="s">
        <v>454</v>
      </c>
      <c r="B339" s="5">
        <v>45768</v>
      </c>
      <c r="C339" t="s">
        <v>125</v>
      </c>
      <c r="D339" t="s">
        <v>85</v>
      </c>
      <c r="E339">
        <v>6</v>
      </c>
      <c r="F339" s="6">
        <v>125</v>
      </c>
      <c r="G339" s="7">
        <v>5</v>
      </c>
      <c r="H339" s="6">
        <v>712.5</v>
      </c>
      <c r="I339">
        <v>0</v>
      </c>
      <c r="J339" s="6">
        <v>0</v>
      </c>
      <c r="K339">
        <v>6</v>
      </c>
      <c r="L339" s="6">
        <v>712.5</v>
      </c>
      <c r="M339" s="6">
        <v>563.04999999999995</v>
      </c>
      <c r="N339" s="6">
        <v>149.44999999999999</v>
      </c>
      <c r="O339" s="6">
        <v>37.42</v>
      </c>
      <c r="P339" s="6">
        <v>112.03</v>
      </c>
      <c r="Q339" t="s">
        <v>81</v>
      </c>
      <c r="R339" t="s">
        <v>66</v>
      </c>
      <c r="S339" t="s">
        <v>61</v>
      </c>
    </row>
    <row r="340" spans="1:19" x14ac:dyDescent="0.35">
      <c r="A340" t="s">
        <v>455</v>
      </c>
      <c r="B340" s="5">
        <v>45997</v>
      </c>
      <c r="C340" t="s">
        <v>104</v>
      </c>
      <c r="D340" t="s">
        <v>105</v>
      </c>
      <c r="E340">
        <v>1</v>
      </c>
      <c r="F340" s="6">
        <v>65</v>
      </c>
      <c r="G340" s="7">
        <v>0</v>
      </c>
      <c r="H340" s="6">
        <v>65</v>
      </c>
      <c r="I340">
        <v>0</v>
      </c>
      <c r="J340" s="6">
        <v>0</v>
      </c>
      <c r="K340">
        <v>1</v>
      </c>
      <c r="L340" s="6">
        <v>65</v>
      </c>
      <c r="M340" s="6">
        <v>55.33</v>
      </c>
      <c r="N340" s="6">
        <v>9.67</v>
      </c>
      <c r="O340" s="6">
        <v>6.77</v>
      </c>
      <c r="P340" s="6">
        <v>2.9</v>
      </c>
      <c r="Q340" t="s">
        <v>59</v>
      </c>
      <c r="R340" t="s">
        <v>86</v>
      </c>
      <c r="S340" t="s">
        <v>61</v>
      </c>
    </row>
    <row r="341" spans="1:19" x14ac:dyDescent="0.35">
      <c r="A341" t="s">
        <v>456</v>
      </c>
      <c r="B341" s="5">
        <v>45832</v>
      </c>
      <c r="C341" t="s">
        <v>73</v>
      </c>
      <c r="D341" t="s">
        <v>74</v>
      </c>
      <c r="E341">
        <v>1</v>
      </c>
      <c r="F341" s="6">
        <v>280</v>
      </c>
      <c r="G341" s="7">
        <v>0</v>
      </c>
      <c r="H341" s="6">
        <v>280</v>
      </c>
      <c r="I341">
        <v>0</v>
      </c>
      <c r="J341" s="6">
        <v>0</v>
      </c>
      <c r="K341">
        <v>1</v>
      </c>
      <c r="L341" s="6">
        <v>280</v>
      </c>
      <c r="M341" s="6">
        <v>231.2</v>
      </c>
      <c r="N341" s="6">
        <v>48.8</v>
      </c>
      <c r="O341" s="6">
        <v>15.71</v>
      </c>
      <c r="P341" s="6">
        <v>33.090000000000003</v>
      </c>
      <c r="Q341" t="s">
        <v>81</v>
      </c>
      <c r="R341" t="s">
        <v>66</v>
      </c>
      <c r="S341" t="s">
        <v>71</v>
      </c>
    </row>
    <row r="342" spans="1:19" x14ac:dyDescent="0.35">
      <c r="A342" t="s">
        <v>457</v>
      </c>
      <c r="B342" s="5">
        <v>45901</v>
      </c>
      <c r="C342" t="s">
        <v>125</v>
      </c>
      <c r="D342" t="s">
        <v>110</v>
      </c>
      <c r="E342">
        <v>2</v>
      </c>
      <c r="F342" s="6">
        <v>125</v>
      </c>
      <c r="G342" s="7">
        <v>0</v>
      </c>
      <c r="H342" s="6">
        <v>250</v>
      </c>
      <c r="I342">
        <v>0</v>
      </c>
      <c r="J342" s="6">
        <v>0</v>
      </c>
      <c r="K342">
        <v>2</v>
      </c>
      <c r="L342" s="6">
        <v>250</v>
      </c>
      <c r="M342" s="6">
        <v>172.6</v>
      </c>
      <c r="N342" s="6">
        <v>77.400000000000006</v>
      </c>
      <c r="O342" s="6">
        <v>22.86</v>
      </c>
      <c r="P342" s="6">
        <v>54.54</v>
      </c>
      <c r="Q342" t="s">
        <v>75</v>
      </c>
      <c r="R342" t="s">
        <v>82</v>
      </c>
      <c r="S342" t="s">
        <v>61</v>
      </c>
    </row>
    <row r="343" spans="1:19" x14ac:dyDescent="0.35">
      <c r="A343" t="s">
        <v>458</v>
      </c>
      <c r="B343" s="5">
        <v>45817</v>
      </c>
      <c r="C343" t="s">
        <v>117</v>
      </c>
      <c r="D343" t="s">
        <v>74</v>
      </c>
      <c r="E343">
        <v>3</v>
      </c>
      <c r="F343" s="6">
        <v>95</v>
      </c>
      <c r="G343" s="7">
        <v>2</v>
      </c>
      <c r="H343" s="6">
        <v>279.3</v>
      </c>
      <c r="I343">
        <v>0</v>
      </c>
      <c r="J343" s="6">
        <v>0</v>
      </c>
      <c r="K343">
        <v>3</v>
      </c>
      <c r="L343" s="6">
        <v>279.3</v>
      </c>
      <c r="M343" s="6">
        <v>209.93</v>
      </c>
      <c r="N343" s="6">
        <v>69.37</v>
      </c>
      <c r="O343" s="6">
        <v>29.06</v>
      </c>
      <c r="P343" s="6">
        <v>40.31</v>
      </c>
      <c r="Q343" t="s">
        <v>59</v>
      </c>
      <c r="R343" t="s">
        <v>86</v>
      </c>
      <c r="S343" t="s">
        <v>67</v>
      </c>
    </row>
    <row r="344" spans="1:19" x14ac:dyDescent="0.35">
      <c r="A344" t="s">
        <v>459</v>
      </c>
      <c r="B344" s="5">
        <v>45883</v>
      </c>
      <c r="C344" t="s">
        <v>88</v>
      </c>
      <c r="D344" t="s">
        <v>57</v>
      </c>
      <c r="E344">
        <v>1</v>
      </c>
      <c r="F344" s="6">
        <v>30</v>
      </c>
      <c r="G344" s="7">
        <v>0</v>
      </c>
      <c r="H344" s="6">
        <v>30</v>
      </c>
      <c r="I344">
        <v>0</v>
      </c>
      <c r="J344" s="6">
        <v>0</v>
      </c>
      <c r="K344">
        <v>1</v>
      </c>
      <c r="L344" s="6">
        <v>30</v>
      </c>
      <c r="M344" s="6">
        <v>25.08</v>
      </c>
      <c r="N344" s="6">
        <v>4.92</v>
      </c>
      <c r="O344" s="6">
        <v>3.75</v>
      </c>
      <c r="P344" s="6">
        <v>1.17</v>
      </c>
      <c r="Q344" t="s">
        <v>65</v>
      </c>
      <c r="R344" t="s">
        <v>66</v>
      </c>
      <c r="S344" t="s">
        <v>76</v>
      </c>
    </row>
    <row r="345" spans="1:19" x14ac:dyDescent="0.35">
      <c r="A345" t="s">
        <v>460</v>
      </c>
      <c r="B345" s="5">
        <v>45988</v>
      </c>
      <c r="C345" t="s">
        <v>69</v>
      </c>
      <c r="D345" t="s">
        <v>70</v>
      </c>
      <c r="E345">
        <v>1</v>
      </c>
      <c r="F345" s="6">
        <v>210</v>
      </c>
      <c r="G345" s="7">
        <v>15</v>
      </c>
      <c r="H345" s="6">
        <v>178.5</v>
      </c>
      <c r="I345">
        <v>0</v>
      </c>
      <c r="J345" s="6">
        <v>0</v>
      </c>
      <c r="K345">
        <v>1</v>
      </c>
      <c r="L345" s="6">
        <v>178.5</v>
      </c>
      <c r="M345" s="6">
        <v>151.06</v>
      </c>
      <c r="N345" s="6">
        <v>27.44</v>
      </c>
      <c r="O345" s="6">
        <v>23.08</v>
      </c>
      <c r="P345" s="6">
        <v>4.3600000000000003</v>
      </c>
      <c r="Q345" t="s">
        <v>59</v>
      </c>
      <c r="R345" t="s">
        <v>86</v>
      </c>
      <c r="S345" t="s">
        <v>61</v>
      </c>
    </row>
    <row r="346" spans="1:19" x14ac:dyDescent="0.35">
      <c r="A346" t="s">
        <v>461</v>
      </c>
      <c r="B346" s="5">
        <v>45958</v>
      </c>
      <c r="C346" t="s">
        <v>97</v>
      </c>
      <c r="D346" t="s">
        <v>57</v>
      </c>
      <c r="E346">
        <v>1</v>
      </c>
      <c r="F346" s="6">
        <v>55</v>
      </c>
      <c r="G346" s="7">
        <v>5</v>
      </c>
      <c r="H346" s="6">
        <v>52.25</v>
      </c>
      <c r="I346">
        <v>0</v>
      </c>
      <c r="J346" s="6">
        <v>0</v>
      </c>
      <c r="K346">
        <v>1</v>
      </c>
      <c r="L346" s="6">
        <v>52.25</v>
      </c>
      <c r="M346" s="6">
        <v>40.17</v>
      </c>
      <c r="N346" s="6">
        <v>12.08</v>
      </c>
      <c r="O346" s="6">
        <v>6.15</v>
      </c>
      <c r="P346" s="6">
        <v>5.93</v>
      </c>
      <c r="Q346" t="s">
        <v>59</v>
      </c>
      <c r="R346" t="s">
        <v>60</v>
      </c>
      <c r="S346" t="s">
        <v>67</v>
      </c>
    </row>
    <row r="347" spans="1:19" x14ac:dyDescent="0.35">
      <c r="A347" t="s">
        <v>462</v>
      </c>
      <c r="B347" s="5">
        <v>45709</v>
      </c>
      <c r="C347" t="s">
        <v>88</v>
      </c>
      <c r="D347" t="s">
        <v>57</v>
      </c>
      <c r="E347">
        <v>4</v>
      </c>
      <c r="F347" s="6">
        <v>30</v>
      </c>
      <c r="G347" s="7">
        <v>0</v>
      </c>
      <c r="H347" s="6">
        <v>120</v>
      </c>
      <c r="I347">
        <v>0</v>
      </c>
      <c r="J347" s="6">
        <v>0</v>
      </c>
      <c r="K347">
        <v>4</v>
      </c>
      <c r="L347" s="6">
        <v>120</v>
      </c>
      <c r="M347" s="6">
        <v>93.81</v>
      </c>
      <c r="N347" s="6">
        <v>26.19</v>
      </c>
      <c r="O347" s="6">
        <v>9.31</v>
      </c>
      <c r="P347" s="6">
        <v>16.88</v>
      </c>
      <c r="Q347" t="s">
        <v>81</v>
      </c>
      <c r="R347" t="s">
        <v>86</v>
      </c>
      <c r="S347" t="s">
        <v>71</v>
      </c>
    </row>
    <row r="348" spans="1:19" x14ac:dyDescent="0.35">
      <c r="A348" t="s">
        <v>463</v>
      </c>
      <c r="B348" s="5">
        <v>46018</v>
      </c>
      <c r="C348" t="s">
        <v>73</v>
      </c>
      <c r="D348" t="s">
        <v>74</v>
      </c>
      <c r="E348">
        <v>1</v>
      </c>
      <c r="F348" s="6">
        <v>280</v>
      </c>
      <c r="G348" s="7">
        <v>2</v>
      </c>
      <c r="H348" s="6">
        <v>274.39999999999998</v>
      </c>
      <c r="I348">
        <v>0</v>
      </c>
      <c r="J348" s="6">
        <v>0</v>
      </c>
      <c r="K348">
        <v>1</v>
      </c>
      <c r="L348" s="6">
        <v>274.39999999999998</v>
      </c>
      <c r="M348" s="6">
        <v>215.57</v>
      </c>
      <c r="N348" s="6">
        <v>58.83</v>
      </c>
      <c r="O348" s="6">
        <v>24.64</v>
      </c>
      <c r="P348" s="6">
        <v>34.19</v>
      </c>
      <c r="Q348" t="s">
        <v>59</v>
      </c>
      <c r="R348" t="s">
        <v>86</v>
      </c>
      <c r="S348" t="s">
        <v>71</v>
      </c>
    </row>
    <row r="349" spans="1:19" x14ac:dyDescent="0.35">
      <c r="A349" t="s">
        <v>464</v>
      </c>
      <c r="B349" s="5">
        <v>45951</v>
      </c>
      <c r="C349" t="s">
        <v>114</v>
      </c>
      <c r="D349" t="s">
        <v>128</v>
      </c>
      <c r="E349">
        <v>8</v>
      </c>
      <c r="F349" s="6">
        <v>420</v>
      </c>
      <c r="G349" s="7">
        <v>0</v>
      </c>
      <c r="H349" s="6">
        <v>3360</v>
      </c>
      <c r="I349">
        <v>0</v>
      </c>
      <c r="J349" s="6">
        <v>0</v>
      </c>
      <c r="K349">
        <v>8</v>
      </c>
      <c r="L349" s="6">
        <v>3360</v>
      </c>
      <c r="M349" s="6">
        <v>2278.2600000000002</v>
      </c>
      <c r="N349" s="6">
        <v>1081.74</v>
      </c>
      <c r="O349" s="6">
        <v>350.68</v>
      </c>
      <c r="P349" s="6">
        <v>731.06</v>
      </c>
      <c r="Q349" t="s">
        <v>81</v>
      </c>
      <c r="R349" t="s">
        <v>82</v>
      </c>
      <c r="S349" t="s">
        <v>71</v>
      </c>
    </row>
    <row r="350" spans="1:19" x14ac:dyDescent="0.35">
      <c r="A350" t="s">
        <v>465</v>
      </c>
      <c r="B350" s="5">
        <v>45665</v>
      </c>
      <c r="C350" t="s">
        <v>78</v>
      </c>
      <c r="D350" t="s">
        <v>79</v>
      </c>
      <c r="E350">
        <v>3</v>
      </c>
      <c r="F350" s="6">
        <v>120</v>
      </c>
      <c r="G350" s="7">
        <v>0</v>
      </c>
      <c r="H350" s="6">
        <v>360</v>
      </c>
      <c r="I350">
        <v>0</v>
      </c>
      <c r="J350" s="6">
        <v>0</v>
      </c>
      <c r="K350">
        <v>3</v>
      </c>
      <c r="L350" s="6">
        <v>360</v>
      </c>
      <c r="M350" s="6">
        <v>262.82</v>
      </c>
      <c r="N350" s="6">
        <v>97.18</v>
      </c>
      <c r="O350" s="6">
        <v>42.88</v>
      </c>
      <c r="P350" s="6">
        <v>54.3</v>
      </c>
      <c r="Q350" t="s">
        <v>65</v>
      </c>
      <c r="R350" t="s">
        <v>66</v>
      </c>
      <c r="S350" t="s">
        <v>76</v>
      </c>
    </row>
    <row r="351" spans="1:19" x14ac:dyDescent="0.35">
      <c r="A351" t="s">
        <v>466</v>
      </c>
      <c r="B351" s="5">
        <v>45727</v>
      </c>
      <c r="C351" t="s">
        <v>69</v>
      </c>
      <c r="D351" t="s">
        <v>70</v>
      </c>
      <c r="E351">
        <v>5</v>
      </c>
      <c r="F351" s="6">
        <v>210</v>
      </c>
      <c r="G351" s="7">
        <v>15</v>
      </c>
      <c r="H351" s="6">
        <v>892.5</v>
      </c>
      <c r="I351">
        <v>0</v>
      </c>
      <c r="J351" s="6">
        <v>0</v>
      </c>
      <c r="K351">
        <v>5</v>
      </c>
      <c r="L351" s="6">
        <v>892.5</v>
      </c>
      <c r="M351" s="6">
        <v>723.24</v>
      </c>
      <c r="N351" s="6">
        <v>169.26</v>
      </c>
      <c r="O351" s="6">
        <v>61.9</v>
      </c>
      <c r="P351" s="6">
        <v>107.36</v>
      </c>
      <c r="Q351" t="s">
        <v>75</v>
      </c>
      <c r="R351" t="s">
        <v>86</v>
      </c>
      <c r="S351" t="s">
        <v>61</v>
      </c>
    </row>
    <row r="352" spans="1:19" x14ac:dyDescent="0.35">
      <c r="A352" t="s">
        <v>467</v>
      </c>
      <c r="B352" s="5">
        <v>46014</v>
      </c>
      <c r="C352" t="s">
        <v>95</v>
      </c>
      <c r="D352" t="s">
        <v>64</v>
      </c>
      <c r="E352">
        <v>3</v>
      </c>
      <c r="F352" s="6">
        <v>52</v>
      </c>
      <c r="G352" s="7">
        <v>0</v>
      </c>
      <c r="H352" s="6">
        <v>156</v>
      </c>
      <c r="I352">
        <v>0</v>
      </c>
      <c r="J352" s="6">
        <v>0</v>
      </c>
      <c r="K352">
        <v>3</v>
      </c>
      <c r="L352" s="6">
        <v>156</v>
      </c>
      <c r="M352" s="6">
        <v>132.4</v>
      </c>
      <c r="N352" s="6">
        <v>23.6</v>
      </c>
      <c r="O352" s="6">
        <v>10.53</v>
      </c>
      <c r="P352" s="6">
        <v>13.07</v>
      </c>
      <c r="Q352" t="s">
        <v>75</v>
      </c>
      <c r="R352" t="s">
        <v>82</v>
      </c>
      <c r="S352" t="s">
        <v>76</v>
      </c>
    </row>
    <row r="353" spans="1:19" x14ac:dyDescent="0.35">
      <c r="A353" t="s">
        <v>468</v>
      </c>
      <c r="B353" s="5">
        <v>46011</v>
      </c>
      <c r="C353" t="s">
        <v>109</v>
      </c>
      <c r="D353" t="s">
        <v>85</v>
      </c>
      <c r="E353">
        <v>4</v>
      </c>
      <c r="F353" s="6">
        <v>180</v>
      </c>
      <c r="G353" s="7">
        <v>15</v>
      </c>
      <c r="H353" s="6">
        <v>612</v>
      </c>
      <c r="I353">
        <v>0</v>
      </c>
      <c r="J353" s="6">
        <v>0</v>
      </c>
      <c r="K353">
        <v>4</v>
      </c>
      <c r="L353" s="6">
        <v>612</v>
      </c>
      <c r="M353" s="6">
        <v>407.36</v>
      </c>
      <c r="N353" s="6">
        <v>204.64</v>
      </c>
      <c r="O353" s="6">
        <v>75.05</v>
      </c>
      <c r="P353" s="6">
        <v>129.59</v>
      </c>
      <c r="Q353" t="s">
        <v>75</v>
      </c>
      <c r="R353" t="s">
        <v>199</v>
      </c>
      <c r="S353" t="s">
        <v>76</v>
      </c>
    </row>
    <row r="354" spans="1:19" x14ac:dyDescent="0.35">
      <c r="A354" t="s">
        <v>469</v>
      </c>
      <c r="B354" s="5">
        <v>45751</v>
      </c>
      <c r="C354" t="s">
        <v>117</v>
      </c>
      <c r="D354" t="s">
        <v>74</v>
      </c>
      <c r="E354">
        <v>10</v>
      </c>
      <c r="F354" s="6">
        <v>95</v>
      </c>
      <c r="G354" s="7">
        <v>5</v>
      </c>
      <c r="H354" s="6">
        <v>902.5</v>
      </c>
      <c r="I354">
        <v>0</v>
      </c>
      <c r="J354" s="6">
        <v>0</v>
      </c>
      <c r="K354">
        <v>10</v>
      </c>
      <c r="L354" s="6">
        <v>902.5</v>
      </c>
      <c r="M354" s="6">
        <v>594.57000000000005</v>
      </c>
      <c r="N354" s="6">
        <v>307.93</v>
      </c>
      <c r="O354" s="6">
        <v>96.99</v>
      </c>
      <c r="P354" s="6">
        <v>210.94</v>
      </c>
      <c r="Q354" t="s">
        <v>75</v>
      </c>
      <c r="R354" t="s">
        <v>60</v>
      </c>
      <c r="S354" t="s">
        <v>76</v>
      </c>
    </row>
    <row r="355" spans="1:19" x14ac:dyDescent="0.35">
      <c r="A355" t="s">
        <v>470</v>
      </c>
      <c r="B355" s="5">
        <v>45731</v>
      </c>
      <c r="C355" t="s">
        <v>107</v>
      </c>
      <c r="D355" t="s">
        <v>74</v>
      </c>
      <c r="E355">
        <v>1</v>
      </c>
      <c r="F355" s="6">
        <v>125</v>
      </c>
      <c r="G355" s="7">
        <v>2</v>
      </c>
      <c r="H355" s="6">
        <v>122.5</v>
      </c>
      <c r="I355">
        <v>0</v>
      </c>
      <c r="J355" s="6">
        <v>0</v>
      </c>
      <c r="K355">
        <v>1</v>
      </c>
      <c r="L355" s="6">
        <v>122.5</v>
      </c>
      <c r="M355" s="6">
        <v>98.64</v>
      </c>
      <c r="N355" s="6">
        <v>23.86</v>
      </c>
      <c r="O355" s="6">
        <v>6.24</v>
      </c>
      <c r="P355" s="6">
        <v>17.62</v>
      </c>
      <c r="Q355" t="s">
        <v>65</v>
      </c>
      <c r="R355" t="s">
        <v>366</v>
      </c>
      <c r="S355" t="s">
        <v>61</v>
      </c>
    </row>
    <row r="356" spans="1:19" x14ac:dyDescent="0.35">
      <c r="A356" t="s">
        <v>471</v>
      </c>
      <c r="B356" s="5">
        <v>45748</v>
      </c>
      <c r="C356" t="s">
        <v>84</v>
      </c>
      <c r="D356" t="s">
        <v>85</v>
      </c>
      <c r="E356" t="s">
        <v>58</v>
      </c>
      <c r="F356" s="6">
        <v>48</v>
      </c>
      <c r="G356" s="7">
        <v>0</v>
      </c>
      <c r="H356" s="6">
        <v>240</v>
      </c>
      <c r="I356">
        <v>0</v>
      </c>
      <c r="J356" s="6">
        <v>0</v>
      </c>
      <c r="K356">
        <v>5</v>
      </c>
      <c r="L356" s="6">
        <v>240</v>
      </c>
      <c r="M356" s="6">
        <v>195.35</v>
      </c>
      <c r="N356" s="6">
        <v>44.65</v>
      </c>
      <c r="O356" s="6">
        <v>21.88</v>
      </c>
      <c r="P356" s="6">
        <v>22.77</v>
      </c>
      <c r="Q356" t="s">
        <v>81</v>
      </c>
      <c r="R356" t="s">
        <v>66</v>
      </c>
      <c r="S356" t="s">
        <v>76</v>
      </c>
    </row>
    <row r="357" spans="1:19" x14ac:dyDescent="0.35">
      <c r="A357" t="s">
        <v>472</v>
      </c>
      <c r="B357" s="5">
        <v>45691</v>
      </c>
      <c r="C357" t="s">
        <v>95</v>
      </c>
      <c r="D357" t="s">
        <v>64</v>
      </c>
      <c r="E357">
        <v>6</v>
      </c>
      <c r="F357" s="6">
        <v>52</v>
      </c>
      <c r="G357" s="7">
        <v>0</v>
      </c>
      <c r="H357" s="6">
        <v>312</v>
      </c>
      <c r="I357">
        <v>0</v>
      </c>
      <c r="J357" s="6">
        <v>0</v>
      </c>
      <c r="K357">
        <v>6</v>
      </c>
      <c r="L357" s="6">
        <v>312</v>
      </c>
      <c r="M357" s="6">
        <v>260.94</v>
      </c>
      <c r="N357" s="6">
        <v>51.06</v>
      </c>
      <c r="O357" s="6">
        <v>40.31</v>
      </c>
      <c r="P357" s="6">
        <v>10.75</v>
      </c>
      <c r="Q357" t="s">
        <v>59</v>
      </c>
      <c r="R357" t="s">
        <v>66</v>
      </c>
      <c r="S357" t="s">
        <v>61</v>
      </c>
    </row>
    <row r="358" spans="1:19" x14ac:dyDescent="0.35">
      <c r="A358" t="s">
        <v>473</v>
      </c>
      <c r="B358" s="5">
        <v>45748</v>
      </c>
      <c r="C358" t="s">
        <v>56</v>
      </c>
      <c r="D358" t="s">
        <v>57</v>
      </c>
      <c r="E358">
        <v>2</v>
      </c>
      <c r="F358" s="6">
        <v>40</v>
      </c>
      <c r="G358" s="7">
        <v>0</v>
      </c>
      <c r="H358" s="6">
        <v>80</v>
      </c>
      <c r="I358">
        <v>0</v>
      </c>
      <c r="J358" s="6">
        <v>0</v>
      </c>
      <c r="K358">
        <v>2</v>
      </c>
      <c r="L358" s="6">
        <v>80</v>
      </c>
      <c r="M358" s="6">
        <v>64.08</v>
      </c>
      <c r="N358" s="6">
        <v>15.92</v>
      </c>
      <c r="O358" s="6">
        <v>10.09</v>
      </c>
      <c r="P358" s="6">
        <v>5.83</v>
      </c>
      <c r="Q358" t="s">
        <v>81</v>
      </c>
      <c r="R358" t="s">
        <v>82</v>
      </c>
      <c r="S358" t="s">
        <v>67</v>
      </c>
    </row>
    <row r="359" spans="1:19" x14ac:dyDescent="0.35">
      <c r="A359" t="s">
        <v>474</v>
      </c>
      <c r="B359" s="5">
        <v>45914</v>
      </c>
      <c r="C359" t="s">
        <v>78</v>
      </c>
      <c r="D359" t="s">
        <v>79</v>
      </c>
      <c r="E359">
        <v>10</v>
      </c>
      <c r="F359" s="6">
        <v>120</v>
      </c>
      <c r="G359" s="7">
        <v>0</v>
      </c>
      <c r="H359" s="6">
        <v>1200</v>
      </c>
      <c r="I359">
        <v>0</v>
      </c>
      <c r="J359" s="6">
        <v>0</v>
      </c>
      <c r="K359">
        <v>10</v>
      </c>
      <c r="L359" s="6">
        <v>1200</v>
      </c>
      <c r="M359" s="6">
        <v>909.27</v>
      </c>
      <c r="N359" s="6">
        <v>290.73</v>
      </c>
      <c r="O359" s="6">
        <v>141.34</v>
      </c>
      <c r="P359" s="6">
        <v>149.38999999999999</v>
      </c>
      <c r="Q359" t="s">
        <v>81</v>
      </c>
      <c r="R359" t="s">
        <v>82</v>
      </c>
      <c r="S359" t="s">
        <v>67</v>
      </c>
    </row>
    <row r="360" spans="1:19" x14ac:dyDescent="0.35">
      <c r="A360" t="s">
        <v>475</v>
      </c>
      <c r="B360" s="5">
        <v>45935</v>
      </c>
      <c r="C360" t="s">
        <v>104</v>
      </c>
      <c r="D360" t="s">
        <v>105</v>
      </c>
      <c r="E360">
        <v>1</v>
      </c>
      <c r="F360" s="6">
        <v>65</v>
      </c>
      <c r="G360" s="7">
        <v>0</v>
      </c>
      <c r="H360" s="6">
        <v>65</v>
      </c>
      <c r="I360">
        <v>0</v>
      </c>
      <c r="J360" s="6">
        <v>0</v>
      </c>
      <c r="K360">
        <v>1</v>
      </c>
      <c r="L360" s="6">
        <v>65</v>
      </c>
      <c r="M360" s="6">
        <v>43.75</v>
      </c>
      <c r="N360" s="6">
        <v>21.25</v>
      </c>
      <c r="O360" s="6">
        <v>3.44</v>
      </c>
      <c r="P360" s="6">
        <v>17.809999999999999</v>
      </c>
      <c r="Q360" t="s">
        <v>81</v>
      </c>
      <c r="R360" t="s">
        <v>86</v>
      </c>
      <c r="S360" t="s">
        <v>67</v>
      </c>
    </row>
    <row r="361" spans="1:19" x14ac:dyDescent="0.35">
      <c r="A361" t="s">
        <v>476</v>
      </c>
      <c r="B361" s="5">
        <v>45939</v>
      </c>
      <c r="C361" t="s">
        <v>97</v>
      </c>
      <c r="D361" t="s">
        <v>57</v>
      </c>
      <c r="E361">
        <v>8</v>
      </c>
      <c r="F361" s="6">
        <v>55</v>
      </c>
      <c r="G361" s="7">
        <v>2</v>
      </c>
      <c r="H361" s="6">
        <v>431.2</v>
      </c>
      <c r="I361">
        <v>0</v>
      </c>
      <c r="J361" s="6">
        <v>0</v>
      </c>
      <c r="K361">
        <v>8</v>
      </c>
      <c r="L361" s="6">
        <v>431.2</v>
      </c>
      <c r="M361" s="6">
        <v>312.52999999999997</v>
      </c>
      <c r="N361" s="6">
        <v>118.67</v>
      </c>
      <c r="O361" s="6">
        <v>39.380000000000003</v>
      </c>
      <c r="P361" s="6">
        <v>79.290000000000006</v>
      </c>
      <c r="Q361" t="s">
        <v>59</v>
      </c>
      <c r="R361" t="s">
        <v>60</v>
      </c>
      <c r="S361" t="s">
        <v>67</v>
      </c>
    </row>
    <row r="362" spans="1:19" x14ac:dyDescent="0.35">
      <c r="A362" t="s">
        <v>477</v>
      </c>
      <c r="B362" s="5">
        <v>46019</v>
      </c>
      <c r="C362" t="s">
        <v>56</v>
      </c>
      <c r="D362" t="s">
        <v>57</v>
      </c>
      <c r="E362">
        <v>6</v>
      </c>
      <c r="F362" s="6">
        <v>40</v>
      </c>
      <c r="G362" s="7">
        <v>10</v>
      </c>
      <c r="H362" s="6">
        <v>216</v>
      </c>
      <c r="I362">
        <v>0</v>
      </c>
      <c r="J362" s="6">
        <v>0</v>
      </c>
      <c r="K362">
        <v>6</v>
      </c>
      <c r="L362" s="6">
        <v>216</v>
      </c>
      <c r="M362" s="6">
        <v>180.19</v>
      </c>
      <c r="N362" s="6">
        <v>35.81</v>
      </c>
      <c r="O362" s="6">
        <v>24.28</v>
      </c>
      <c r="P362" s="6">
        <v>11.53</v>
      </c>
      <c r="Q362" t="s">
        <v>65</v>
      </c>
      <c r="R362" t="s">
        <v>60</v>
      </c>
      <c r="S362" t="s">
        <v>71</v>
      </c>
    </row>
    <row r="363" spans="1:19" x14ac:dyDescent="0.35">
      <c r="A363" t="s">
        <v>478</v>
      </c>
      <c r="B363" s="5">
        <v>45981</v>
      </c>
      <c r="C363" t="s">
        <v>104</v>
      </c>
      <c r="D363" t="s">
        <v>105</v>
      </c>
      <c r="E363">
        <v>1</v>
      </c>
      <c r="F363" s="6">
        <v>65</v>
      </c>
      <c r="G363" s="7">
        <v>0</v>
      </c>
      <c r="H363" s="6">
        <v>65</v>
      </c>
      <c r="I363">
        <v>0</v>
      </c>
      <c r="J363" s="6">
        <v>0</v>
      </c>
      <c r="K363">
        <v>1</v>
      </c>
      <c r="L363" s="6">
        <v>65</v>
      </c>
      <c r="M363" s="6">
        <v>44.91</v>
      </c>
      <c r="N363" s="6">
        <v>20.09</v>
      </c>
      <c r="O363" s="6">
        <v>3.42</v>
      </c>
      <c r="P363" s="6">
        <v>16.670000000000002</v>
      </c>
      <c r="Q363" t="s">
        <v>81</v>
      </c>
      <c r="R363" t="s">
        <v>60</v>
      </c>
      <c r="S363" t="s">
        <v>76</v>
      </c>
    </row>
    <row r="364" spans="1:19" x14ac:dyDescent="0.35">
      <c r="A364" t="s">
        <v>479</v>
      </c>
      <c r="B364" s="5">
        <v>45681</v>
      </c>
      <c r="C364" t="s">
        <v>125</v>
      </c>
      <c r="D364" t="s">
        <v>85</v>
      </c>
      <c r="E364">
        <v>3</v>
      </c>
      <c r="F364" s="6">
        <v>125</v>
      </c>
      <c r="G364" s="7">
        <v>0</v>
      </c>
      <c r="H364" s="6">
        <v>375</v>
      </c>
      <c r="I364">
        <v>0</v>
      </c>
      <c r="J364" s="6">
        <v>0</v>
      </c>
      <c r="K364">
        <v>3</v>
      </c>
      <c r="L364" s="6">
        <v>375</v>
      </c>
      <c r="M364" s="6">
        <v>306.91000000000003</v>
      </c>
      <c r="N364" s="6">
        <v>68.09</v>
      </c>
      <c r="O364" s="6">
        <v>40.549999999999997</v>
      </c>
      <c r="P364" s="6">
        <v>27.54</v>
      </c>
      <c r="Q364" t="s">
        <v>65</v>
      </c>
      <c r="R364" t="s">
        <v>82</v>
      </c>
      <c r="S364" t="s">
        <v>61</v>
      </c>
    </row>
    <row r="365" spans="1:19" x14ac:dyDescent="0.35">
      <c r="A365" t="s">
        <v>480</v>
      </c>
      <c r="B365" s="5">
        <v>46008</v>
      </c>
      <c r="C365" t="s">
        <v>95</v>
      </c>
      <c r="D365" t="s">
        <v>64</v>
      </c>
      <c r="E365">
        <v>3</v>
      </c>
      <c r="F365" s="6">
        <v>52</v>
      </c>
      <c r="G365" s="7">
        <v>0</v>
      </c>
      <c r="H365" s="6">
        <v>156</v>
      </c>
      <c r="I365">
        <v>0</v>
      </c>
      <c r="J365" s="6">
        <v>0</v>
      </c>
      <c r="K365">
        <v>3</v>
      </c>
      <c r="L365" s="6">
        <v>156</v>
      </c>
      <c r="M365" s="6">
        <v>98.42</v>
      </c>
      <c r="N365" s="6">
        <v>57.58</v>
      </c>
      <c r="O365" s="6">
        <v>19.420000000000002</v>
      </c>
      <c r="P365" s="6">
        <v>38.159999999999997</v>
      </c>
      <c r="Q365" t="s">
        <v>81</v>
      </c>
      <c r="R365" t="s">
        <v>66</v>
      </c>
      <c r="S365" t="s">
        <v>71</v>
      </c>
    </row>
    <row r="366" spans="1:19" x14ac:dyDescent="0.35">
      <c r="A366" t="s">
        <v>481</v>
      </c>
      <c r="B366" s="5">
        <v>45760</v>
      </c>
      <c r="C366" t="s">
        <v>97</v>
      </c>
      <c r="D366" t="s">
        <v>57</v>
      </c>
      <c r="E366">
        <v>1</v>
      </c>
      <c r="F366" s="6">
        <v>55</v>
      </c>
      <c r="G366" s="7">
        <v>0</v>
      </c>
      <c r="H366" s="6">
        <v>55</v>
      </c>
      <c r="I366">
        <v>0</v>
      </c>
      <c r="J366" s="6">
        <v>0</v>
      </c>
      <c r="K366">
        <v>1</v>
      </c>
      <c r="L366" s="6">
        <v>55</v>
      </c>
      <c r="M366" s="6">
        <v>41</v>
      </c>
      <c r="N366" s="6">
        <v>14</v>
      </c>
      <c r="O366" s="6">
        <v>7.03</v>
      </c>
      <c r="P366" s="6">
        <v>6.97</v>
      </c>
      <c r="Q366" t="s">
        <v>81</v>
      </c>
      <c r="R366" t="s">
        <v>66</v>
      </c>
      <c r="S366" t="s">
        <v>67</v>
      </c>
    </row>
    <row r="367" spans="1:19" x14ac:dyDescent="0.35">
      <c r="A367" t="s">
        <v>482</v>
      </c>
      <c r="B367" s="5">
        <v>45896</v>
      </c>
      <c r="C367" t="s">
        <v>104</v>
      </c>
      <c r="D367" t="s">
        <v>105</v>
      </c>
      <c r="E367">
        <v>2</v>
      </c>
      <c r="F367" s="6">
        <v>65</v>
      </c>
      <c r="G367" s="7">
        <v>0</v>
      </c>
      <c r="H367" s="6">
        <v>130</v>
      </c>
      <c r="I367">
        <v>0</v>
      </c>
      <c r="J367" s="6">
        <v>0</v>
      </c>
      <c r="K367">
        <v>2</v>
      </c>
      <c r="L367" s="6">
        <v>130</v>
      </c>
      <c r="M367" s="6">
        <v>103.36</v>
      </c>
      <c r="N367" s="6">
        <v>26.64</v>
      </c>
      <c r="O367" s="6">
        <v>8.83</v>
      </c>
      <c r="P367" s="6">
        <v>17.809999999999999</v>
      </c>
      <c r="Q367" t="s">
        <v>75</v>
      </c>
      <c r="R367" t="s">
        <v>66</v>
      </c>
      <c r="S367" t="s">
        <v>67</v>
      </c>
    </row>
    <row r="368" spans="1:19" x14ac:dyDescent="0.35">
      <c r="A368" t="s">
        <v>483</v>
      </c>
      <c r="B368" s="5">
        <v>45704</v>
      </c>
      <c r="C368" t="s">
        <v>78</v>
      </c>
      <c r="D368" t="s">
        <v>79</v>
      </c>
      <c r="E368">
        <v>6</v>
      </c>
      <c r="F368" s="6">
        <v>120</v>
      </c>
      <c r="G368" s="7">
        <v>5</v>
      </c>
      <c r="H368" s="6">
        <v>684</v>
      </c>
      <c r="I368">
        <v>0</v>
      </c>
      <c r="J368" s="6">
        <v>0</v>
      </c>
      <c r="K368">
        <v>6</v>
      </c>
      <c r="L368" s="6">
        <v>684</v>
      </c>
      <c r="M368" s="6">
        <v>465.58</v>
      </c>
      <c r="N368" s="6">
        <v>218.42</v>
      </c>
      <c r="O368" s="6">
        <v>41.06</v>
      </c>
      <c r="P368" s="6">
        <v>177.36</v>
      </c>
      <c r="Q368" t="s">
        <v>81</v>
      </c>
      <c r="R368" t="s">
        <v>86</v>
      </c>
      <c r="S368" t="s">
        <v>76</v>
      </c>
    </row>
    <row r="369" spans="1:19" x14ac:dyDescent="0.35">
      <c r="A369" t="s">
        <v>484</v>
      </c>
      <c r="B369" s="5">
        <v>45944</v>
      </c>
      <c r="C369" t="s">
        <v>117</v>
      </c>
      <c r="D369" t="s">
        <v>74</v>
      </c>
      <c r="E369">
        <v>5</v>
      </c>
      <c r="F369" s="6">
        <v>95</v>
      </c>
      <c r="G369" s="7">
        <v>0</v>
      </c>
      <c r="H369" s="6">
        <v>475</v>
      </c>
      <c r="I369">
        <v>0</v>
      </c>
      <c r="J369" s="6">
        <v>0</v>
      </c>
      <c r="K369">
        <v>5</v>
      </c>
      <c r="L369" s="6">
        <v>475</v>
      </c>
      <c r="M369" s="6">
        <v>361.83</v>
      </c>
      <c r="N369" s="6">
        <v>113.17</v>
      </c>
      <c r="O369" s="6">
        <v>26.73</v>
      </c>
      <c r="P369" s="6">
        <v>86.44</v>
      </c>
      <c r="Q369" t="s">
        <v>81</v>
      </c>
      <c r="R369" t="s">
        <v>82</v>
      </c>
      <c r="S369" t="s">
        <v>61</v>
      </c>
    </row>
    <row r="370" spans="1:19" x14ac:dyDescent="0.35">
      <c r="A370" t="s">
        <v>485</v>
      </c>
      <c r="B370" s="5">
        <v>45981</v>
      </c>
      <c r="C370" t="s">
        <v>100</v>
      </c>
      <c r="D370" t="s">
        <v>128</v>
      </c>
      <c r="E370">
        <v>5</v>
      </c>
      <c r="F370" s="6">
        <v>310</v>
      </c>
      <c r="G370" s="7">
        <v>2</v>
      </c>
      <c r="H370" s="6">
        <v>1519</v>
      </c>
      <c r="I370">
        <v>0</v>
      </c>
      <c r="J370" s="6">
        <v>0</v>
      </c>
      <c r="K370">
        <v>5</v>
      </c>
      <c r="L370" s="6">
        <v>1519</v>
      </c>
      <c r="M370" s="6">
        <v>1288.92</v>
      </c>
      <c r="N370" s="6">
        <v>230.08</v>
      </c>
      <c r="O370" s="6">
        <v>108.19</v>
      </c>
      <c r="P370" s="6">
        <v>121.89</v>
      </c>
      <c r="Q370" t="s">
        <v>65</v>
      </c>
      <c r="R370" t="s">
        <v>86</v>
      </c>
      <c r="S370" t="s">
        <v>76</v>
      </c>
    </row>
    <row r="371" spans="1:19" x14ac:dyDescent="0.35">
      <c r="A371" t="s">
        <v>486</v>
      </c>
      <c r="B371" s="5">
        <v>45745</v>
      </c>
      <c r="C371" t="s">
        <v>125</v>
      </c>
      <c r="D371" t="s">
        <v>85</v>
      </c>
      <c r="E371">
        <v>1</v>
      </c>
      <c r="F371" s="6">
        <v>125</v>
      </c>
      <c r="G371" s="7">
        <v>0</v>
      </c>
      <c r="H371" s="6">
        <v>125</v>
      </c>
      <c r="I371">
        <v>0</v>
      </c>
      <c r="J371" s="6">
        <v>0</v>
      </c>
      <c r="K371">
        <v>1</v>
      </c>
      <c r="L371" s="6">
        <v>125</v>
      </c>
      <c r="M371" s="6">
        <v>92.77</v>
      </c>
      <c r="N371" s="6">
        <v>32.229999999999997</v>
      </c>
      <c r="O371" s="6">
        <v>15.58</v>
      </c>
      <c r="P371" s="6">
        <v>16.649999999999999</v>
      </c>
      <c r="Q371" t="s">
        <v>81</v>
      </c>
      <c r="R371" t="s">
        <v>86</v>
      </c>
      <c r="S371" t="s">
        <v>76</v>
      </c>
    </row>
    <row r="372" spans="1:19" x14ac:dyDescent="0.35">
      <c r="A372" t="s">
        <v>487</v>
      </c>
      <c r="B372" s="5">
        <v>45738</v>
      </c>
      <c r="C372" t="s">
        <v>56</v>
      </c>
      <c r="D372" t="s">
        <v>57</v>
      </c>
      <c r="E372">
        <v>3</v>
      </c>
      <c r="F372" s="6">
        <v>40</v>
      </c>
      <c r="G372" s="7">
        <v>10</v>
      </c>
      <c r="H372" s="6">
        <v>108</v>
      </c>
      <c r="I372">
        <v>0</v>
      </c>
      <c r="J372" s="6">
        <v>0</v>
      </c>
      <c r="K372">
        <v>3</v>
      </c>
      <c r="L372" s="6">
        <v>108</v>
      </c>
      <c r="M372" s="6">
        <v>84.96</v>
      </c>
      <c r="N372" s="6">
        <v>23.04</v>
      </c>
      <c r="O372" s="6">
        <v>12.85</v>
      </c>
      <c r="P372" s="6">
        <v>10.19</v>
      </c>
      <c r="Q372" t="s">
        <v>81</v>
      </c>
      <c r="R372" t="s">
        <v>60</v>
      </c>
      <c r="S372" t="s">
        <v>67</v>
      </c>
    </row>
    <row r="373" spans="1:19" x14ac:dyDescent="0.35">
      <c r="A373" t="s">
        <v>488</v>
      </c>
      <c r="B373" s="5">
        <v>45733</v>
      </c>
      <c r="C373" t="s">
        <v>97</v>
      </c>
      <c r="D373" t="s">
        <v>153</v>
      </c>
      <c r="E373">
        <v>2</v>
      </c>
      <c r="F373" s="6">
        <v>55</v>
      </c>
      <c r="G373" s="7">
        <v>0</v>
      </c>
      <c r="H373" s="6">
        <v>110</v>
      </c>
      <c r="I373">
        <v>0</v>
      </c>
      <c r="J373" s="6">
        <v>0</v>
      </c>
      <c r="K373">
        <v>2</v>
      </c>
      <c r="L373" s="6">
        <v>110</v>
      </c>
      <c r="M373" s="6">
        <v>94.03</v>
      </c>
      <c r="N373" s="6">
        <v>15.97</v>
      </c>
      <c r="O373" s="6">
        <v>11.67</v>
      </c>
      <c r="P373" s="6">
        <v>4.3</v>
      </c>
      <c r="Q373" t="s">
        <v>65</v>
      </c>
      <c r="R373" t="s">
        <v>60</v>
      </c>
      <c r="S373" t="s">
        <v>67</v>
      </c>
    </row>
    <row r="374" spans="1:19" x14ac:dyDescent="0.35">
      <c r="A374" t="s">
        <v>489</v>
      </c>
      <c r="B374" s="5">
        <v>45996</v>
      </c>
      <c r="C374" t="s">
        <v>114</v>
      </c>
      <c r="D374" t="s">
        <v>64</v>
      </c>
      <c r="E374">
        <v>2</v>
      </c>
      <c r="F374" s="6">
        <v>420</v>
      </c>
      <c r="G374" s="7">
        <v>0</v>
      </c>
      <c r="H374" s="6">
        <v>840</v>
      </c>
      <c r="I374">
        <v>0</v>
      </c>
      <c r="J374" s="6">
        <v>0</v>
      </c>
      <c r="K374">
        <v>2</v>
      </c>
      <c r="L374" s="6">
        <v>840</v>
      </c>
      <c r="M374" s="6">
        <v>622.95000000000005</v>
      </c>
      <c r="N374" s="6">
        <v>217.05</v>
      </c>
      <c r="O374" s="6">
        <v>102.92</v>
      </c>
      <c r="P374" s="6">
        <v>114.13</v>
      </c>
      <c r="Q374" t="s">
        <v>59</v>
      </c>
      <c r="R374" t="s">
        <v>86</v>
      </c>
      <c r="S374" t="s">
        <v>76</v>
      </c>
    </row>
    <row r="375" spans="1:19" x14ac:dyDescent="0.35">
      <c r="A375" t="s">
        <v>490</v>
      </c>
      <c r="B375" s="5">
        <v>45996</v>
      </c>
      <c r="C375" t="s">
        <v>88</v>
      </c>
      <c r="D375" t="s">
        <v>57</v>
      </c>
      <c r="E375">
        <v>5</v>
      </c>
      <c r="F375" s="6">
        <v>30</v>
      </c>
      <c r="G375" s="7">
        <v>2</v>
      </c>
      <c r="H375" s="6">
        <v>147</v>
      </c>
      <c r="I375">
        <v>0</v>
      </c>
      <c r="J375" s="6">
        <v>0</v>
      </c>
      <c r="K375">
        <v>5</v>
      </c>
      <c r="L375" s="6">
        <v>147</v>
      </c>
      <c r="M375" s="6">
        <v>120.89</v>
      </c>
      <c r="N375" s="6">
        <v>26.11</v>
      </c>
      <c r="O375" s="6">
        <v>13.92</v>
      </c>
      <c r="P375" s="6">
        <v>12.19</v>
      </c>
      <c r="Q375" t="s">
        <v>81</v>
      </c>
      <c r="R375" t="s">
        <v>66</v>
      </c>
      <c r="S375" t="s">
        <v>67</v>
      </c>
    </row>
    <row r="376" spans="1:19" x14ac:dyDescent="0.35">
      <c r="A376" t="s">
        <v>491</v>
      </c>
      <c r="B376" s="5">
        <v>45897</v>
      </c>
      <c r="C376" t="s">
        <v>107</v>
      </c>
      <c r="D376" t="s">
        <v>74</v>
      </c>
      <c r="E376">
        <v>3</v>
      </c>
      <c r="F376" s="6">
        <v>125</v>
      </c>
      <c r="G376" s="7">
        <v>0</v>
      </c>
      <c r="H376" s="6">
        <v>375</v>
      </c>
      <c r="I376">
        <v>0</v>
      </c>
      <c r="J376" s="6">
        <v>0</v>
      </c>
      <c r="K376">
        <v>3</v>
      </c>
      <c r="L376" s="6">
        <v>375</v>
      </c>
      <c r="M376" s="6">
        <v>260.3</v>
      </c>
      <c r="N376" s="6">
        <v>114.7</v>
      </c>
      <c r="O376" s="6">
        <v>22.3</v>
      </c>
      <c r="P376" s="6">
        <v>92.4</v>
      </c>
      <c r="Q376" t="s">
        <v>65</v>
      </c>
      <c r="R376" t="s">
        <v>82</v>
      </c>
      <c r="S376" t="s">
        <v>76</v>
      </c>
    </row>
    <row r="377" spans="1:19" x14ac:dyDescent="0.35">
      <c r="A377" t="s">
        <v>492</v>
      </c>
      <c r="B377" s="5">
        <v>45808</v>
      </c>
      <c r="C377" t="s">
        <v>92</v>
      </c>
      <c r="D377" t="s">
        <v>79</v>
      </c>
      <c r="E377">
        <v>2</v>
      </c>
      <c r="F377" s="6">
        <v>85</v>
      </c>
      <c r="G377" s="7">
        <v>0</v>
      </c>
      <c r="H377" s="6">
        <v>170</v>
      </c>
      <c r="I377">
        <v>0</v>
      </c>
      <c r="J377" s="6">
        <v>0</v>
      </c>
      <c r="K377">
        <v>2</v>
      </c>
      <c r="L377" s="6">
        <v>170</v>
      </c>
      <c r="M377" s="6">
        <v>140.69999999999999</v>
      </c>
      <c r="N377" s="6">
        <v>29.3</v>
      </c>
      <c r="O377" s="6">
        <v>12.71</v>
      </c>
      <c r="P377" s="6">
        <v>16.59</v>
      </c>
      <c r="Q377" t="s">
        <v>81</v>
      </c>
      <c r="R377" t="s">
        <v>86</v>
      </c>
      <c r="S377" t="s">
        <v>71</v>
      </c>
    </row>
    <row r="378" spans="1:19" x14ac:dyDescent="0.35">
      <c r="A378" t="s">
        <v>493</v>
      </c>
      <c r="B378" s="5">
        <v>45740</v>
      </c>
      <c r="C378" t="s">
        <v>92</v>
      </c>
      <c r="D378" t="s">
        <v>79</v>
      </c>
      <c r="E378">
        <v>3</v>
      </c>
      <c r="F378" s="6">
        <v>85</v>
      </c>
      <c r="G378" s="7">
        <v>0</v>
      </c>
      <c r="H378" s="6">
        <v>255</v>
      </c>
      <c r="I378">
        <v>0</v>
      </c>
      <c r="J378" s="6">
        <v>0</v>
      </c>
      <c r="K378">
        <v>3</v>
      </c>
      <c r="L378" s="6">
        <v>255</v>
      </c>
      <c r="M378" s="6">
        <v>177.25</v>
      </c>
      <c r="N378" s="6">
        <v>77.75</v>
      </c>
      <c r="O378" s="6">
        <v>30.1</v>
      </c>
      <c r="P378" s="6">
        <v>47.65</v>
      </c>
      <c r="Q378" t="s">
        <v>59</v>
      </c>
      <c r="R378" t="s">
        <v>82</v>
      </c>
      <c r="S378" t="s">
        <v>61</v>
      </c>
    </row>
    <row r="379" spans="1:19" x14ac:dyDescent="0.35">
      <c r="A379" t="s">
        <v>494</v>
      </c>
      <c r="B379" s="5">
        <v>45797</v>
      </c>
      <c r="C379" t="s">
        <v>117</v>
      </c>
      <c r="D379" t="s">
        <v>74</v>
      </c>
      <c r="E379">
        <v>1</v>
      </c>
      <c r="F379" s="6">
        <v>95</v>
      </c>
      <c r="G379" s="7">
        <v>0</v>
      </c>
      <c r="H379" s="6">
        <v>95</v>
      </c>
      <c r="I379">
        <v>0</v>
      </c>
      <c r="J379" s="6">
        <v>0</v>
      </c>
      <c r="K379">
        <v>1</v>
      </c>
      <c r="L379" s="6">
        <v>95</v>
      </c>
      <c r="M379" s="6">
        <v>59.35</v>
      </c>
      <c r="N379" s="6">
        <v>35.65</v>
      </c>
      <c r="O379" s="6">
        <v>6.2</v>
      </c>
      <c r="P379" s="6">
        <v>29.45</v>
      </c>
      <c r="Q379" t="s">
        <v>75</v>
      </c>
      <c r="R379" t="s">
        <v>82</v>
      </c>
      <c r="S379" t="s">
        <v>67</v>
      </c>
    </row>
    <row r="380" spans="1:19" x14ac:dyDescent="0.35">
      <c r="A380" t="s">
        <v>495</v>
      </c>
      <c r="B380" s="5">
        <v>45676</v>
      </c>
      <c r="C380" t="s">
        <v>496</v>
      </c>
      <c r="D380" t="s">
        <v>85</v>
      </c>
      <c r="E380">
        <v>4</v>
      </c>
      <c r="F380" s="6">
        <v>125</v>
      </c>
      <c r="G380" s="7">
        <v>0</v>
      </c>
      <c r="H380" s="6">
        <v>500</v>
      </c>
      <c r="I380">
        <v>0</v>
      </c>
      <c r="J380" s="6">
        <v>0</v>
      </c>
      <c r="K380">
        <v>4</v>
      </c>
      <c r="L380" s="6">
        <v>500</v>
      </c>
      <c r="M380" s="6">
        <v>318.2</v>
      </c>
      <c r="N380" s="6">
        <v>181.8</v>
      </c>
      <c r="O380" s="6">
        <v>36.43</v>
      </c>
      <c r="P380" s="6">
        <v>145.37</v>
      </c>
      <c r="Q380" t="s">
        <v>81</v>
      </c>
      <c r="R380" t="s">
        <v>66</v>
      </c>
      <c r="S380" t="s">
        <v>76</v>
      </c>
    </row>
    <row r="381" spans="1:19" x14ac:dyDescent="0.35">
      <c r="A381" t="s">
        <v>497</v>
      </c>
      <c r="B381" s="5">
        <v>45872</v>
      </c>
      <c r="C381" t="s">
        <v>280</v>
      </c>
      <c r="D381" t="s">
        <v>64</v>
      </c>
      <c r="E381">
        <v>1</v>
      </c>
      <c r="F381" s="6">
        <v>310</v>
      </c>
      <c r="G381" s="7">
        <v>0</v>
      </c>
      <c r="H381" s="6">
        <v>310</v>
      </c>
      <c r="I381">
        <v>0</v>
      </c>
      <c r="J381" s="6">
        <v>0</v>
      </c>
      <c r="K381">
        <v>1</v>
      </c>
      <c r="L381" s="6">
        <v>310</v>
      </c>
      <c r="M381" s="6">
        <v>265.26</v>
      </c>
      <c r="N381" s="6">
        <v>44.74</v>
      </c>
      <c r="O381" s="6">
        <v>33.69</v>
      </c>
      <c r="P381" s="6">
        <v>11.05</v>
      </c>
      <c r="Q381" t="s">
        <v>81</v>
      </c>
      <c r="R381" t="s">
        <v>60</v>
      </c>
      <c r="S381" t="s">
        <v>76</v>
      </c>
    </row>
    <row r="382" spans="1:19" x14ac:dyDescent="0.35">
      <c r="A382" t="s">
        <v>498</v>
      </c>
      <c r="B382" s="5">
        <v>45814</v>
      </c>
      <c r="C382" t="s">
        <v>104</v>
      </c>
      <c r="D382" t="s">
        <v>105</v>
      </c>
      <c r="E382">
        <v>2</v>
      </c>
      <c r="F382" s="6">
        <v>65</v>
      </c>
      <c r="G382" s="7">
        <v>0</v>
      </c>
      <c r="H382" s="6">
        <v>130</v>
      </c>
      <c r="I382">
        <v>0</v>
      </c>
      <c r="J382" s="6">
        <v>0</v>
      </c>
      <c r="K382">
        <v>2</v>
      </c>
      <c r="L382" s="6">
        <v>130</v>
      </c>
      <c r="M382" s="6">
        <v>94.08</v>
      </c>
      <c r="N382" s="6">
        <v>35.92</v>
      </c>
      <c r="O382" s="6">
        <v>7.2</v>
      </c>
      <c r="P382" s="6">
        <v>28.72</v>
      </c>
      <c r="Q382" t="s">
        <v>81</v>
      </c>
      <c r="R382" t="s">
        <v>66</v>
      </c>
      <c r="S382" t="s">
        <v>71</v>
      </c>
    </row>
    <row r="383" spans="1:19" x14ac:dyDescent="0.35">
      <c r="A383" t="s">
        <v>499</v>
      </c>
      <c r="B383" s="5">
        <v>45876</v>
      </c>
      <c r="C383" t="s">
        <v>293</v>
      </c>
      <c r="D383" t="s">
        <v>85</v>
      </c>
      <c r="E383">
        <v>3</v>
      </c>
      <c r="F383" s="6">
        <v>180</v>
      </c>
      <c r="G383" s="7">
        <v>15</v>
      </c>
      <c r="H383" s="6">
        <v>459</v>
      </c>
      <c r="I383">
        <v>0</v>
      </c>
      <c r="J383" s="6">
        <v>0</v>
      </c>
      <c r="K383">
        <v>3</v>
      </c>
      <c r="L383" s="6">
        <v>459</v>
      </c>
      <c r="M383" s="6">
        <v>345.77</v>
      </c>
      <c r="N383" s="6">
        <v>113.23</v>
      </c>
      <c r="O383" s="6">
        <v>44.33</v>
      </c>
      <c r="P383" s="6">
        <v>68.900000000000006</v>
      </c>
      <c r="Q383" t="s">
        <v>75</v>
      </c>
      <c r="R383" t="s">
        <v>86</v>
      </c>
      <c r="S383" t="s">
        <v>76</v>
      </c>
    </row>
    <row r="384" spans="1:19" x14ac:dyDescent="0.35">
      <c r="A384" t="s">
        <v>500</v>
      </c>
      <c r="B384" s="5">
        <v>45679</v>
      </c>
      <c r="C384" t="s">
        <v>95</v>
      </c>
      <c r="D384" t="s">
        <v>128</v>
      </c>
      <c r="E384">
        <v>1</v>
      </c>
      <c r="F384" s="6">
        <v>52</v>
      </c>
      <c r="G384" s="7">
        <v>0</v>
      </c>
      <c r="H384" s="6">
        <v>52</v>
      </c>
      <c r="I384">
        <v>0</v>
      </c>
      <c r="J384" s="6">
        <v>0</v>
      </c>
      <c r="K384">
        <v>1</v>
      </c>
      <c r="L384" s="6">
        <v>52</v>
      </c>
      <c r="M384" s="6">
        <v>35.590000000000003</v>
      </c>
      <c r="N384" s="6">
        <v>16.41</v>
      </c>
      <c r="O384" s="6">
        <v>5.33</v>
      </c>
      <c r="P384" s="6">
        <v>11.08</v>
      </c>
      <c r="Q384" t="s">
        <v>81</v>
      </c>
      <c r="R384" t="s">
        <v>60</v>
      </c>
      <c r="S384" t="s">
        <v>76</v>
      </c>
    </row>
    <row r="385" spans="1:19" x14ac:dyDescent="0.35">
      <c r="A385" t="s">
        <v>501</v>
      </c>
      <c r="B385" s="5">
        <v>45741</v>
      </c>
      <c r="C385" t="s">
        <v>56</v>
      </c>
      <c r="D385" t="s">
        <v>57</v>
      </c>
      <c r="E385">
        <v>1</v>
      </c>
      <c r="F385" s="6">
        <v>40</v>
      </c>
      <c r="G385" s="7">
        <v>10</v>
      </c>
      <c r="H385" s="6">
        <v>36</v>
      </c>
      <c r="I385">
        <v>0</v>
      </c>
      <c r="J385" s="6">
        <v>0</v>
      </c>
      <c r="K385">
        <v>1</v>
      </c>
      <c r="L385" s="6">
        <v>36</v>
      </c>
      <c r="M385" s="6">
        <v>22.91</v>
      </c>
      <c r="N385" s="6">
        <v>13.09</v>
      </c>
      <c r="O385" s="6">
        <v>3.8</v>
      </c>
      <c r="P385" s="6">
        <v>9.2899999999999991</v>
      </c>
      <c r="Q385" t="s">
        <v>59</v>
      </c>
      <c r="R385" t="s">
        <v>60</v>
      </c>
      <c r="S385" t="s">
        <v>71</v>
      </c>
    </row>
    <row r="386" spans="1:19" x14ac:dyDescent="0.35">
      <c r="A386" t="s">
        <v>502</v>
      </c>
      <c r="B386" s="5">
        <v>45983</v>
      </c>
      <c r="C386" t="s">
        <v>100</v>
      </c>
      <c r="D386" t="s">
        <v>64</v>
      </c>
      <c r="E386">
        <v>4</v>
      </c>
      <c r="F386" s="6">
        <v>310</v>
      </c>
      <c r="G386" s="7">
        <v>0</v>
      </c>
      <c r="H386" s="6">
        <v>1240</v>
      </c>
      <c r="I386">
        <v>0</v>
      </c>
      <c r="J386" s="6">
        <v>0</v>
      </c>
      <c r="K386">
        <v>4</v>
      </c>
      <c r="L386" s="6">
        <v>1240</v>
      </c>
      <c r="M386" s="6">
        <v>936.55</v>
      </c>
      <c r="N386" s="6">
        <v>303.45</v>
      </c>
      <c r="O386" s="6">
        <v>128.66999999999999</v>
      </c>
      <c r="P386" s="6">
        <v>174.78</v>
      </c>
      <c r="Q386" t="s">
        <v>75</v>
      </c>
      <c r="R386" t="s">
        <v>60</v>
      </c>
      <c r="S386" t="s">
        <v>61</v>
      </c>
    </row>
    <row r="387" spans="1:19" x14ac:dyDescent="0.35">
      <c r="A387" t="s">
        <v>503</v>
      </c>
      <c r="B387" s="5">
        <v>45807</v>
      </c>
      <c r="C387" t="s">
        <v>100</v>
      </c>
      <c r="D387" t="s">
        <v>64</v>
      </c>
      <c r="E387">
        <v>6</v>
      </c>
      <c r="F387" s="6">
        <v>310</v>
      </c>
      <c r="G387" s="7">
        <v>10</v>
      </c>
      <c r="H387" s="6">
        <v>1674</v>
      </c>
      <c r="I387">
        <v>0</v>
      </c>
      <c r="J387" s="6">
        <v>0</v>
      </c>
      <c r="K387">
        <v>6</v>
      </c>
      <c r="L387" s="6">
        <v>1674</v>
      </c>
      <c r="M387" s="6">
        <v>1080.43</v>
      </c>
      <c r="N387" s="6">
        <v>593.57000000000005</v>
      </c>
      <c r="O387" s="6">
        <v>210.22</v>
      </c>
      <c r="P387" s="6">
        <v>383.35</v>
      </c>
      <c r="Q387" t="s">
        <v>59</v>
      </c>
      <c r="R387" t="s">
        <v>86</v>
      </c>
      <c r="S387" t="s">
        <v>67</v>
      </c>
    </row>
    <row r="388" spans="1:19" x14ac:dyDescent="0.35">
      <c r="A388" t="s">
        <v>504</v>
      </c>
      <c r="B388" s="5">
        <v>45794</v>
      </c>
      <c r="C388" t="s">
        <v>63</v>
      </c>
      <c r="D388" t="s">
        <v>64</v>
      </c>
      <c r="E388">
        <v>4</v>
      </c>
      <c r="F388" s="6">
        <v>145</v>
      </c>
      <c r="G388" s="7">
        <v>2</v>
      </c>
      <c r="H388" s="6">
        <v>568.4</v>
      </c>
      <c r="I388">
        <v>4</v>
      </c>
      <c r="J388" s="6">
        <v>568.4</v>
      </c>
      <c r="K388">
        <v>0</v>
      </c>
      <c r="L388" s="6">
        <v>0</v>
      </c>
      <c r="M388" s="6">
        <v>0</v>
      </c>
      <c r="N388" s="6">
        <v>0</v>
      </c>
      <c r="O388" s="6">
        <v>0</v>
      </c>
      <c r="P388" s="6">
        <v>0</v>
      </c>
      <c r="Q388" t="s">
        <v>65</v>
      </c>
      <c r="R388" t="s">
        <v>60</v>
      </c>
      <c r="S388" t="s">
        <v>67</v>
      </c>
    </row>
    <row r="389" spans="1:19" x14ac:dyDescent="0.35">
      <c r="A389" t="s">
        <v>505</v>
      </c>
      <c r="B389" s="5">
        <v>45802</v>
      </c>
      <c r="C389" t="s">
        <v>84</v>
      </c>
      <c r="D389" t="s">
        <v>85</v>
      </c>
      <c r="E389">
        <v>2</v>
      </c>
      <c r="F389" s="6">
        <v>48</v>
      </c>
      <c r="G389" s="7">
        <v>5</v>
      </c>
      <c r="H389" s="6">
        <v>91.2</v>
      </c>
      <c r="I389">
        <v>0</v>
      </c>
      <c r="J389" s="6">
        <v>0</v>
      </c>
      <c r="K389">
        <v>2</v>
      </c>
      <c r="L389" s="6">
        <v>91.2</v>
      </c>
      <c r="M389" s="6">
        <v>60.67</v>
      </c>
      <c r="N389" s="6">
        <v>30.53</v>
      </c>
      <c r="O389" s="6">
        <v>11.69</v>
      </c>
      <c r="P389" s="6">
        <v>18.84</v>
      </c>
      <c r="Q389" t="s">
        <v>81</v>
      </c>
      <c r="R389" t="s">
        <v>82</v>
      </c>
      <c r="S389" t="s">
        <v>76</v>
      </c>
    </row>
    <row r="390" spans="1:19" x14ac:dyDescent="0.35">
      <c r="A390" t="s">
        <v>506</v>
      </c>
      <c r="B390" s="5">
        <v>45750</v>
      </c>
      <c r="C390" t="s">
        <v>78</v>
      </c>
      <c r="D390" t="s">
        <v>79</v>
      </c>
      <c r="E390">
        <v>1</v>
      </c>
      <c r="F390" s="6">
        <v>120</v>
      </c>
      <c r="G390" s="7">
        <v>5</v>
      </c>
      <c r="H390" s="6">
        <v>114</v>
      </c>
      <c r="I390">
        <v>0</v>
      </c>
      <c r="J390" s="6">
        <v>0</v>
      </c>
      <c r="K390">
        <v>1</v>
      </c>
      <c r="L390" s="6">
        <v>114</v>
      </c>
      <c r="M390" s="6">
        <v>95.7</v>
      </c>
      <c r="N390" s="6">
        <v>18.3</v>
      </c>
      <c r="O390" s="6">
        <v>8.06</v>
      </c>
      <c r="P390" s="6">
        <v>10.24</v>
      </c>
      <c r="Q390" t="s">
        <v>59</v>
      </c>
      <c r="R390" t="s">
        <v>66</v>
      </c>
      <c r="S390" t="s">
        <v>76</v>
      </c>
    </row>
    <row r="391" spans="1:19" x14ac:dyDescent="0.35">
      <c r="A391" t="s">
        <v>507</v>
      </c>
      <c r="B391" s="5">
        <v>45825</v>
      </c>
      <c r="C391" t="s">
        <v>92</v>
      </c>
      <c r="D391" t="s">
        <v>79</v>
      </c>
      <c r="E391">
        <v>3</v>
      </c>
      <c r="F391" s="6">
        <v>85</v>
      </c>
      <c r="G391" s="7">
        <v>2</v>
      </c>
      <c r="H391" s="6">
        <v>249.9</v>
      </c>
      <c r="I391">
        <v>0</v>
      </c>
      <c r="J391" s="6">
        <v>0</v>
      </c>
      <c r="K391">
        <v>3</v>
      </c>
      <c r="L391" s="6">
        <v>249.9</v>
      </c>
      <c r="M391" s="6">
        <v>193.18</v>
      </c>
      <c r="N391" s="6">
        <v>56.72</v>
      </c>
      <c r="O391" s="6">
        <v>26.77</v>
      </c>
      <c r="P391" s="6">
        <v>29.95</v>
      </c>
      <c r="Q391" t="s">
        <v>59</v>
      </c>
      <c r="R391" t="s">
        <v>66</v>
      </c>
      <c r="S391" t="s">
        <v>67</v>
      </c>
    </row>
    <row r="392" spans="1:19" x14ac:dyDescent="0.35">
      <c r="A392" t="s">
        <v>508</v>
      </c>
      <c r="B392" s="5">
        <v>45947</v>
      </c>
      <c r="C392" t="s">
        <v>73</v>
      </c>
      <c r="D392" t="s">
        <v>74</v>
      </c>
      <c r="E392">
        <v>4</v>
      </c>
      <c r="F392" s="6">
        <v>280</v>
      </c>
      <c r="G392" s="7">
        <v>0</v>
      </c>
      <c r="H392" s="6">
        <v>1120</v>
      </c>
      <c r="I392">
        <v>0</v>
      </c>
      <c r="J392" s="6">
        <v>0</v>
      </c>
      <c r="K392">
        <v>4</v>
      </c>
      <c r="L392" s="6">
        <v>1120</v>
      </c>
      <c r="M392" s="6">
        <v>761.16</v>
      </c>
      <c r="N392" s="6">
        <v>358.84</v>
      </c>
      <c r="O392" s="6">
        <v>80.260000000000005</v>
      </c>
      <c r="P392" s="6">
        <v>278.58</v>
      </c>
      <c r="Q392" t="s">
        <v>65</v>
      </c>
      <c r="R392" t="s">
        <v>60</v>
      </c>
      <c r="S392" t="s">
        <v>67</v>
      </c>
    </row>
    <row r="393" spans="1:19" x14ac:dyDescent="0.35">
      <c r="A393" t="s">
        <v>509</v>
      </c>
      <c r="B393" s="5">
        <v>45795</v>
      </c>
      <c r="C393" t="s">
        <v>78</v>
      </c>
      <c r="D393" t="s">
        <v>79</v>
      </c>
      <c r="E393">
        <v>4</v>
      </c>
      <c r="F393" s="6">
        <v>120</v>
      </c>
      <c r="G393" s="7">
        <v>2</v>
      </c>
      <c r="H393" s="6">
        <v>470.4</v>
      </c>
      <c r="I393">
        <v>0</v>
      </c>
      <c r="J393" s="6">
        <v>0</v>
      </c>
      <c r="K393">
        <v>4</v>
      </c>
      <c r="L393" s="6">
        <v>470.4</v>
      </c>
      <c r="M393" s="6">
        <v>367.61</v>
      </c>
      <c r="N393" s="6">
        <v>102.79</v>
      </c>
      <c r="O393" s="6">
        <v>59.33</v>
      </c>
      <c r="P393" s="6">
        <v>43.46</v>
      </c>
      <c r="Q393" t="s">
        <v>81</v>
      </c>
      <c r="R393" t="s">
        <v>82</v>
      </c>
      <c r="S393" t="s">
        <v>76</v>
      </c>
    </row>
    <row r="394" spans="1:19" x14ac:dyDescent="0.35">
      <c r="A394" t="s">
        <v>510</v>
      </c>
      <c r="B394" s="5">
        <v>45748</v>
      </c>
      <c r="C394" t="s">
        <v>92</v>
      </c>
      <c r="D394" t="s">
        <v>79</v>
      </c>
      <c r="E394">
        <v>3</v>
      </c>
      <c r="F394" s="6">
        <v>85</v>
      </c>
      <c r="G394" s="7">
        <v>0</v>
      </c>
      <c r="H394" s="6">
        <v>255</v>
      </c>
      <c r="I394">
        <v>0</v>
      </c>
      <c r="J394" s="6">
        <v>0</v>
      </c>
      <c r="K394">
        <v>3</v>
      </c>
      <c r="L394" s="6">
        <v>255</v>
      </c>
      <c r="M394" s="6">
        <v>206.25</v>
      </c>
      <c r="N394" s="6">
        <v>48.75</v>
      </c>
      <c r="O394" s="6">
        <v>23.23</v>
      </c>
      <c r="P394" s="6">
        <v>25.52</v>
      </c>
      <c r="Q394" t="s">
        <v>81</v>
      </c>
      <c r="R394" t="s">
        <v>86</v>
      </c>
      <c r="S394" t="s">
        <v>76</v>
      </c>
    </row>
    <row r="395" spans="1:19" x14ac:dyDescent="0.35">
      <c r="A395" t="s">
        <v>511</v>
      </c>
      <c r="B395" s="5">
        <v>45941</v>
      </c>
      <c r="C395" t="s">
        <v>121</v>
      </c>
      <c r="D395" t="s">
        <v>70</v>
      </c>
      <c r="E395">
        <v>2</v>
      </c>
      <c r="F395" s="6">
        <v>110</v>
      </c>
      <c r="G395" s="7">
        <v>10</v>
      </c>
      <c r="H395" s="6">
        <v>198</v>
      </c>
      <c r="I395">
        <v>0</v>
      </c>
      <c r="J395" s="6">
        <v>0</v>
      </c>
      <c r="K395">
        <v>2</v>
      </c>
      <c r="L395" s="6">
        <v>198</v>
      </c>
      <c r="M395" s="6">
        <v>150.53</v>
      </c>
      <c r="N395" s="6">
        <v>47.47</v>
      </c>
      <c r="O395" s="6">
        <v>14.16</v>
      </c>
      <c r="P395" s="6">
        <v>33.31</v>
      </c>
      <c r="Q395" t="s">
        <v>75</v>
      </c>
      <c r="R395" t="s">
        <v>82</v>
      </c>
      <c r="S395" t="s">
        <v>67</v>
      </c>
    </row>
    <row r="396" spans="1:19" x14ac:dyDescent="0.35">
      <c r="A396" t="s">
        <v>512</v>
      </c>
      <c r="B396" s="5">
        <v>45887</v>
      </c>
      <c r="C396" t="s">
        <v>97</v>
      </c>
      <c r="D396" t="s">
        <v>153</v>
      </c>
      <c r="E396">
        <v>1</v>
      </c>
      <c r="F396" s="6">
        <v>55</v>
      </c>
      <c r="G396" s="7">
        <v>5</v>
      </c>
      <c r="H396" s="6">
        <v>52.25</v>
      </c>
      <c r="I396">
        <v>0</v>
      </c>
      <c r="J396" s="6">
        <v>0</v>
      </c>
      <c r="K396">
        <v>1</v>
      </c>
      <c r="L396" s="6">
        <v>52.25</v>
      </c>
      <c r="M396" s="6">
        <v>37.549999999999997</v>
      </c>
      <c r="N396" s="6">
        <v>14.7</v>
      </c>
      <c r="O396" s="6">
        <v>5.28</v>
      </c>
      <c r="P396" s="6">
        <v>9.42</v>
      </c>
      <c r="Q396" t="s">
        <v>81</v>
      </c>
      <c r="R396" t="s">
        <v>86</v>
      </c>
      <c r="S396" t="s">
        <v>61</v>
      </c>
    </row>
    <row r="397" spans="1:19" x14ac:dyDescent="0.35">
      <c r="A397" t="s">
        <v>513</v>
      </c>
      <c r="B397" s="5">
        <v>45796</v>
      </c>
      <c r="C397" t="s">
        <v>78</v>
      </c>
      <c r="D397" t="s">
        <v>79</v>
      </c>
      <c r="E397">
        <v>4</v>
      </c>
      <c r="F397" s="6">
        <v>120</v>
      </c>
      <c r="G397" s="7">
        <v>10</v>
      </c>
      <c r="H397" s="6">
        <v>432</v>
      </c>
      <c r="I397">
        <v>0</v>
      </c>
      <c r="J397" s="6">
        <v>0</v>
      </c>
      <c r="K397">
        <v>4</v>
      </c>
      <c r="L397" s="6">
        <v>432</v>
      </c>
      <c r="M397" s="6">
        <v>274.48</v>
      </c>
      <c r="N397" s="6">
        <v>157.52000000000001</v>
      </c>
      <c r="O397" s="6">
        <v>31.7</v>
      </c>
      <c r="P397" s="6">
        <v>125.82</v>
      </c>
      <c r="Q397" t="s">
        <v>81</v>
      </c>
      <c r="R397" t="s">
        <v>66</v>
      </c>
      <c r="S397" t="s">
        <v>67</v>
      </c>
    </row>
    <row r="398" spans="1:19" x14ac:dyDescent="0.35">
      <c r="A398" t="s">
        <v>514</v>
      </c>
      <c r="B398" s="5">
        <v>45786</v>
      </c>
      <c r="C398" t="s">
        <v>63</v>
      </c>
      <c r="D398" t="s">
        <v>64</v>
      </c>
      <c r="E398">
        <v>3</v>
      </c>
      <c r="F398" s="6">
        <v>145</v>
      </c>
      <c r="G398" s="7">
        <v>0</v>
      </c>
      <c r="H398" s="6">
        <v>435</v>
      </c>
      <c r="I398">
        <v>0</v>
      </c>
      <c r="J398" s="6">
        <v>0</v>
      </c>
      <c r="K398">
        <v>3</v>
      </c>
      <c r="L398" s="6">
        <v>435</v>
      </c>
      <c r="M398" s="6">
        <v>318.72000000000003</v>
      </c>
      <c r="N398" s="6">
        <v>116.28</v>
      </c>
      <c r="O398" s="6">
        <v>29.06</v>
      </c>
      <c r="P398" s="6">
        <v>87.22</v>
      </c>
      <c r="Q398" t="s">
        <v>59</v>
      </c>
      <c r="R398" t="s">
        <v>60</v>
      </c>
      <c r="S398" t="s">
        <v>71</v>
      </c>
    </row>
    <row r="399" spans="1:19" x14ac:dyDescent="0.35">
      <c r="A399" t="s">
        <v>515</v>
      </c>
      <c r="B399" s="5">
        <v>45859</v>
      </c>
      <c r="C399" t="s">
        <v>293</v>
      </c>
      <c r="D399" t="s">
        <v>85</v>
      </c>
      <c r="E399">
        <v>4</v>
      </c>
      <c r="F399" s="6">
        <v>180</v>
      </c>
      <c r="G399" s="7">
        <v>0</v>
      </c>
      <c r="H399" s="6">
        <v>720</v>
      </c>
      <c r="I399">
        <v>0</v>
      </c>
      <c r="J399" s="6">
        <v>0</v>
      </c>
      <c r="K399">
        <v>4</v>
      </c>
      <c r="L399" s="6">
        <v>720</v>
      </c>
      <c r="M399" s="6">
        <v>473.96</v>
      </c>
      <c r="N399" s="6">
        <v>246.04</v>
      </c>
      <c r="O399" s="6">
        <v>40.06</v>
      </c>
      <c r="P399" s="6">
        <v>205.98</v>
      </c>
      <c r="Q399" t="s">
        <v>65</v>
      </c>
      <c r="R399" t="s">
        <v>66</v>
      </c>
      <c r="S399" t="s">
        <v>71</v>
      </c>
    </row>
    <row r="400" spans="1:19" x14ac:dyDescent="0.35">
      <c r="A400" t="s">
        <v>516</v>
      </c>
      <c r="B400" s="5">
        <v>45797</v>
      </c>
      <c r="C400" t="s">
        <v>56</v>
      </c>
      <c r="D400" t="s">
        <v>57</v>
      </c>
      <c r="E400">
        <v>4</v>
      </c>
      <c r="F400" s="6">
        <v>40</v>
      </c>
      <c r="G400" s="7">
        <v>5</v>
      </c>
      <c r="H400" s="6">
        <v>152</v>
      </c>
      <c r="I400">
        <v>0</v>
      </c>
      <c r="J400" s="6">
        <v>0</v>
      </c>
      <c r="K400">
        <v>4</v>
      </c>
      <c r="L400" s="6">
        <v>152</v>
      </c>
      <c r="M400" s="6">
        <v>110.52</v>
      </c>
      <c r="N400" s="6">
        <v>41.48</v>
      </c>
      <c r="O400" s="6">
        <v>7.7</v>
      </c>
      <c r="P400" s="6">
        <v>33.78</v>
      </c>
      <c r="Q400" t="s">
        <v>65</v>
      </c>
      <c r="R400" t="s">
        <v>60</v>
      </c>
      <c r="S400" t="s">
        <v>61</v>
      </c>
    </row>
    <row r="401" spans="1:19" x14ac:dyDescent="0.35">
      <c r="A401" t="s">
        <v>517</v>
      </c>
      <c r="B401" s="5">
        <v>45968</v>
      </c>
      <c r="C401" t="s">
        <v>84</v>
      </c>
      <c r="D401" t="s">
        <v>85</v>
      </c>
      <c r="E401">
        <v>3</v>
      </c>
      <c r="F401" s="6">
        <v>48</v>
      </c>
      <c r="G401" s="7">
        <v>0</v>
      </c>
      <c r="H401" s="6">
        <v>144</v>
      </c>
      <c r="I401">
        <v>0</v>
      </c>
      <c r="J401" s="6">
        <v>0</v>
      </c>
      <c r="K401">
        <v>3</v>
      </c>
      <c r="L401" s="6">
        <v>144</v>
      </c>
      <c r="M401" s="6">
        <v>101.51</v>
      </c>
      <c r="N401" s="6">
        <v>42.49</v>
      </c>
      <c r="O401" s="6">
        <v>16.29</v>
      </c>
      <c r="P401" s="6">
        <v>26.2</v>
      </c>
      <c r="Q401" t="s">
        <v>81</v>
      </c>
      <c r="R401" t="s">
        <v>86</v>
      </c>
      <c r="S401" t="s">
        <v>76</v>
      </c>
    </row>
    <row r="402" spans="1:19" x14ac:dyDescent="0.35">
      <c r="A402" t="s">
        <v>518</v>
      </c>
      <c r="B402" s="5">
        <v>45870</v>
      </c>
      <c r="C402" t="s">
        <v>125</v>
      </c>
      <c r="D402" t="s">
        <v>85</v>
      </c>
      <c r="E402">
        <v>2</v>
      </c>
      <c r="F402" s="6">
        <v>125</v>
      </c>
      <c r="G402" s="7">
        <v>0</v>
      </c>
      <c r="H402" s="6">
        <v>250</v>
      </c>
      <c r="I402">
        <v>0</v>
      </c>
      <c r="J402" s="6">
        <v>0</v>
      </c>
      <c r="K402">
        <v>2</v>
      </c>
      <c r="L402" s="6">
        <v>250</v>
      </c>
      <c r="M402" s="6">
        <v>185.34</v>
      </c>
      <c r="N402" s="6">
        <v>64.66</v>
      </c>
      <c r="O402" s="6">
        <v>30.03</v>
      </c>
      <c r="P402" s="6">
        <v>34.630000000000003</v>
      </c>
      <c r="Q402" t="s">
        <v>75</v>
      </c>
      <c r="R402" t="s">
        <v>66</v>
      </c>
      <c r="S402" t="s">
        <v>71</v>
      </c>
    </row>
    <row r="403" spans="1:19" x14ac:dyDescent="0.35">
      <c r="A403" t="s">
        <v>519</v>
      </c>
      <c r="B403" s="5">
        <v>45733</v>
      </c>
      <c r="C403" t="s">
        <v>92</v>
      </c>
      <c r="D403" t="s">
        <v>79</v>
      </c>
      <c r="E403">
        <v>5</v>
      </c>
      <c r="F403" s="6">
        <v>85</v>
      </c>
      <c r="G403" s="7">
        <v>0</v>
      </c>
      <c r="H403" s="6">
        <v>425</v>
      </c>
      <c r="I403">
        <v>0</v>
      </c>
      <c r="J403" s="6">
        <v>0</v>
      </c>
      <c r="K403">
        <v>5</v>
      </c>
      <c r="L403" s="6">
        <v>425</v>
      </c>
      <c r="M403" s="6">
        <v>316.7</v>
      </c>
      <c r="N403" s="6">
        <v>108.3</v>
      </c>
      <c r="O403" s="6">
        <v>51.32</v>
      </c>
      <c r="P403" s="6">
        <v>56.98</v>
      </c>
      <c r="Q403" t="s">
        <v>59</v>
      </c>
      <c r="R403" t="s">
        <v>86</v>
      </c>
      <c r="S403" t="s">
        <v>76</v>
      </c>
    </row>
    <row r="404" spans="1:19" x14ac:dyDescent="0.35">
      <c r="A404" t="s">
        <v>520</v>
      </c>
      <c r="B404" s="5">
        <v>45702</v>
      </c>
      <c r="C404" t="s">
        <v>97</v>
      </c>
      <c r="D404" t="s">
        <v>57</v>
      </c>
      <c r="E404">
        <v>1</v>
      </c>
      <c r="F404" s="6">
        <v>55</v>
      </c>
      <c r="G404" s="7">
        <v>2</v>
      </c>
      <c r="H404" s="6">
        <v>53.9</v>
      </c>
      <c r="I404">
        <v>0</v>
      </c>
      <c r="J404" s="6">
        <v>0</v>
      </c>
      <c r="K404">
        <v>1</v>
      </c>
      <c r="L404" s="6">
        <v>53.9</v>
      </c>
      <c r="M404" s="6">
        <v>35.74</v>
      </c>
      <c r="N404" s="6">
        <v>18.16</v>
      </c>
      <c r="O404" s="6">
        <v>3.69</v>
      </c>
      <c r="P404" s="6">
        <v>14.47</v>
      </c>
      <c r="Q404" t="s">
        <v>75</v>
      </c>
      <c r="R404" t="s">
        <v>60</v>
      </c>
      <c r="S404" t="s">
        <v>61</v>
      </c>
    </row>
    <row r="405" spans="1:19" x14ac:dyDescent="0.35">
      <c r="A405" t="s">
        <v>521</v>
      </c>
      <c r="B405" s="5">
        <v>45783</v>
      </c>
      <c r="C405" t="s">
        <v>100</v>
      </c>
      <c r="D405" t="s">
        <v>64</v>
      </c>
      <c r="E405">
        <v>3</v>
      </c>
      <c r="F405" s="6">
        <v>310</v>
      </c>
      <c r="G405" s="7">
        <v>5</v>
      </c>
      <c r="H405" s="6">
        <v>883.5</v>
      </c>
      <c r="I405">
        <v>0</v>
      </c>
      <c r="J405" s="6">
        <v>0</v>
      </c>
      <c r="K405">
        <v>3</v>
      </c>
      <c r="L405" s="6">
        <v>883.5</v>
      </c>
      <c r="M405" s="6">
        <v>610.70000000000005</v>
      </c>
      <c r="N405" s="6">
        <v>272.8</v>
      </c>
      <c r="O405" s="6">
        <v>68.58</v>
      </c>
      <c r="P405" s="6">
        <v>204.22</v>
      </c>
      <c r="Q405" t="s">
        <v>59</v>
      </c>
      <c r="R405" t="s">
        <v>86</v>
      </c>
      <c r="S405" t="s">
        <v>71</v>
      </c>
    </row>
    <row r="406" spans="1:19" x14ac:dyDescent="0.35">
      <c r="A406" t="s">
        <v>522</v>
      </c>
      <c r="B406" s="5">
        <v>45685</v>
      </c>
      <c r="C406" t="s">
        <v>92</v>
      </c>
      <c r="D406" t="s">
        <v>79</v>
      </c>
      <c r="E406">
        <v>2</v>
      </c>
      <c r="F406" s="6">
        <v>85</v>
      </c>
      <c r="G406" s="7">
        <v>0</v>
      </c>
      <c r="H406" s="6">
        <v>170</v>
      </c>
      <c r="I406">
        <v>0</v>
      </c>
      <c r="J406" s="6">
        <v>0</v>
      </c>
      <c r="K406">
        <v>2</v>
      </c>
      <c r="L406" s="6">
        <v>170</v>
      </c>
      <c r="M406" s="6">
        <v>109.7</v>
      </c>
      <c r="N406" s="6">
        <v>60.3</v>
      </c>
      <c r="O406" s="6">
        <v>15.56</v>
      </c>
      <c r="P406" s="6">
        <v>44.74</v>
      </c>
      <c r="Q406" t="s">
        <v>59</v>
      </c>
      <c r="R406" t="s">
        <v>82</v>
      </c>
      <c r="S406" t="s">
        <v>76</v>
      </c>
    </row>
    <row r="407" spans="1:19" x14ac:dyDescent="0.35">
      <c r="A407" t="s">
        <v>523</v>
      </c>
      <c r="B407" s="5">
        <v>45794</v>
      </c>
      <c r="C407" t="s">
        <v>73</v>
      </c>
      <c r="D407" t="s">
        <v>74</v>
      </c>
      <c r="E407">
        <v>2</v>
      </c>
      <c r="F407" s="6">
        <v>280</v>
      </c>
      <c r="G407" s="7">
        <v>0</v>
      </c>
      <c r="H407" s="6">
        <v>560</v>
      </c>
      <c r="I407">
        <v>0</v>
      </c>
      <c r="J407" s="6">
        <v>0</v>
      </c>
      <c r="K407">
        <v>2</v>
      </c>
      <c r="L407" s="6">
        <v>560</v>
      </c>
      <c r="M407" s="6">
        <v>376.71</v>
      </c>
      <c r="N407" s="6">
        <v>183.29</v>
      </c>
      <c r="O407" s="6">
        <v>55.61</v>
      </c>
      <c r="P407" s="6">
        <v>127.68</v>
      </c>
      <c r="Q407" t="s">
        <v>59</v>
      </c>
      <c r="R407" t="s">
        <v>66</v>
      </c>
      <c r="S407" t="s">
        <v>71</v>
      </c>
    </row>
    <row r="408" spans="1:19" x14ac:dyDescent="0.35">
      <c r="A408" t="s">
        <v>524</v>
      </c>
      <c r="B408" s="5">
        <v>45798</v>
      </c>
      <c r="C408" t="s">
        <v>114</v>
      </c>
      <c r="D408" t="s">
        <v>64</v>
      </c>
      <c r="E408">
        <v>3</v>
      </c>
      <c r="F408" s="6">
        <v>420</v>
      </c>
      <c r="G408" s="7">
        <v>2</v>
      </c>
      <c r="H408" s="6">
        <v>1234.8</v>
      </c>
      <c r="I408">
        <v>0</v>
      </c>
      <c r="J408" s="6">
        <v>0</v>
      </c>
      <c r="K408">
        <v>3</v>
      </c>
      <c r="L408" s="6">
        <v>1234.8</v>
      </c>
      <c r="M408" s="6">
        <v>973.66</v>
      </c>
      <c r="N408" s="6">
        <v>261.14</v>
      </c>
      <c r="O408" s="6">
        <v>111.14</v>
      </c>
      <c r="P408" s="6">
        <v>150</v>
      </c>
      <c r="Q408" t="s">
        <v>81</v>
      </c>
      <c r="R408" t="s">
        <v>66</v>
      </c>
      <c r="S408" t="s">
        <v>71</v>
      </c>
    </row>
    <row r="409" spans="1:19" x14ac:dyDescent="0.35">
      <c r="A409" t="s">
        <v>525</v>
      </c>
      <c r="B409" s="5">
        <v>46001</v>
      </c>
      <c r="C409" t="s">
        <v>117</v>
      </c>
      <c r="D409" t="s">
        <v>74</v>
      </c>
      <c r="E409">
        <v>8</v>
      </c>
      <c r="F409" s="6">
        <v>95</v>
      </c>
      <c r="G409" s="7">
        <v>2</v>
      </c>
      <c r="H409" s="6">
        <v>744.8</v>
      </c>
      <c r="I409">
        <v>0</v>
      </c>
      <c r="J409" s="6">
        <v>0</v>
      </c>
      <c r="K409">
        <v>8</v>
      </c>
      <c r="L409" s="6">
        <v>744.8</v>
      </c>
      <c r="M409" s="6">
        <v>550.38</v>
      </c>
      <c r="N409" s="6">
        <v>194.42</v>
      </c>
      <c r="O409" s="6">
        <v>63.4</v>
      </c>
      <c r="P409" s="6">
        <v>131.02000000000001</v>
      </c>
      <c r="Q409" t="s">
        <v>81</v>
      </c>
      <c r="R409" t="s">
        <v>66</v>
      </c>
      <c r="S409" t="s">
        <v>76</v>
      </c>
    </row>
    <row r="410" spans="1:19" x14ac:dyDescent="0.35">
      <c r="A410" t="s">
        <v>526</v>
      </c>
      <c r="B410" s="5">
        <v>45898</v>
      </c>
      <c r="C410" t="s">
        <v>90</v>
      </c>
      <c r="D410" t="s">
        <v>70</v>
      </c>
      <c r="E410">
        <v>2</v>
      </c>
      <c r="F410" s="6">
        <v>38</v>
      </c>
      <c r="G410" s="7">
        <v>10</v>
      </c>
      <c r="H410" s="6">
        <v>68.400000000000006</v>
      </c>
      <c r="I410">
        <v>0</v>
      </c>
      <c r="J410" s="6">
        <v>0</v>
      </c>
      <c r="K410">
        <v>2</v>
      </c>
      <c r="L410" s="6">
        <v>68.400000000000006</v>
      </c>
      <c r="M410" s="6">
        <v>45.76</v>
      </c>
      <c r="N410" s="6">
        <v>22.64</v>
      </c>
      <c r="O410" s="6">
        <v>5.71</v>
      </c>
      <c r="P410" s="6">
        <v>16.93</v>
      </c>
      <c r="Q410" t="s">
        <v>81</v>
      </c>
      <c r="R410" t="s">
        <v>66</v>
      </c>
      <c r="S410" t="s">
        <v>76</v>
      </c>
    </row>
    <row r="411" spans="1:19" x14ac:dyDescent="0.35">
      <c r="A411" t="s">
        <v>527</v>
      </c>
      <c r="B411" s="5">
        <v>45813</v>
      </c>
      <c r="C411" t="s">
        <v>95</v>
      </c>
      <c r="D411" t="s">
        <v>64</v>
      </c>
      <c r="E411">
        <v>3</v>
      </c>
      <c r="F411" s="6">
        <v>52</v>
      </c>
      <c r="G411" s="7">
        <v>2</v>
      </c>
      <c r="H411" s="6">
        <v>152.88</v>
      </c>
      <c r="I411">
        <v>0</v>
      </c>
      <c r="J411" s="6">
        <v>0</v>
      </c>
      <c r="K411">
        <v>3</v>
      </c>
      <c r="L411" s="6">
        <v>152.88</v>
      </c>
      <c r="M411" s="6">
        <v>120.05</v>
      </c>
      <c r="N411" s="6">
        <v>32.83</v>
      </c>
      <c r="O411" s="6">
        <v>7.77</v>
      </c>
      <c r="P411" s="6">
        <v>25.06</v>
      </c>
      <c r="Q411" t="s">
        <v>75</v>
      </c>
      <c r="R411" t="s">
        <v>86</v>
      </c>
      <c r="S411" t="s">
        <v>61</v>
      </c>
    </row>
    <row r="412" spans="1:19" x14ac:dyDescent="0.35">
      <c r="A412" t="s">
        <v>528</v>
      </c>
      <c r="B412" s="5">
        <v>45856</v>
      </c>
      <c r="C412" t="s">
        <v>114</v>
      </c>
      <c r="D412" t="s">
        <v>64</v>
      </c>
      <c r="E412">
        <v>3</v>
      </c>
      <c r="F412" s="6">
        <v>420</v>
      </c>
      <c r="G412" s="7">
        <v>10</v>
      </c>
      <c r="H412" s="6">
        <v>1134</v>
      </c>
      <c r="I412">
        <v>0</v>
      </c>
      <c r="J412" s="6">
        <v>0</v>
      </c>
      <c r="K412">
        <v>3</v>
      </c>
      <c r="L412" s="6">
        <v>1134</v>
      </c>
      <c r="M412" s="6">
        <v>758.45</v>
      </c>
      <c r="N412" s="6">
        <v>375.55</v>
      </c>
      <c r="O412" s="6">
        <v>82.6</v>
      </c>
      <c r="P412" s="6">
        <v>292.95</v>
      </c>
      <c r="Q412" t="s">
        <v>81</v>
      </c>
      <c r="R412" t="s">
        <v>66</v>
      </c>
      <c r="S412" t="s">
        <v>76</v>
      </c>
    </row>
    <row r="413" spans="1:19" x14ac:dyDescent="0.35">
      <c r="A413" t="s">
        <v>529</v>
      </c>
      <c r="B413" s="5">
        <v>45889</v>
      </c>
      <c r="C413" t="s">
        <v>92</v>
      </c>
      <c r="D413" t="s">
        <v>79</v>
      </c>
      <c r="E413">
        <v>6</v>
      </c>
      <c r="F413" s="6">
        <v>85</v>
      </c>
      <c r="G413" s="7">
        <v>10</v>
      </c>
      <c r="H413" s="6">
        <v>459</v>
      </c>
      <c r="I413">
        <v>0</v>
      </c>
      <c r="J413" s="6">
        <v>0</v>
      </c>
      <c r="K413">
        <v>6</v>
      </c>
      <c r="L413" s="6">
        <v>459</v>
      </c>
      <c r="M413" s="6">
        <v>335.95</v>
      </c>
      <c r="N413" s="6">
        <v>123.05</v>
      </c>
      <c r="O413" s="6">
        <v>37.19</v>
      </c>
      <c r="P413" s="6">
        <v>85.86</v>
      </c>
      <c r="Q413" t="s">
        <v>81</v>
      </c>
      <c r="R413" t="s">
        <v>60</v>
      </c>
      <c r="S413" t="s">
        <v>61</v>
      </c>
    </row>
    <row r="414" spans="1:19" x14ac:dyDescent="0.35">
      <c r="A414" t="s">
        <v>530</v>
      </c>
      <c r="B414" s="5">
        <v>45992</v>
      </c>
      <c r="C414" t="s">
        <v>117</v>
      </c>
      <c r="D414" t="s">
        <v>74</v>
      </c>
      <c r="E414">
        <v>1</v>
      </c>
      <c r="F414" s="6">
        <v>95</v>
      </c>
      <c r="G414" s="7">
        <v>0</v>
      </c>
      <c r="H414" s="6">
        <v>95</v>
      </c>
      <c r="I414">
        <v>0</v>
      </c>
      <c r="J414" s="6">
        <v>0</v>
      </c>
      <c r="K414">
        <v>1</v>
      </c>
      <c r="L414" s="6">
        <v>95</v>
      </c>
      <c r="M414" s="6">
        <v>69.83</v>
      </c>
      <c r="N414" s="6">
        <v>25.17</v>
      </c>
      <c r="O414" s="6">
        <v>10.4</v>
      </c>
      <c r="P414" s="6">
        <v>14.77</v>
      </c>
      <c r="Q414" t="s">
        <v>65</v>
      </c>
      <c r="R414" t="s">
        <v>86</v>
      </c>
      <c r="S414" t="s">
        <v>67</v>
      </c>
    </row>
    <row r="415" spans="1:19" x14ac:dyDescent="0.35">
      <c r="A415" t="s">
        <v>531</v>
      </c>
      <c r="B415" s="5">
        <v>45780</v>
      </c>
      <c r="C415" t="s">
        <v>107</v>
      </c>
      <c r="D415" t="s">
        <v>74</v>
      </c>
      <c r="E415">
        <v>1</v>
      </c>
      <c r="F415" s="6">
        <v>125</v>
      </c>
      <c r="G415" s="7">
        <v>0</v>
      </c>
      <c r="H415" s="6">
        <v>125</v>
      </c>
      <c r="I415">
        <v>0</v>
      </c>
      <c r="J415" s="6">
        <v>0</v>
      </c>
      <c r="K415">
        <v>1</v>
      </c>
      <c r="L415" s="6">
        <v>125</v>
      </c>
      <c r="M415" s="6">
        <v>101.61</v>
      </c>
      <c r="N415" s="6">
        <v>23.39</v>
      </c>
      <c r="O415" s="6">
        <v>16.22</v>
      </c>
      <c r="P415" s="6">
        <v>7.17</v>
      </c>
      <c r="Q415" t="s">
        <v>81</v>
      </c>
      <c r="R415" t="s">
        <v>66</v>
      </c>
      <c r="S415" t="s">
        <v>76</v>
      </c>
    </row>
    <row r="416" spans="1:19" x14ac:dyDescent="0.35">
      <c r="A416" t="s">
        <v>532</v>
      </c>
      <c r="B416" s="5">
        <v>45717</v>
      </c>
      <c r="C416" t="s">
        <v>92</v>
      </c>
      <c r="D416" t="s">
        <v>79</v>
      </c>
      <c r="E416">
        <v>1</v>
      </c>
      <c r="F416" s="6">
        <v>85</v>
      </c>
      <c r="G416" s="7">
        <v>5</v>
      </c>
      <c r="H416" s="6">
        <v>80.75</v>
      </c>
      <c r="I416">
        <v>0</v>
      </c>
      <c r="J416" s="6">
        <v>0</v>
      </c>
      <c r="K416">
        <v>1</v>
      </c>
      <c r="L416" s="6">
        <v>80.75</v>
      </c>
      <c r="M416" s="6">
        <v>61.86</v>
      </c>
      <c r="N416" s="6">
        <v>18.89</v>
      </c>
      <c r="O416" s="6">
        <v>6.46</v>
      </c>
      <c r="P416" s="6">
        <v>12.43</v>
      </c>
      <c r="Q416" t="s">
        <v>65</v>
      </c>
      <c r="R416" t="s">
        <v>60</v>
      </c>
      <c r="S416" t="s">
        <v>71</v>
      </c>
    </row>
    <row r="417" spans="1:19" x14ac:dyDescent="0.35">
      <c r="A417" t="s">
        <v>533</v>
      </c>
      <c r="B417" s="5">
        <v>45816</v>
      </c>
      <c r="C417" t="s">
        <v>264</v>
      </c>
      <c r="D417" t="s">
        <v>85</v>
      </c>
      <c r="E417">
        <v>8</v>
      </c>
      <c r="F417" s="6">
        <v>20</v>
      </c>
      <c r="G417" s="7">
        <v>0</v>
      </c>
      <c r="H417" s="6">
        <v>160</v>
      </c>
      <c r="I417">
        <v>0</v>
      </c>
      <c r="J417" s="6">
        <v>0</v>
      </c>
      <c r="K417">
        <v>8</v>
      </c>
      <c r="L417" s="6">
        <v>160</v>
      </c>
      <c r="M417" s="6">
        <v>131.12</v>
      </c>
      <c r="N417" s="6">
        <v>28.88</v>
      </c>
      <c r="O417" s="6">
        <v>12.78</v>
      </c>
      <c r="P417" s="6">
        <v>16.100000000000001</v>
      </c>
      <c r="Q417" t="s">
        <v>65</v>
      </c>
      <c r="R417" t="s">
        <v>82</v>
      </c>
      <c r="S417" t="s">
        <v>67</v>
      </c>
    </row>
    <row r="418" spans="1:19" x14ac:dyDescent="0.35">
      <c r="A418" t="s">
        <v>534</v>
      </c>
      <c r="B418" s="5">
        <v>45975</v>
      </c>
      <c r="C418" t="s">
        <v>73</v>
      </c>
      <c r="D418" t="s">
        <v>74</v>
      </c>
      <c r="E418">
        <v>1</v>
      </c>
      <c r="F418" s="6">
        <v>280</v>
      </c>
      <c r="G418" s="7">
        <v>2</v>
      </c>
      <c r="H418" s="6">
        <v>274.39999999999998</v>
      </c>
      <c r="I418">
        <v>0</v>
      </c>
      <c r="J418" s="6">
        <v>0</v>
      </c>
      <c r="K418">
        <v>1</v>
      </c>
      <c r="L418" s="6">
        <v>274.39999999999998</v>
      </c>
      <c r="M418" s="6">
        <v>198.19</v>
      </c>
      <c r="N418" s="6">
        <v>76.209999999999994</v>
      </c>
      <c r="O418" s="6">
        <v>25.16</v>
      </c>
      <c r="P418" s="6">
        <v>51.05</v>
      </c>
      <c r="Q418" t="s">
        <v>59</v>
      </c>
      <c r="S418" t="s">
        <v>71</v>
      </c>
    </row>
    <row r="419" spans="1:19" x14ac:dyDescent="0.35">
      <c r="A419" t="s">
        <v>535</v>
      </c>
      <c r="B419" s="5">
        <v>45922</v>
      </c>
      <c r="C419" t="s">
        <v>104</v>
      </c>
      <c r="D419" t="s">
        <v>105</v>
      </c>
      <c r="E419">
        <v>1</v>
      </c>
      <c r="F419" s="6">
        <v>65</v>
      </c>
      <c r="G419" s="7">
        <v>2</v>
      </c>
      <c r="H419" s="6">
        <v>63.7</v>
      </c>
      <c r="I419">
        <v>0</v>
      </c>
      <c r="J419" s="6">
        <v>0</v>
      </c>
      <c r="K419">
        <v>1</v>
      </c>
      <c r="L419" s="6">
        <v>63.7</v>
      </c>
      <c r="M419" s="6">
        <v>48.98</v>
      </c>
      <c r="N419" s="6">
        <v>14.72</v>
      </c>
      <c r="O419" s="6">
        <v>4.05</v>
      </c>
      <c r="P419" s="6">
        <v>10.67</v>
      </c>
      <c r="Q419" t="s">
        <v>59</v>
      </c>
      <c r="R419" t="s">
        <v>86</v>
      </c>
    </row>
    <row r="420" spans="1:19" x14ac:dyDescent="0.35">
      <c r="A420" t="s">
        <v>536</v>
      </c>
      <c r="B420" s="5">
        <v>45902</v>
      </c>
      <c r="C420" t="s">
        <v>107</v>
      </c>
      <c r="D420" t="s">
        <v>74</v>
      </c>
      <c r="E420">
        <v>2</v>
      </c>
      <c r="F420" s="6">
        <v>125</v>
      </c>
      <c r="G420" s="7">
        <v>2</v>
      </c>
      <c r="H420" s="6">
        <v>245</v>
      </c>
      <c r="I420">
        <v>0</v>
      </c>
      <c r="J420" s="6">
        <v>0</v>
      </c>
      <c r="K420">
        <v>2</v>
      </c>
      <c r="L420" s="6">
        <v>245</v>
      </c>
      <c r="M420" s="6">
        <v>177.37</v>
      </c>
      <c r="N420" s="6">
        <v>67.63</v>
      </c>
      <c r="O420" s="6">
        <v>28.96</v>
      </c>
      <c r="P420" s="6">
        <v>38.67</v>
      </c>
      <c r="Q420" t="s">
        <v>81</v>
      </c>
      <c r="R420" t="s">
        <v>82</v>
      </c>
      <c r="S420" t="s">
        <v>71</v>
      </c>
    </row>
    <row r="421" spans="1:19" x14ac:dyDescent="0.35">
      <c r="A421" t="s">
        <v>537</v>
      </c>
      <c r="B421" s="5">
        <v>45697</v>
      </c>
      <c r="C421" t="s">
        <v>69</v>
      </c>
      <c r="D421" t="s">
        <v>70</v>
      </c>
      <c r="E421">
        <v>3</v>
      </c>
      <c r="F421" s="6">
        <v>210</v>
      </c>
      <c r="G421" s="7">
        <v>5</v>
      </c>
      <c r="H421" s="6">
        <v>598.5</v>
      </c>
      <c r="I421">
        <v>0</v>
      </c>
      <c r="J421" s="6">
        <v>0</v>
      </c>
      <c r="K421">
        <v>3</v>
      </c>
      <c r="L421" s="6">
        <v>598.5</v>
      </c>
      <c r="M421" s="6">
        <v>409.99</v>
      </c>
      <c r="N421" s="6">
        <v>188.51</v>
      </c>
      <c r="O421" s="6">
        <v>44.95</v>
      </c>
      <c r="P421" s="6">
        <v>143.56</v>
      </c>
      <c r="Q421" t="s">
        <v>75</v>
      </c>
      <c r="R421" t="s">
        <v>60</v>
      </c>
      <c r="S421" t="s">
        <v>71</v>
      </c>
    </row>
    <row r="422" spans="1:19" x14ac:dyDescent="0.35">
      <c r="A422" t="s">
        <v>538</v>
      </c>
      <c r="B422" s="5">
        <v>46003</v>
      </c>
      <c r="C422" t="s">
        <v>69</v>
      </c>
      <c r="D422" t="s">
        <v>70</v>
      </c>
      <c r="E422">
        <v>4</v>
      </c>
      <c r="F422" s="6">
        <v>210</v>
      </c>
      <c r="G422" s="7">
        <v>5</v>
      </c>
      <c r="H422" s="6">
        <v>798</v>
      </c>
      <c r="I422">
        <v>0</v>
      </c>
      <c r="J422" s="6">
        <v>0</v>
      </c>
      <c r="K422">
        <v>4</v>
      </c>
      <c r="L422" s="6">
        <v>798</v>
      </c>
      <c r="M422" s="6">
        <v>601.61</v>
      </c>
      <c r="N422" s="6">
        <v>196.39</v>
      </c>
      <c r="O422" s="6">
        <v>48.43</v>
      </c>
      <c r="P422" s="6">
        <v>147.96</v>
      </c>
      <c r="Q422" t="s">
        <v>59</v>
      </c>
      <c r="R422" t="s">
        <v>82</v>
      </c>
      <c r="S422" t="s">
        <v>71</v>
      </c>
    </row>
    <row r="423" spans="1:19" x14ac:dyDescent="0.35">
      <c r="A423" t="s">
        <v>539</v>
      </c>
      <c r="B423" s="5">
        <v>45786</v>
      </c>
      <c r="C423" t="s">
        <v>107</v>
      </c>
      <c r="D423" t="s">
        <v>74</v>
      </c>
      <c r="E423">
        <v>2</v>
      </c>
      <c r="F423" s="6">
        <v>125</v>
      </c>
      <c r="G423" s="7">
        <v>2</v>
      </c>
      <c r="H423" s="6">
        <v>245</v>
      </c>
      <c r="I423">
        <v>0</v>
      </c>
      <c r="J423" s="6">
        <v>0</v>
      </c>
      <c r="K423">
        <v>2</v>
      </c>
      <c r="L423" s="6">
        <v>245</v>
      </c>
      <c r="M423" s="6">
        <v>167.43</v>
      </c>
      <c r="N423" s="6">
        <v>77.569999999999993</v>
      </c>
      <c r="O423" s="6">
        <v>24.72</v>
      </c>
      <c r="P423" s="6">
        <v>52.85</v>
      </c>
      <c r="Q423" t="s">
        <v>81</v>
      </c>
      <c r="R423" t="s">
        <v>66</v>
      </c>
      <c r="S423" t="s">
        <v>61</v>
      </c>
    </row>
    <row r="424" spans="1:19" x14ac:dyDescent="0.35">
      <c r="A424" t="s">
        <v>540</v>
      </c>
      <c r="B424" s="5">
        <v>45936</v>
      </c>
      <c r="C424" t="s">
        <v>121</v>
      </c>
      <c r="D424" t="s">
        <v>70</v>
      </c>
      <c r="E424">
        <v>1</v>
      </c>
      <c r="F424" s="6">
        <v>110</v>
      </c>
      <c r="G424" s="7">
        <v>2</v>
      </c>
      <c r="H424" s="6">
        <v>107.8</v>
      </c>
      <c r="I424">
        <v>0</v>
      </c>
      <c r="J424" s="6">
        <v>0</v>
      </c>
      <c r="K424">
        <v>1</v>
      </c>
      <c r="L424" s="6">
        <v>107.8</v>
      </c>
      <c r="M424" s="6">
        <v>73.680000000000007</v>
      </c>
      <c r="N424" s="6">
        <v>34.119999999999997</v>
      </c>
      <c r="O424" s="6">
        <v>12.42</v>
      </c>
      <c r="P424" s="6">
        <v>21.7</v>
      </c>
      <c r="Q424" t="s">
        <v>59</v>
      </c>
      <c r="R424" t="s">
        <v>82</v>
      </c>
      <c r="S424" t="s">
        <v>61</v>
      </c>
    </row>
    <row r="425" spans="1:19" x14ac:dyDescent="0.35">
      <c r="A425" t="s">
        <v>541</v>
      </c>
      <c r="B425" s="5">
        <v>45679</v>
      </c>
      <c r="C425" t="s">
        <v>104</v>
      </c>
      <c r="D425" t="s">
        <v>105</v>
      </c>
      <c r="E425">
        <v>5</v>
      </c>
      <c r="F425" s="6">
        <v>65</v>
      </c>
      <c r="G425" s="7">
        <v>5</v>
      </c>
      <c r="H425" s="6">
        <v>308.75</v>
      </c>
      <c r="I425">
        <v>0</v>
      </c>
      <c r="J425" s="6">
        <v>0</v>
      </c>
      <c r="K425">
        <v>5</v>
      </c>
      <c r="L425" s="6">
        <v>308.75</v>
      </c>
      <c r="M425" s="6">
        <v>202.59</v>
      </c>
      <c r="N425" s="6">
        <v>106.16</v>
      </c>
      <c r="O425" s="6">
        <v>26.9</v>
      </c>
      <c r="P425" s="6">
        <v>79.260000000000005</v>
      </c>
      <c r="Q425" t="s">
        <v>81</v>
      </c>
      <c r="R425" t="s">
        <v>66</v>
      </c>
      <c r="S425" t="s">
        <v>67</v>
      </c>
    </row>
    <row r="426" spans="1:19" x14ac:dyDescent="0.35">
      <c r="A426" t="s">
        <v>542</v>
      </c>
      <c r="B426" s="5">
        <v>45844</v>
      </c>
      <c r="C426" t="s">
        <v>95</v>
      </c>
      <c r="D426" t="s">
        <v>64</v>
      </c>
      <c r="E426">
        <v>5</v>
      </c>
      <c r="F426" s="6">
        <v>52</v>
      </c>
      <c r="G426" s="7">
        <v>2</v>
      </c>
      <c r="H426" s="6">
        <v>254.8</v>
      </c>
      <c r="I426">
        <v>0</v>
      </c>
      <c r="J426" s="6">
        <v>0</v>
      </c>
      <c r="K426">
        <v>5</v>
      </c>
      <c r="L426" s="6">
        <v>254.8</v>
      </c>
      <c r="M426" s="6">
        <v>210.45</v>
      </c>
      <c r="N426" s="6">
        <v>44.35</v>
      </c>
      <c r="O426" s="6">
        <v>21.48</v>
      </c>
      <c r="P426" s="6">
        <v>22.87</v>
      </c>
      <c r="Q426" t="s">
        <v>65</v>
      </c>
      <c r="R426" t="s">
        <v>86</v>
      </c>
      <c r="S426" t="s">
        <v>76</v>
      </c>
    </row>
    <row r="427" spans="1:19" x14ac:dyDescent="0.35">
      <c r="A427" t="s">
        <v>543</v>
      </c>
      <c r="B427" s="5">
        <v>45913</v>
      </c>
      <c r="C427" t="s">
        <v>56</v>
      </c>
      <c r="D427" t="s">
        <v>57</v>
      </c>
      <c r="E427">
        <v>10</v>
      </c>
      <c r="F427" s="6">
        <v>40</v>
      </c>
      <c r="G427" s="7">
        <v>5</v>
      </c>
      <c r="H427" s="6">
        <v>380</v>
      </c>
      <c r="I427">
        <v>0</v>
      </c>
      <c r="J427" s="6">
        <v>0</v>
      </c>
      <c r="K427">
        <v>10</v>
      </c>
      <c r="L427" s="6">
        <v>380</v>
      </c>
      <c r="M427" s="6">
        <v>312.64999999999998</v>
      </c>
      <c r="N427" s="6">
        <v>67.349999999999994</v>
      </c>
      <c r="O427" s="6">
        <v>36.53</v>
      </c>
      <c r="P427" s="6">
        <v>30.82</v>
      </c>
      <c r="Q427" t="s">
        <v>81</v>
      </c>
      <c r="R427" t="s">
        <v>86</v>
      </c>
      <c r="S427" t="s">
        <v>76</v>
      </c>
    </row>
    <row r="428" spans="1:19" x14ac:dyDescent="0.35">
      <c r="A428" t="s">
        <v>544</v>
      </c>
      <c r="B428" s="5">
        <v>46004</v>
      </c>
      <c r="C428" t="s">
        <v>104</v>
      </c>
      <c r="D428" t="s">
        <v>105</v>
      </c>
      <c r="E428">
        <v>6</v>
      </c>
      <c r="F428" s="6">
        <v>65</v>
      </c>
      <c r="G428" s="7">
        <v>10</v>
      </c>
      <c r="H428" s="6">
        <v>351</v>
      </c>
      <c r="I428">
        <v>0</v>
      </c>
      <c r="J428" s="6">
        <v>0</v>
      </c>
      <c r="K428">
        <v>6</v>
      </c>
      <c r="L428" s="6">
        <v>351</v>
      </c>
      <c r="M428" s="6">
        <v>285.13</v>
      </c>
      <c r="N428" s="6">
        <v>65.87</v>
      </c>
      <c r="O428" s="6">
        <v>17.71</v>
      </c>
      <c r="P428" s="6">
        <v>48.16</v>
      </c>
      <c r="Q428" t="s">
        <v>59</v>
      </c>
      <c r="S428" t="s">
        <v>76</v>
      </c>
    </row>
    <row r="429" spans="1:19" x14ac:dyDescent="0.35">
      <c r="A429" t="s">
        <v>545</v>
      </c>
      <c r="B429" s="5">
        <v>45961</v>
      </c>
      <c r="C429" t="s">
        <v>117</v>
      </c>
      <c r="D429" t="s">
        <v>74</v>
      </c>
      <c r="E429">
        <v>2</v>
      </c>
      <c r="F429" s="6">
        <v>95</v>
      </c>
      <c r="G429" s="7">
        <v>0</v>
      </c>
      <c r="H429" s="6">
        <v>190</v>
      </c>
      <c r="I429">
        <v>0</v>
      </c>
      <c r="J429" s="6">
        <v>0</v>
      </c>
      <c r="K429">
        <v>2</v>
      </c>
      <c r="L429" s="6">
        <v>190</v>
      </c>
      <c r="M429" s="6">
        <v>118.82</v>
      </c>
      <c r="N429" s="6">
        <v>71.180000000000007</v>
      </c>
      <c r="O429" s="6">
        <v>21.41</v>
      </c>
      <c r="P429" s="6">
        <v>49.77</v>
      </c>
      <c r="Q429" t="s">
        <v>75</v>
      </c>
      <c r="R429" t="s">
        <v>60</v>
      </c>
      <c r="S429" t="s">
        <v>71</v>
      </c>
    </row>
    <row r="430" spans="1:19" x14ac:dyDescent="0.35">
      <c r="A430" t="s">
        <v>546</v>
      </c>
      <c r="B430" s="5">
        <v>45913</v>
      </c>
      <c r="C430" t="s">
        <v>293</v>
      </c>
      <c r="D430" t="s">
        <v>85</v>
      </c>
      <c r="E430">
        <v>1</v>
      </c>
      <c r="F430" s="6">
        <v>180</v>
      </c>
      <c r="G430" s="7">
        <v>10</v>
      </c>
      <c r="H430" s="6">
        <v>162</v>
      </c>
      <c r="I430">
        <v>0</v>
      </c>
      <c r="J430" s="6">
        <v>0</v>
      </c>
      <c r="K430">
        <v>1</v>
      </c>
      <c r="L430" s="6">
        <v>162</v>
      </c>
      <c r="M430" s="6">
        <v>127.9</v>
      </c>
      <c r="N430" s="6">
        <v>34.1</v>
      </c>
      <c r="O430" s="6">
        <v>9.82</v>
      </c>
      <c r="P430" s="6">
        <v>24.28</v>
      </c>
      <c r="Q430" t="s">
        <v>59</v>
      </c>
      <c r="R430" t="s">
        <v>82</v>
      </c>
      <c r="S430" t="s">
        <v>76</v>
      </c>
    </row>
    <row r="431" spans="1:19" x14ac:dyDescent="0.35">
      <c r="A431" t="s">
        <v>547</v>
      </c>
      <c r="B431" s="5">
        <v>45676</v>
      </c>
      <c r="C431" t="s">
        <v>95</v>
      </c>
      <c r="D431" t="s">
        <v>64</v>
      </c>
      <c r="E431">
        <v>4</v>
      </c>
      <c r="F431" s="6">
        <v>52</v>
      </c>
      <c r="G431" s="7">
        <v>10</v>
      </c>
      <c r="H431" s="6">
        <v>187.2</v>
      </c>
      <c r="I431">
        <v>0</v>
      </c>
      <c r="J431" s="6">
        <v>0</v>
      </c>
      <c r="K431">
        <v>4</v>
      </c>
      <c r="L431" s="6">
        <v>187.2</v>
      </c>
      <c r="M431" s="6">
        <v>142.43</v>
      </c>
      <c r="N431" s="6">
        <v>44.77</v>
      </c>
      <c r="O431" s="6">
        <v>24.2</v>
      </c>
      <c r="P431" s="6">
        <v>20.57</v>
      </c>
      <c r="Q431" t="s">
        <v>59</v>
      </c>
      <c r="R431" t="s">
        <v>82</v>
      </c>
      <c r="S431" t="s">
        <v>71</v>
      </c>
    </row>
    <row r="432" spans="1:19" x14ac:dyDescent="0.35">
      <c r="A432" t="s">
        <v>548</v>
      </c>
      <c r="B432" s="5">
        <v>45685</v>
      </c>
      <c r="C432" t="s">
        <v>264</v>
      </c>
      <c r="D432" t="s">
        <v>85</v>
      </c>
      <c r="E432">
        <v>3</v>
      </c>
      <c r="F432" s="6">
        <v>20</v>
      </c>
      <c r="G432" s="7">
        <v>2</v>
      </c>
      <c r="H432" s="6">
        <v>58.8</v>
      </c>
      <c r="I432">
        <v>0</v>
      </c>
      <c r="J432" s="6">
        <v>0</v>
      </c>
      <c r="K432">
        <v>3</v>
      </c>
      <c r="L432" s="6">
        <v>58.8</v>
      </c>
      <c r="M432" s="6">
        <v>48.71</v>
      </c>
      <c r="N432" s="6">
        <v>10.09</v>
      </c>
      <c r="O432" s="6">
        <v>4.6900000000000004</v>
      </c>
      <c r="P432" s="6">
        <v>5.4</v>
      </c>
      <c r="Q432" t="s">
        <v>75</v>
      </c>
      <c r="R432" t="s">
        <v>60</v>
      </c>
      <c r="S432" t="s">
        <v>76</v>
      </c>
    </row>
    <row r="433" spans="1:19" x14ac:dyDescent="0.35">
      <c r="A433" t="s">
        <v>549</v>
      </c>
      <c r="B433" s="5">
        <v>45671</v>
      </c>
      <c r="C433" t="s">
        <v>125</v>
      </c>
      <c r="D433" t="s">
        <v>85</v>
      </c>
      <c r="E433">
        <v>10</v>
      </c>
      <c r="F433" s="6">
        <v>125</v>
      </c>
      <c r="G433" s="7">
        <v>15</v>
      </c>
      <c r="H433" s="6">
        <v>1062.5</v>
      </c>
      <c r="I433">
        <v>0</v>
      </c>
      <c r="J433" s="6">
        <v>0</v>
      </c>
      <c r="K433">
        <v>10</v>
      </c>
      <c r="L433" s="6">
        <v>1062.5</v>
      </c>
      <c r="M433" s="6">
        <v>824.37</v>
      </c>
      <c r="N433" s="6">
        <v>238.13</v>
      </c>
      <c r="O433" s="6">
        <v>113.91</v>
      </c>
      <c r="P433" s="6">
        <v>124.22</v>
      </c>
      <c r="Q433" t="s">
        <v>59</v>
      </c>
      <c r="R433" t="s">
        <v>86</v>
      </c>
      <c r="S433" t="s">
        <v>76</v>
      </c>
    </row>
    <row r="434" spans="1:19" x14ac:dyDescent="0.35">
      <c r="A434" t="s">
        <v>550</v>
      </c>
      <c r="B434" s="5">
        <v>46000</v>
      </c>
      <c r="C434" t="s">
        <v>78</v>
      </c>
      <c r="D434" t="s">
        <v>79</v>
      </c>
      <c r="E434">
        <v>2</v>
      </c>
      <c r="F434" s="6">
        <v>120</v>
      </c>
      <c r="G434" s="7">
        <v>10</v>
      </c>
      <c r="H434" s="6">
        <v>216</v>
      </c>
      <c r="I434">
        <v>0</v>
      </c>
      <c r="J434" s="6">
        <v>0</v>
      </c>
      <c r="K434">
        <v>2</v>
      </c>
      <c r="L434" s="6">
        <v>216</v>
      </c>
      <c r="M434" s="6">
        <v>139.63</v>
      </c>
      <c r="N434" s="6">
        <v>76.37</v>
      </c>
      <c r="O434" s="6">
        <v>21.71</v>
      </c>
      <c r="P434" s="6">
        <v>54.66</v>
      </c>
      <c r="Q434" t="s">
        <v>75</v>
      </c>
      <c r="R434" t="s">
        <v>60</v>
      </c>
      <c r="S434" t="s">
        <v>76</v>
      </c>
    </row>
    <row r="435" spans="1:19" x14ac:dyDescent="0.35">
      <c r="A435" t="s">
        <v>551</v>
      </c>
      <c r="B435" s="5">
        <v>45761</v>
      </c>
      <c r="C435" t="s">
        <v>97</v>
      </c>
      <c r="D435" t="s">
        <v>57</v>
      </c>
      <c r="E435">
        <v>1</v>
      </c>
      <c r="F435" s="6">
        <v>55</v>
      </c>
      <c r="G435" s="7">
        <v>2</v>
      </c>
      <c r="H435" s="6">
        <v>53.9</v>
      </c>
      <c r="I435">
        <v>0</v>
      </c>
      <c r="J435" s="6">
        <v>0</v>
      </c>
      <c r="K435">
        <v>1</v>
      </c>
      <c r="L435" s="6">
        <v>53.9</v>
      </c>
      <c r="M435" s="6">
        <v>43.09</v>
      </c>
      <c r="N435" s="6">
        <v>10.81</v>
      </c>
      <c r="O435" s="6">
        <v>4.4800000000000004</v>
      </c>
      <c r="P435" s="6">
        <v>6.33</v>
      </c>
      <c r="Q435" t="s">
        <v>65</v>
      </c>
      <c r="R435" t="s">
        <v>176</v>
      </c>
      <c r="S435" t="s">
        <v>71</v>
      </c>
    </row>
    <row r="436" spans="1:19" x14ac:dyDescent="0.35">
      <c r="A436" t="s">
        <v>552</v>
      </c>
      <c r="B436" s="5">
        <v>45716</v>
      </c>
      <c r="C436" t="s">
        <v>78</v>
      </c>
      <c r="D436" t="s">
        <v>79</v>
      </c>
      <c r="E436">
        <v>4</v>
      </c>
      <c r="F436" s="6">
        <v>120</v>
      </c>
      <c r="G436" s="7">
        <v>5</v>
      </c>
      <c r="H436" s="6">
        <v>456</v>
      </c>
      <c r="I436">
        <v>4</v>
      </c>
      <c r="J436" s="6">
        <v>456</v>
      </c>
      <c r="K436">
        <v>0</v>
      </c>
      <c r="L436" s="6">
        <v>0</v>
      </c>
      <c r="M436" s="6">
        <v>0</v>
      </c>
      <c r="N436" s="6">
        <v>0</v>
      </c>
      <c r="O436" s="6">
        <v>0</v>
      </c>
      <c r="P436" s="6">
        <v>0</v>
      </c>
      <c r="Q436" t="s">
        <v>59</v>
      </c>
      <c r="R436" t="s">
        <v>60</v>
      </c>
      <c r="S436" t="s">
        <v>61</v>
      </c>
    </row>
    <row r="437" spans="1:19" x14ac:dyDescent="0.35">
      <c r="A437" t="s">
        <v>553</v>
      </c>
      <c r="B437" s="5">
        <v>45979</v>
      </c>
      <c r="C437" t="s">
        <v>88</v>
      </c>
      <c r="D437" t="s">
        <v>57</v>
      </c>
      <c r="E437">
        <v>5</v>
      </c>
      <c r="F437" s="6">
        <v>30</v>
      </c>
      <c r="G437" s="7">
        <v>15</v>
      </c>
      <c r="H437" s="6">
        <v>127.5</v>
      </c>
      <c r="I437">
        <v>0</v>
      </c>
      <c r="J437" s="6">
        <v>0</v>
      </c>
      <c r="K437">
        <v>5</v>
      </c>
      <c r="L437" s="6">
        <v>127.5</v>
      </c>
      <c r="M437" s="6">
        <v>95.45</v>
      </c>
      <c r="N437" s="6">
        <v>32.049999999999997</v>
      </c>
      <c r="O437" s="6">
        <v>10.47</v>
      </c>
      <c r="P437" s="6">
        <v>21.58</v>
      </c>
      <c r="Q437" t="s">
        <v>75</v>
      </c>
      <c r="R437" t="s">
        <v>66</v>
      </c>
      <c r="S437" t="s">
        <v>71</v>
      </c>
    </row>
    <row r="438" spans="1:19" x14ac:dyDescent="0.35">
      <c r="A438" t="s">
        <v>554</v>
      </c>
      <c r="B438" s="5">
        <v>45665</v>
      </c>
      <c r="C438" t="s">
        <v>100</v>
      </c>
      <c r="D438" t="s">
        <v>64</v>
      </c>
      <c r="E438">
        <v>8</v>
      </c>
      <c r="F438" s="6">
        <v>310</v>
      </c>
      <c r="G438" s="7">
        <v>2</v>
      </c>
      <c r="H438" s="6">
        <v>2430.4</v>
      </c>
      <c r="I438">
        <v>0</v>
      </c>
      <c r="J438" s="6">
        <v>0</v>
      </c>
      <c r="K438">
        <v>8</v>
      </c>
      <c r="L438" s="6">
        <v>2430.4</v>
      </c>
      <c r="M438" s="6">
        <v>1852.65</v>
      </c>
      <c r="N438" s="6">
        <v>577.75</v>
      </c>
      <c r="O438" s="6">
        <v>131.63</v>
      </c>
      <c r="P438" s="6">
        <v>446.12</v>
      </c>
      <c r="Q438" t="s">
        <v>75</v>
      </c>
      <c r="R438" t="s">
        <v>86</v>
      </c>
      <c r="S438" t="s">
        <v>71</v>
      </c>
    </row>
    <row r="439" spans="1:19" x14ac:dyDescent="0.35">
      <c r="A439" t="s">
        <v>555</v>
      </c>
      <c r="B439" s="5">
        <v>45702</v>
      </c>
      <c r="C439" t="s">
        <v>107</v>
      </c>
      <c r="D439" t="s">
        <v>74</v>
      </c>
      <c r="E439">
        <v>3</v>
      </c>
      <c r="F439" s="6">
        <v>125</v>
      </c>
      <c r="G439" s="7">
        <v>10</v>
      </c>
      <c r="H439" s="6">
        <v>337.5</v>
      </c>
      <c r="I439">
        <v>0</v>
      </c>
      <c r="J439" s="6">
        <v>0</v>
      </c>
      <c r="K439">
        <v>3</v>
      </c>
      <c r="L439" s="6">
        <v>337.5</v>
      </c>
      <c r="M439" s="6">
        <v>280.77</v>
      </c>
      <c r="N439" s="6">
        <v>56.73</v>
      </c>
      <c r="O439" s="6">
        <v>22.58</v>
      </c>
      <c r="P439" s="6">
        <v>34.15</v>
      </c>
      <c r="Q439" t="s">
        <v>59</v>
      </c>
      <c r="R439" t="s">
        <v>60</v>
      </c>
      <c r="S439" t="s">
        <v>61</v>
      </c>
    </row>
    <row r="440" spans="1:19" x14ac:dyDescent="0.35">
      <c r="A440" t="s">
        <v>556</v>
      </c>
      <c r="B440" s="5">
        <v>45950</v>
      </c>
      <c r="C440" t="s">
        <v>557</v>
      </c>
      <c r="D440" t="s">
        <v>74</v>
      </c>
      <c r="E440">
        <v>2</v>
      </c>
      <c r="F440" s="6">
        <v>95</v>
      </c>
      <c r="G440" s="7">
        <v>5</v>
      </c>
      <c r="H440" s="6">
        <v>180.5</v>
      </c>
      <c r="I440">
        <v>0</v>
      </c>
      <c r="J440" s="6">
        <v>0</v>
      </c>
      <c r="K440">
        <v>2</v>
      </c>
      <c r="L440" s="6">
        <v>180.5</v>
      </c>
      <c r="M440" s="6">
        <v>150.22999999999999</v>
      </c>
      <c r="N440" s="6">
        <v>30.27</v>
      </c>
      <c r="O440" s="6">
        <v>11.92</v>
      </c>
      <c r="P440" s="6">
        <v>18.350000000000001</v>
      </c>
      <c r="Q440" t="s">
        <v>81</v>
      </c>
      <c r="R440" t="s">
        <v>66</v>
      </c>
      <c r="S440" t="s">
        <v>76</v>
      </c>
    </row>
    <row r="441" spans="1:19" x14ac:dyDescent="0.35">
      <c r="A441" t="s">
        <v>558</v>
      </c>
      <c r="B441" s="5">
        <v>45925</v>
      </c>
      <c r="C441" t="s">
        <v>88</v>
      </c>
      <c r="D441" t="s">
        <v>57</v>
      </c>
      <c r="E441">
        <v>8</v>
      </c>
      <c r="F441" s="6">
        <v>30</v>
      </c>
      <c r="G441" s="7">
        <v>5</v>
      </c>
      <c r="H441" s="6">
        <v>228</v>
      </c>
      <c r="I441">
        <v>0</v>
      </c>
      <c r="J441" s="6">
        <v>0</v>
      </c>
      <c r="K441">
        <v>8</v>
      </c>
      <c r="L441" s="6">
        <v>228</v>
      </c>
      <c r="M441" s="6">
        <v>148.36000000000001</v>
      </c>
      <c r="N441" s="6">
        <v>79.64</v>
      </c>
      <c r="O441" s="6">
        <v>19.34</v>
      </c>
      <c r="P441" s="6">
        <v>60.3</v>
      </c>
      <c r="Q441" t="s">
        <v>75</v>
      </c>
      <c r="R441" t="s">
        <v>66</v>
      </c>
      <c r="S441" t="s">
        <v>61</v>
      </c>
    </row>
    <row r="442" spans="1:19" x14ac:dyDescent="0.35">
      <c r="A442" t="s">
        <v>559</v>
      </c>
      <c r="B442" s="5">
        <v>45947</v>
      </c>
      <c r="C442" t="s">
        <v>84</v>
      </c>
      <c r="D442" t="s">
        <v>85</v>
      </c>
      <c r="E442">
        <v>8</v>
      </c>
      <c r="F442" s="6">
        <v>48</v>
      </c>
      <c r="G442" s="7">
        <v>0</v>
      </c>
      <c r="H442" s="6">
        <v>384</v>
      </c>
      <c r="I442">
        <v>0</v>
      </c>
      <c r="J442" s="6">
        <v>0</v>
      </c>
      <c r="K442">
        <v>8</v>
      </c>
      <c r="L442" s="6">
        <v>384</v>
      </c>
      <c r="M442" s="6">
        <v>273.62</v>
      </c>
      <c r="N442" s="6">
        <v>110.38</v>
      </c>
      <c r="O442" s="6">
        <v>25.68</v>
      </c>
      <c r="P442" s="6">
        <v>84.7</v>
      </c>
      <c r="Q442" t="s">
        <v>59</v>
      </c>
      <c r="R442" t="s">
        <v>86</v>
      </c>
      <c r="S442" t="s">
        <v>71</v>
      </c>
    </row>
    <row r="443" spans="1:19" x14ac:dyDescent="0.35">
      <c r="A443" t="s">
        <v>560</v>
      </c>
      <c r="B443" s="5">
        <v>45953</v>
      </c>
      <c r="C443" t="s">
        <v>109</v>
      </c>
      <c r="D443" t="s">
        <v>85</v>
      </c>
      <c r="E443">
        <v>8</v>
      </c>
      <c r="F443" s="6">
        <v>180</v>
      </c>
      <c r="G443" s="7">
        <v>0</v>
      </c>
      <c r="H443" s="6">
        <v>1440</v>
      </c>
      <c r="I443">
        <v>0</v>
      </c>
      <c r="J443" s="6">
        <v>0</v>
      </c>
      <c r="K443">
        <v>8</v>
      </c>
      <c r="L443" s="6">
        <v>1440</v>
      </c>
      <c r="M443" s="6">
        <v>1044.33</v>
      </c>
      <c r="N443" s="6">
        <v>395.67</v>
      </c>
      <c r="O443" s="6">
        <v>185.51</v>
      </c>
      <c r="P443" s="6">
        <v>210.16</v>
      </c>
      <c r="Q443" t="s">
        <v>65</v>
      </c>
      <c r="R443" t="s">
        <v>86</v>
      </c>
      <c r="S443" t="s">
        <v>61</v>
      </c>
    </row>
    <row r="444" spans="1:19" x14ac:dyDescent="0.35">
      <c r="A444" t="s">
        <v>561</v>
      </c>
      <c r="B444" s="5">
        <v>45706</v>
      </c>
      <c r="C444" t="s">
        <v>88</v>
      </c>
      <c r="D444" t="s">
        <v>57</v>
      </c>
      <c r="E444">
        <v>1</v>
      </c>
      <c r="F444" s="6">
        <v>30</v>
      </c>
      <c r="G444" s="7">
        <v>2</v>
      </c>
      <c r="H444" s="6">
        <v>29.4</v>
      </c>
      <c r="I444">
        <v>1</v>
      </c>
      <c r="J444" s="6">
        <v>29.4</v>
      </c>
      <c r="K444">
        <v>0</v>
      </c>
      <c r="L444" s="6">
        <v>0</v>
      </c>
      <c r="M444" s="6">
        <v>0</v>
      </c>
      <c r="N444" s="6">
        <v>0</v>
      </c>
      <c r="O444" s="6">
        <v>0</v>
      </c>
      <c r="P444" s="6">
        <v>0</v>
      </c>
      <c r="Q444" t="s">
        <v>65</v>
      </c>
      <c r="R444" t="s">
        <v>66</v>
      </c>
      <c r="S444" t="s">
        <v>67</v>
      </c>
    </row>
    <row r="445" spans="1:19" x14ac:dyDescent="0.35">
      <c r="A445" t="s">
        <v>562</v>
      </c>
      <c r="B445" s="5">
        <v>45935</v>
      </c>
      <c r="C445" t="s">
        <v>63</v>
      </c>
      <c r="D445" t="s">
        <v>64</v>
      </c>
      <c r="E445">
        <v>1</v>
      </c>
      <c r="F445" s="6">
        <v>145</v>
      </c>
      <c r="G445" s="7">
        <v>5</v>
      </c>
      <c r="H445" s="6">
        <v>137.75</v>
      </c>
      <c r="I445">
        <v>0</v>
      </c>
      <c r="J445" s="6">
        <v>0</v>
      </c>
      <c r="K445">
        <v>1</v>
      </c>
      <c r="L445" s="6">
        <v>137.75</v>
      </c>
      <c r="M445" s="6">
        <v>90.26</v>
      </c>
      <c r="N445" s="6">
        <v>47.49</v>
      </c>
      <c r="O445" s="6">
        <v>16.420000000000002</v>
      </c>
      <c r="P445" s="6">
        <v>31.07</v>
      </c>
      <c r="Q445" t="s">
        <v>81</v>
      </c>
      <c r="R445" t="s">
        <v>60</v>
      </c>
      <c r="S445" t="s">
        <v>76</v>
      </c>
    </row>
    <row r="446" spans="1:19" x14ac:dyDescent="0.35">
      <c r="A446" t="s">
        <v>563</v>
      </c>
      <c r="B446" s="5">
        <v>45895</v>
      </c>
      <c r="C446" t="s">
        <v>264</v>
      </c>
      <c r="D446" t="s">
        <v>85</v>
      </c>
      <c r="E446">
        <v>3</v>
      </c>
      <c r="F446" s="6">
        <v>20</v>
      </c>
      <c r="G446" s="7">
        <v>5</v>
      </c>
      <c r="H446" s="6">
        <v>57</v>
      </c>
      <c r="I446">
        <v>0</v>
      </c>
      <c r="J446" s="6">
        <v>0</v>
      </c>
      <c r="K446">
        <v>3</v>
      </c>
      <c r="L446" s="6">
        <v>57</v>
      </c>
      <c r="M446" s="6">
        <v>37.22</v>
      </c>
      <c r="N446" s="6">
        <v>19.78</v>
      </c>
      <c r="O446" s="6">
        <v>5.16</v>
      </c>
      <c r="P446" s="6">
        <v>14.62</v>
      </c>
      <c r="Q446" t="s">
        <v>65</v>
      </c>
      <c r="R446" t="s">
        <v>60</v>
      </c>
      <c r="S446" t="s">
        <v>61</v>
      </c>
    </row>
    <row r="447" spans="1:19" x14ac:dyDescent="0.35">
      <c r="A447" t="s">
        <v>564</v>
      </c>
      <c r="B447" s="5">
        <v>45763</v>
      </c>
      <c r="C447" t="s">
        <v>557</v>
      </c>
      <c r="D447" t="s">
        <v>243</v>
      </c>
      <c r="E447">
        <v>1</v>
      </c>
      <c r="F447" s="6">
        <v>95</v>
      </c>
      <c r="G447" s="7">
        <v>10</v>
      </c>
      <c r="H447" s="6">
        <v>85.5</v>
      </c>
      <c r="I447">
        <v>0</v>
      </c>
      <c r="J447" s="6">
        <v>0</v>
      </c>
      <c r="K447">
        <v>1</v>
      </c>
      <c r="L447" s="6">
        <v>85.5</v>
      </c>
      <c r="M447" s="6">
        <v>62.07</v>
      </c>
      <c r="N447" s="6">
        <v>23.43</v>
      </c>
      <c r="O447" s="6">
        <v>6.98</v>
      </c>
      <c r="P447" s="6">
        <v>16.45</v>
      </c>
      <c r="Q447" t="s">
        <v>75</v>
      </c>
      <c r="R447" t="s">
        <v>86</v>
      </c>
      <c r="S447" t="s">
        <v>71</v>
      </c>
    </row>
    <row r="448" spans="1:19" x14ac:dyDescent="0.35">
      <c r="A448" t="s">
        <v>565</v>
      </c>
      <c r="B448" s="5">
        <v>45763</v>
      </c>
      <c r="C448" t="s">
        <v>97</v>
      </c>
      <c r="D448" t="s">
        <v>57</v>
      </c>
      <c r="E448">
        <v>1</v>
      </c>
      <c r="F448" s="6">
        <v>55</v>
      </c>
      <c r="G448" s="7">
        <v>0</v>
      </c>
      <c r="H448" s="6">
        <v>55</v>
      </c>
      <c r="I448">
        <v>0</v>
      </c>
      <c r="J448" s="6">
        <v>0</v>
      </c>
      <c r="K448">
        <v>1</v>
      </c>
      <c r="L448" s="6">
        <v>55</v>
      </c>
      <c r="M448" s="6">
        <v>41.32</v>
      </c>
      <c r="N448" s="6">
        <v>13.68</v>
      </c>
      <c r="O448" s="6">
        <v>5.67</v>
      </c>
      <c r="P448" s="6">
        <v>8.01</v>
      </c>
      <c r="Q448" t="s">
        <v>59</v>
      </c>
      <c r="R448" t="s">
        <v>60</v>
      </c>
      <c r="S448" t="s">
        <v>76</v>
      </c>
    </row>
    <row r="449" spans="1:19" x14ac:dyDescent="0.35">
      <c r="A449" t="s">
        <v>566</v>
      </c>
      <c r="B449" s="5">
        <v>45865</v>
      </c>
      <c r="C449" t="s">
        <v>56</v>
      </c>
      <c r="D449" t="s">
        <v>153</v>
      </c>
      <c r="E449">
        <v>3</v>
      </c>
      <c r="F449" s="6">
        <v>40</v>
      </c>
      <c r="G449" s="7">
        <v>5</v>
      </c>
      <c r="H449" s="6">
        <v>114</v>
      </c>
      <c r="I449">
        <v>1</v>
      </c>
      <c r="J449" s="6">
        <v>38</v>
      </c>
      <c r="K449">
        <v>2</v>
      </c>
      <c r="L449" s="6">
        <v>76</v>
      </c>
      <c r="M449" s="6">
        <v>64.27</v>
      </c>
      <c r="N449" s="6">
        <v>11.73</v>
      </c>
      <c r="O449" s="6">
        <v>6.78</v>
      </c>
      <c r="P449" s="6">
        <v>4.95</v>
      </c>
      <c r="Q449" t="s">
        <v>75</v>
      </c>
      <c r="R449" t="s">
        <v>60</v>
      </c>
      <c r="S449" t="s">
        <v>61</v>
      </c>
    </row>
    <row r="450" spans="1:19" x14ac:dyDescent="0.35">
      <c r="A450" t="s">
        <v>567</v>
      </c>
      <c r="B450" s="5">
        <v>45952</v>
      </c>
      <c r="C450" t="s">
        <v>69</v>
      </c>
      <c r="D450" t="s">
        <v>70</v>
      </c>
      <c r="E450">
        <v>4</v>
      </c>
      <c r="F450" s="6">
        <v>210</v>
      </c>
      <c r="G450" s="7">
        <v>2</v>
      </c>
      <c r="H450" s="6">
        <v>823.2</v>
      </c>
      <c r="I450">
        <v>0</v>
      </c>
      <c r="J450" s="6">
        <v>0</v>
      </c>
      <c r="K450">
        <v>4</v>
      </c>
      <c r="L450" s="6">
        <v>823.2</v>
      </c>
      <c r="M450" s="6">
        <v>533.5</v>
      </c>
      <c r="N450" s="6">
        <v>289.7</v>
      </c>
      <c r="O450" s="6">
        <v>49.28</v>
      </c>
      <c r="P450" s="6">
        <v>240.42</v>
      </c>
      <c r="Q450" t="s">
        <v>65</v>
      </c>
      <c r="R450" t="s">
        <v>60</v>
      </c>
      <c r="S450" t="s">
        <v>67</v>
      </c>
    </row>
    <row r="451" spans="1:19" x14ac:dyDescent="0.35">
      <c r="A451" t="s">
        <v>568</v>
      </c>
      <c r="B451" s="5">
        <v>46003</v>
      </c>
      <c r="C451" t="s">
        <v>88</v>
      </c>
      <c r="D451" t="s">
        <v>57</v>
      </c>
      <c r="E451">
        <v>1</v>
      </c>
      <c r="F451" s="6">
        <v>30</v>
      </c>
      <c r="G451" s="7">
        <v>15</v>
      </c>
      <c r="H451" s="6">
        <v>25.5</v>
      </c>
      <c r="I451">
        <v>0</v>
      </c>
      <c r="J451" s="6">
        <v>0</v>
      </c>
      <c r="K451">
        <v>1</v>
      </c>
      <c r="L451" s="6">
        <v>25.5</v>
      </c>
      <c r="M451" s="6">
        <v>16.88</v>
      </c>
      <c r="N451" s="6">
        <v>8.6199999999999992</v>
      </c>
      <c r="O451" s="6">
        <v>2.46</v>
      </c>
      <c r="P451" s="6">
        <v>6.16</v>
      </c>
      <c r="Q451" t="s">
        <v>81</v>
      </c>
      <c r="R451" t="s">
        <v>60</v>
      </c>
      <c r="S451" t="s">
        <v>71</v>
      </c>
    </row>
    <row r="452" spans="1:19" x14ac:dyDescent="0.35">
      <c r="A452" t="s">
        <v>569</v>
      </c>
      <c r="B452" s="5">
        <v>45777</v>
      </c>
      <c r="C452" t="s">
        <v>63</v>
      </c>
      <c r="D452" t="s">
        <v>64</v>
      </c>
      <c r="E452">
        <v>10</v>
      </c>
      <c r="F452" s="6">
        <v>145</v>
      </c>
      <c r="G452" s="7">
        <v>10</v>
      </c>
      <c r="H452" s="6">
        <v>1305</v>
      </c>
      <c r="I452">
        <v>0</v>
      </c>
      <c r="J452" s="6">
        <v>0</v>
      </c>
      <c r="K452">
        <v>10</v>
      </c>
      <c r="L452" s="6">
        <v>1305</v>
      </c>
      <c r="M452" s="6">
        <v>1041.3699999999999</v>
      </c>
      <c r="N452" s="6">
        <v>263.63</v>
      </c>
      <c r="O452" s="6">
        <v>78.989999999999995</v>
      </c>
      <c r="P452" s="6">
        <v>184.64</v>
      </c>
      <c r="Q452" t="s">
        <v>65</v>
      </c>
      <c r="R452" t="s">
        <v>66</v>
      </c>
      <c r="S452" t="s">
        <v>71</v>
      </c>
    </row>
    <row r="453" spans="1:19" x14ac:dyDescent="0.35">
      <c r="A453" t="s">
        <v>570</v>
      </c>
      <c r="B453" s="5">
        <v>45857</v>
      </c>
      <c r="C453" t="s">
        <v>95</v>
      </c>
      <c r="D453" t="s">
        <v>64</v>
      </c>
      <c r="E453">
        <v>1</v>
      </c>
      <c r="F453" s="6">
        <v>52</v>
      </c>
      <c r="G453" s="7">
        <v>0</v>
      </c>
      <c r="H453" s="6">
        <v>52</v>
      </c>
      <c r="I453">
        <v>0</v>
      </c>
      <c r="J453" s="6">
        <v>0</v>
      </c>
      <c r="K453">
        <v>1</v>
      </c>
      <c r="L453" s="6">
        <v>52</v>
      </c>
      <c r="M453" s="6">
        <v>42.54</v>
      </c>
      <c r="N453" s="6">
        <v>9.4600000000000009</v>
      </c>
      <c r="O453" s="6">
        <v>6.46</v>
      </c>
      <c r="P453" s="6">
        <v>3</v>
      </c>
      <c r="Q453" t="s">
        <v>59</v>
      </c>
      <c r="R453" t="s">
        <v>86</v>
      </c>
      <c r="S453" t="s">
        <v>71</v>
      </c>
    </row>
    <row r="454" spans="1:19" x14ac:dyDescent="0.35">
      <c r="A454" t="s">
        <v>571</v>
      </c>
      <c r="B454" s="5">
        <v>45944</v>
      </c>
      <c r="C454" t="s">
        <v>109</v>
      </c>
      <c r="D454" t="s">
        <v>85</v>
      </c>
      <c r="E454">
        <v>2</v>
      </c>
      <c r="F454" s="6">
        <v>180</v>
      </c>
      <c r="G454" s="7">
        <v>5</v>
      </c>
      <c r="H454" s="6">
        <v>342</v>
      </c>
      <c r="I454">
        <v>0</v>
      </c>
      <c r="J454" s="6">
        <v>0</v>
      </c>
      <c r="K454">
        <v>2</v>
      </c>
      <c r="L454" s="6">
        <v>342</v>
      </c>
      <c r="M454" s="6">
        <v>242.2</v>
      </c>
      <c r="N454" s="6">
        <v>99.8</v>
      </c>
      <c r="O454" s="6">
        <v>32.33</v>
      </c>
      <c r="P454" s="6">
        <v>67.47</v>
      </c>
      <c r="Q454" t="s">
        <v>75</v>
      </c>
      <c r="R454" t="s">
        <v>60</v>
      </c>
      <c r="S454" t="s">
        <v>67</v>
      </c>
    </row>
    <row r="455" spans="1:19" x14ac:dyDescent="0.35">
      <c r="A455" t="s">
        <v>572</v>
      </c>
      <c r="B455" s="5">
        <v>45670</v>
      </c>
      <c r="C455" t="s">
        <v>104</v>
      </c>
      <c r="D455" t="s">
        <v>105</v>
      </c>
      <c r="E455">
        <v>4</v>
      </c>
      <c r="F455" s="6">
        <v>65</v>
      </c>
      <c r="G455" s="7">
        <v>0</v>
      </c>
      <c r="H455" s="6">
        <v>260</v>
      </c>
      <c r="I455">
        <v>0</v>
      </c>
      <c r="J455" s="6">
        <v>0</v>
      </c>
      <c r="K455">
        <v>4</v>
      </c>
      <c r="L455" s="6">
        <v>260</v>
      </c>
      <c r="M455" s="6">
        <v>174.82</v>
      </c>
      <c r="N455" s="6">
        <v>85.18</v>
      </c>
      <c r="O455" s="6">
        <v>18.190000000000001</v>
      </c>
      <c r="P455" s="6">
        <v>66.989999999999995</v>
      </c>
      <c r="Q455" t="s">
        <v>75</v>
      </c>
      <c r="R455" t="s">
        <v>60</v>
      </c>
      <c r="S455" t="s">
        <v>71</v>
      </c>
    </row>
    <row r="456" spans="1:19" x14ac:dyDescent="0.35">
      <c r="A456" t="s">
        <v>573</v>
      </c>
      <c r="B456" s="5">
        <v>45930</v>
      </c>
      <c r="C456" t="s">
        <v>78</v>
      </c>
      <c r="D456" t="s">
        <v>79</v>
      </c>
      <c r="E456">
        <v>1</v>
      </c>
      <c r="F456" s="6">
        <v>120</v>
      </c>
      <c r="G456" s="7">
        <v>0</v>
      </c>
      <c r="H456" s="6">
        <v>120</v>
      </c>
      <c r="I456">
        <v>0</v>
      </c>
      <c r="J456" s="6">
        <v>0</v>
      </c>
      <c r="K456">
        <v>1</v>
      </c>
      <c r="L456" s="6">
        <v>120</v>
      </c>
      <c r="M456" s="6">
        <v>81.08</v>
      </c>
      <c r="N456" s="6">
        <v>38.92</v>
      </c>
      <c r="O456" s="6">
        <v>11.32</v>
      </c>
      <c r="P456" s="6">
        <v>27.6</v>
      </c>
      <c r="Q456" t="s">
        <v>65</v>
      </c>
      <c r="R456" t="s">
        <v>82</v>
      </c>
      <c r="S456" t="s">
        <v>61</v>
      </c>
    </row>
    <row r="457" spans="1:19" x14ac:dyDescent="0.35">
      <c r="A457" t="s">
        <v>574</v>
      </c>
      <c r="B457" s="5">
        <v>45926</v>
      </c>
      <c r="C457" t="s">
        <v>78</v>
      </c>
      <c r="D457" t="s">
        <v>79</v>
      </c>
      <c r="E457">
        <v>8</v>
      </c>
      <c r="F457" s="6">
        <v>120</v>
      </c>
      <c r="G457" s="7">
        <v>10</v>
      </c>
      <c r="H457" s="6">
        <v>864</v>
      </c>
      <c r="I457">
        <v>0</v>
      </c>
      <c r="J457" s="6">
        <v>0</v>
      </c>
      <c r="K457">
        <v>8</v>
      </c>
      <c r="L457" s="6">
        <v>864</v>
      </c>
      <c r="M457" s="6">
        <v>662.16</v>
      </c>
      <c r="N457" s="6">
        <v>201.84</v>
      </c>
      <c r="O457" s="6">
        <v>97.52</v>
      </c>
      <c r="P457" s="6">
        <v>104.32</v>
      </c>
      <c r="Q457" t="s">
        <v>59</v>
      </c>
      <c r="R457" t="s">
        <v>66</v>
      </c>
      <c r="S457" t="s">
        <v>67</v>
      </c>
    </row>
    <row r="458" spans="1:19" x14ac:dyDescent="0.35">
      <c r="A458" t="s">
        <v>575</v>
      </c>
      <c r="B458" s="5">
        <v>45878</v>
      </c>
      <c r="C458" t="s">
        <v>117</v>
      </c>
      <c r="D458" t="s">
        <v>74</v>
      </c>
      <c r="E458">
        <v>3</v>
      </c>
      <c r="F458" s="6">
        <v>95</v>
      </c>
      <c r="G458" s="7">
        <v>5</v>
      </c>
      <c r="H458" s="6">
        <v>270.75</v>
      </c>
      <c r="I458">
        <v>0</v>
      </c>
      <c r="J458" s="6">
        <v>0</v>
      </c>
      <c r="K458">
        <v>3</v>
      </c>
      <c r="L458" s="6">
        <v>270.75</v>
      </c>
      <c r="M458" s="6">
        <v>201.19</v>
      </c>
      <c r="N458" s="6">
        <v>69.56</v>
      </c>
      <c r="O458" s="6">
        <v>33.79</v>
      </c>
      <c r="P458" s="6">
        <v>35.770000000000003</v>
      </c>
      <c r="Q458" t="s">
        <v>81</v>
      </c>
      <c r="R458" t="s">
        <v>82</v>
      </c>
      <c r="S458" t="s">
        <v>71</v>
      </c>
    </row>
    <row r="459" spans="1:19" x14ac:dyDescent="0.35">
      <c r="A459" t="s">
        <v>576</v>
      </c>
      <c r="B459" s="5">
        <v>45800</v>
      </c>
      <c r="C459" t="s">
        <v>90</v>
      </c>
      <c r="D459" t="s">
        <v>70</v>
      </c>
      <c r="E459">
        <v>4</v>
      </c>
      <c r="F459" s="6">
        <v>38</v>
      </c>
      <c r="G459" s="7">
        <v>5</v>
      </c>
      <c r="H459" s="6">
        <v>144.4</v>
      </c>
      <c r="I459">
        <v>0</v>
      </c>
      <c r="J459" s="6">
        <v>0</v>
      </c>
      <c r="K459">
        <v>4</v>
      </c>
      <c r="L459" s="6">
        <v>144.4</v>
      </c>
      <c r="M459" s="6">
        <v>91.1</v>
      </c>
      <c r="N459" s="6">
        <v>53.3</v>
      </c>
      <c r="O459" s="6">
        <v>9.84</v>
      </c>
      <c r="P459" s="6">
        <v>43.46</v>
      </c>
      <c r="Q459" t="s">
        <v>75</v>
      </c>
      <c r="R459" t="s">
        <v>86</v>
      </c>
      <c r="S459" t="s">
        <v>71</v>
      </c>
    </row>
    <row r="460" spans="1:19" x14ac:dyDescent="0.35">
      <c r="A460" t="s">
        <v>577</v>
      </c>
      <c r="B460" s="5">
        <v>45839</v>
      </c>
      <c r="C460" t="s">
        <v>69</v>
      </c>
      <c r="D460" t="s">
        <v>70</v>
      </c>
      <c r="E460">
        <v>3</v>
      </c>
      <c r="F460" s="6">
        <v>210</v>
      </c>
      <c r="G460" s="7">
        <v>0</v>
      </c>
      <c r="H460" s="6">
        <v>630</v>
      </c>
      <c r="I460">
        <v>0</v>
      </c>
      <c r="J460" s="6">
        <v>0</v>
      </c>
      <c r="K460">
        <v>3</v>
      </c>
      <c r="L460" s="6">
        <v>630</v>
      </c>
      <c r="M460" s="6">
        <v>395.88</v>
      </c>
      <c r="N460" s="6">
        <v>234.12</v>
      </c>
      <c r="O460" s="6">
        <v>53.58</v>
      </c>
      <c r="P460" s="6">
        <v>180.54</v>
      </c>
      <c r="Q460" t="s">
        <v>59</v>
      </c>
      <c r="R460" t="s">
        <v>66</v>
      </c>
      <c r="S460" t="s">
        <v>61</v>
      </c>
    </row>
    <row r="461" spans="1:19" x14ac:dyDescent="0.35">
      <c r="A461" t="s">
        <v>578</v>
      </c>
      <c r="B461" s="5">
        <v>45729</v>
      </c>
      <c r="C461" t="s">
        <v>95</v>
      </c>
      <c r="D461" t="s">
        <v>64</v>
      </c>
      <c r="E461">
        <v>5</v>
      </c>
      <c r="F461" s="6">
        <v>52</v>
      </c>
      <c r="G461" s="7">
        <v>0</v>
      </c>
      <c r="H461" s="6">
        <v>260</v>
      </c>
      <c r="I461">
        <v>0</v>
      </c>
      <c r="J461" s="6">
        <v>0</v>
      </c>
      <c r="K461">
        <v>5</v>
      </c>
      <c r="L461" s="6">
        <v>260</v>
      </c>
      <c r="M461" s="6">
        <v>182.17</v>
      </c>
      <c r="N461" s="6">
        <v>77.83</v>
      </c>
      <c r="O461" s="6">
        <v>29.09</v>
      </c>
      <c r="P461" s="6">
        <v>48.74</v>
      </c>
      <c r="Q461" t="s">
        <v>59</v>
      </c>
      <c r="R461" t="s">
        <v>82</v>
      </c>
      <c r="S461" t="s">
        <v>61</v>
      </c>
    </row>
    <row r="462" spans="1:19" x14ac:dyDescent="0.35">
      <c r="A462" t="s">
        <v>579</v>
      </c>
      <c r="B462" s="5">
        <v>45878</v>
      </c>
      <c r="C462" t="s">
        <v>114</v>
      </c>
      <c r="D462" t="s">
        <v>128</v>
      </c>
      <c r="E462">
        <v>3</v>
      </c>
      <c r="F462" s="6">
        <v>420</v>
      </c>
      <c r="G462" s="7">
        <v>0</v>
      </c>
      <c r="H462" s="6">
        <v>1260</v>
      </c>
      <c r="I462">
        <v>0</v>
      </c>
      <c r="J462" s="6">
        <v>0</v>
      </c>
      <c r="K462">
        <v>3</v>
      </c>
      <c r="L462" s="6">
        <v>1260</v>
      </c>
      <c r="M462" s="6">
        <v>797.99</v>
      </c>
      <c r="N462" s="6">
        <v>462.01</v>
      </c>
      <c r="O462" s="6">
        <v>128.66999999999999</v>
      </c>
      <c r="P462" s="6">
        <v>333.34</v>
      </c>
      <c r="Q462" t="s">
        <v>75</v>
      </c>
      <c r="R462" t="s">
        <v>66</v>
      </c>
      <c r="S462" t="s">
        <v>61</v>
      </c>
    </row>
    <row r="463" spans="1:19" x14ac:dyDescent="0.35">
      <c r="A463" t="s">
        <v>580</v>
      </c>
      <c r="B463" s="5">
        <v>45884</v>
      </c>
      <c r="C463" t="s">
        <v>109</v>
      </c>
      <c r="D463" t="s">
        <v>85</v>
      </c>
      <c r="E463">
        <v>2</v>
      </c>
      <c r="F463" s="6">
        <v>180</v>
      </c>
      <c r="G463" s="7">
        <v>0</v>
      </c>
      <c r="H463" s="6">
        <v>360</v>
      </c>
      <c r="I463">
        <v>0</v>
      </c>
      <c r="J463" s="6">
        <v>0</v>
      </c>
      <c r="K463">
        <v>2</v>
      </c>
      <c r="L463" s="6">
        <v>360</v>
      </c>
      <c r="M463" s="6">
        <v>287.95</v>
      </c>
      <c r="N463" s="6">
        <v>72.05</v>
      </c>
      <c r="O463" s="6">
        <v>20.52</v>
      </c>
      <c r="P463" s="6">
        <v>51.53</v>
      </c>
      <c r="Q463" t="s">
        <v>59</v>
      </c>
      <c r="R463" t="s">
        <v>60</v>
      </c>
      <c r="S463" t="s">
        <v>61</v>
      </c>
    </row>
    <row r="464" spans="1:19" x14ac:dyDescent="0.35">
      <c r="A464" t="s">
        <v>581</v>
      </c>
      <c r="B464" s="5">
        <v>45663</v>
      </c>
      <c r="C464" t="s">
        <v>107</v>
      </c>
      <c r="D464" t="s">
        <v>74</v>
      </c>
      <c r="E464">
        <v>2</v>
      </c>
      <c r="F464" s="6">
        <v>125</v>
      </c>
      <c r="G464" s="7">
        <v>0</v>
      </c>
      <c r="H464" s="6">
        <v>250</v>
      </c>
      <c r="I464">
        <v>0</v>
      </c>
      <c r="J464" s="6">
        <v>0</v>
      </c>
      <c r="K464">
        <v>2</v>
      </c>
      <c r="L464" s="6">
        <v>250</v>
      </c>
      <c r="M464" s="6">
        <v>157.49</v>
      </c>
      <c r="N464" s="6">
        <v>92.51</v>
      </c>
      <c r="O464" s="6">
        <v>24.45</v>
      </c>
      <c r="P464" s="6">
        <v>68.06</v>
      </c>
      <c r="Q464" t="s">
        <v>59</v>
      </c>
      <c r="R464" t="s">
        <v>86</v>
      </c>
      <c r="S464" t="s">
        <v>71</v>
      </c>
    </row>
    <row r="465" spans="1:19" x14ac:dyDescent="0.35">
      <c r="A465" t="s">
        <v>582</v>
      </c>
      <c r="B465" s="5">
        <v>45821</v>
      </c>
      <c r="C465" t="s">
        <v>100</v>
      </c>
      <c r="D465" t="s">
        <v>64</v>
      </c>
      <c r="E465">
        <v>3</v>
      </c>
      <c r="F465" s="6">
        <v>310</v>
      </c>
      <c r="G465" s="7">
        <v>2</v>
      </c>
      <c r="H465" s="6">
        <v>911.4</v>
      </c>
      <c r="I465">
        <v>0</v>
      </c>
      <c r="J465" s="6">
        <v>0</v>
      </c>
      <c r="K465">
        <v>3</v>
      </c>
      <c r="L465" s="6">
        <v>911.4</v>
      </c>
      <c r="M465" s="6">
        <v>675.82</v>
      </c>
      <c r="N465" s="6">
        <v>235.58</v>
      </c>
      <c r="O465" s="6">
        <v>112.13</v>
      </c>
      <c r="P465" s="6">
        <v>123.45</v>
      </c>
      <c r="Q465" t="s">
        <v>81</v>
      </c>
      <c r="R465" t="s">
        <v>66</v>
      </c>
      <c r="S465" t="s">
        <v>61</v>
      </c>
    </row>
    <row r="466" spans="1:19" x14ac:dyDescent="0.35">
      <c r="A466" t="s">
        <v>583</v>
      </c>
      <c r="B466" s="5">
        <v>46017</v>
      </c>
      <c r="C466" t="s">
        <v>107</v>
      </c>
      <c r="D466" t="s">
        <v>74</v>
      </c>
      <c r="E466">
        <v>4</v>
      </c>
      <c r="F466" s="6">
        <v>125</v>
      </c>
      <c r="G466" s="7">
        <v>2</v>
      </c>
      <c r="H466" s="6">
        <v>490</v>
      </c>
      <c r="I466">
        <v>0</v>
      </c>
      <c r="J466" s="6">
        <v>0</v>
      </c>
      <c r="K466">
        <v>4</v>
      </c>
      <c r="L466" s="6">
        <v>490</v>
      </c>
      <c r="M466" s="6">
        <v>420.24</v>
      </c>
      <c r="N466" s="6">
        <v>69.760000000000005</v>
      </c>
      <c r="O466" s="6">
        <v>37.83</v>
      </c>
      <c r="P466" s="6">
        <v>31.93</v>
      </c>
      <c r="Q466" t="s">
        <v>65</v>
      </c>
      <c r="R466" t="s">
        <v>60</v>
      </c>
      <c r="S466" t="s">
        <v>61</v>
      </c>
    </row>
    <row r="467" spans="1:19" x14ac:dyDescent="0.35">
      <c r="A467" t="s">
        <v>584</v>
      </c>
      <c r="B467" s="5">
        <v>45794</v>
      </c>
      <c r="C467" t="s">
        <v>114</v>
      </c>
      <c r="D467" t="s">
        <v>64</v>
      </c>
      <c r="E467">
        <v>1</v>
      </c>
      <c r="F467" s="6">
        <v>420</v>
      </c>
      <c r="G467" s="7">
        <v>15</v>
      </c>
      <c r="H467" s="6">
        <v>357</v>
      </c>
      <c r="I467">
        <v>0</v>
      </c>
      <c r="J467" s="6">
        <v>0</v>
      </c>
      <c r="K467">
        <v>1</v>
      </c>
      <c r="L467" s="6">
        <v>357</v>
      </c>
      <c r="M467" s="6">
        <v>267.69</v>
      </c>
      <c r="N467" s="6">
        <v>89.31</v>
      </c>
      <c r="O467" s="6">
        <v>44.67</v>
      </c>
      <c r="P467" s="6">
        <v>44.64</v>
      </c>
      <c r="Q467" t="s">
        <v>59</v>
      </c>
      <c r="R467" t="s">
        <v>86</v>
      </c>
      <c r="S467" t="s">
        <v>61</v>
      </c>
    </row>
    <row r="468" spans="1:19" x14ac:dyDescent="0.35">
      <c r="A468" t="s">
        <v>585</v>
      </c>
      <c r="B468" s="5">
        <v>45775</v>
      </c>
      <c r="C468" t="s">
        <v>69</v>
      </c>
      <c r="D468" t="s">
        <v>70</v>
      </c>
      <c r="E468">
        <v>2</v>
      </c>
      <c r="F468" s="6">
        <v>210</v>
      </c>
      <c r="G468" s="7">
        <v>0</v>
      </c>
      <c r="H468" s="6">
        <v>420</v>
      </c>
      <c r="I468">
        <v>0</v>
      </c>
      <c r="J468" s="6">
        <v>0</v>
      </c>
      <c r="K468">
        <v>2</v>
      </c>
      <c r="L468" s="6">
        <v>420</v>
      </c>
      <c r="M468" s="6">
        <v>305.64</v>
      </c>
      <c r="N468" s="6">
        <v>114.36</v>
      </c>
      <c r="O468" s="6">
        <v>27.36</v>
      </c>
      <c r="P468" s="6">
        <v>87</v>
      </c>
      <c r="R468" t="s">
        <v>66</v>
      </c>
      <c r="S468" t="s">
        <v>71</v>
      </c>
    </row>
    <row r="469" spans="1:19" x14ac:dyDescent="0.35">
      <c r="A469" t="s">
        <v>586</v>
      </c>
      <c r="B469" s="5">
        <v>45770</v>
      </c>
      <c r="C469" t="s">
        <v>104</v>
      </c>
      <c r="D469" t="s">
        <v>105</v>
      </c>
      <c r="E469">
        <v>5</v>
      </c>
      <c r="F469" s="6">
        <v>65</v>
      </c>
      <c r="G469" s="7">
        <v>2</v>
      </c>
      <c r="H469" s="6">
        <v>318.5</v>
      </c>
      <c r="I469">
        <v>0</v>
      </c>
      <c r="J469" s="6">
        <v>0</v>
      </c>
      <c r="K469">
        <v>5</v>
      </c>
      <c r="L469" s="6">
        <v>318.5</v>
      </c>
      <c r="M469" s="6">
        <v>266.60000000000002</v>
      </c>
      <c r="N469" s="6">
        <v>51.9</v>
      </c>
      <c r="O469" s="6">
        <v>35.21</v>
      </c>
      <c r="P469" s="6">
        <v>16.690000000000001</v>
      </c>
      <c r="Q469" t="s">
        <v>59</v>
      </c>
      <c r="R469" t="s">
        <v>60</v>
      </c>
      <c r="S469" t="s">
        <v>61</v>
      </c>
    </row>
    <row r="470" spans="1:19" x14ac:dyDescent="0.35">
      <c r="A470" t="s">
        <v>587</v>
      </c>
      <c r="B470" s="5">
        <v>45789</v>
      </c>
      <c r="C470" t="s">
        <v>97</v>
      </c>
      <c r="D470" t="s">
        <v>57</v>
      </c>
      <c r="E470">
        <v>4</v>
      </c>
      <c r="F470" s="6">
        <v>55</v>
      </c>
      <c r="G470" s="7">
        <v>0</v>
      </c>
      <c r="H470" s="6">
        <v>220</v>
      </c>
      <c r="I470">
        <v>0</v>
      </c>
      <c r="J470" s="6">
        <v>0</v>
      </c>
      <c r="K470">
        <v>4</v>
      </c>
      <c r="L470" s="6">
        <v>220</v>
      </c>
      <c r="M470" s="6">
        <v>157.65</v>
      </c>
      <c r="N470" s="6">
        <v>62.35</v>
      </c>
      <c r="O470" s="6">
        <v>26.76</v>
      </c>
      <c r="P470" s="6">
        <v>35.590000000000003</v>
      </c>
      <c r="Q470" t="s">
        <v>59</v>
      </c>
      <c r="R470" t="s">
        <v>86</v>
      </c>
      <c r="S470" t="s">
        <v>76</v>
      </c>
    </row>
    <row r="471" spans="1:19" x14ac:dyDescent="0.35">
      <c r="A471" t="s">
        <v>588</v>
      </c>
      <c r="B471" s="5">
        <v>45773</v>
      </c>
      <c r="C471" t="s">
        <v>117</v>
      </c>
      <c r="D471" t="s">
        <v>74</v>
      </c>
      <c r="E471">
        <v>2</v>
      </c>
      <c r="F471" s="6">
        <v>95</v>
      </c>
      <c r="G471" s="7">
        <v>0</v>
      </c>
      <c r="H471" s="6">
        <v>190</v>
      </c>
      <c r="I471">
        <v>0</v>
      </c>
      <c r="J471" s="6">
        <v>0</v>
      </c>
      <c r="K471">
        <v>2</v>
      </c>
      <c r="L471" s="6">
        <v>190</v>
      </c>
      <c r="M471" s="6">
        <v>126.22</v>
      </c>
      <c r="N471" s="6">
        <v>63.78</v>
      </c>
      <c r="O471" s="6">
        <v>16.04</v>
      </c>
      <c r="P471" s="6">
        <v>47.74</v>
      </c>
      <c r="Q471" t="s">
        <v>81</v>
      </c>
      <c r="R471" t="s">
        <v>66</v>
      </c>
      <c r="S471" t="s">
        <v>71</v>
      </c>
    </row>
    <row r="472" spans="1:19" x14ac:dyDescent="0.35">
      <c r="A472" t="s">
        <v>589</v>
      </c>
      <c r="B472" s="5">
        <v>45682</v>
      </c>
      <c r="C472" t="s">
        <v>114</v>
      </c>
      <c r="D472" t="s">
        <v>64</v>
      </c>
      <c r="E472">
        <v>1</v>
      </c>
      <c r="F472" s="6">
        <v>420</v>
      </c>
      <c r="G472" s="7">
        <v>2</v>
      </c>
      <c r="H472" s="6">
        <v>411.6</v>
      </c>
      <c r="I472">
        <v>0</v>
      </c>
      <c r="J472" s="6">
        <v>0</v>
      </c>
      <c r="K472">
        <v>1</v>
      </c>
      <c r="L472" s="6">
        <v>411.6</v>
      </c>
      <c r="M472" s="6">
        <v>349.03</v>
      </c>
      <c r="N472" s="6">
        <v>62.57</v>
      </c>
      <c r="O472" s="6">
        <v>44.75</v>
      </c>
      <c r="P472" s="6">
        <v>17.82</v>
      </c>
      <c r="Q472" t="s">
        <v>75</v>
      </c>
      <c r="R472" t="s">
        <v>86</v>
      </c>
      <c r="S472" t="s">
        <v>67</v>
      </c>
    </row>
    <row r="473" spans="1:19" x14ac:dyDescent="0.35">
      <c r="A473" t="s">
        <v>590</v>
      </c>
      <c r="B473" s="5">
        <v>45884</v>
      </c>
      <c r="C473" t="s">
        <v>125</v>
      </c>
      <c r="D473" t="s">
        <v>85</v>
      </c>
      <c r="E473">
        <v>2</v>
      </c>
      <c r="F473" s="6">
        <v>125</v>
      </c>
      <c r="G473" s="7">
        <v>0</v>
      </c>
      <c r="H473" s="6">
        <v>250</v>
      </c>
      <c r="I473">
        <v>1</v>
      </c>
      <c r="J473" s="6">
        <v>125</v>
      </c>
      <c r="K473">
        <v>1</v>
      </c>
      <c r="L473" s="6">
        <v>125</v>
      </c>
      <c r="M473" s="6">
        <v>84.04</v>
      </c>
      <c r="N473" s="6">
        <v>40.96</v>
      </c>
      <c r="O473" s="6">
        <v>15.57</v>
      </c>
      <c r="P473" s="6">
        <v>25.39</v>
      </c>
      <c r="Q473" t="s">
        <v>81</v>
      </c>
      <c r="R473" t="s">
        <v>86</v>
      </c>
      <c r="S473" t="s">
        <v>76</v>
      </c>
    </row>
    <row r="474" spans="1:19" x14ac:dyDescent="0.35">
      <c r="A474" t="s">
        <v>591</v>
      </c>
      <c r="B474" s="5">
        <v>45849</v>
      </c>
      <c r="C474" t="s">
        <v>95</v>
      </c>
      <c r="D474" t="s">
        <v>64</v>
      </c>
      <c r="E474">
        <v>2</v>
      </c>
      <c r="F474" s="6">
        <v>52</v>
      </c>
      <c r="G474" s="7">
        <v>2</v>
      </c>
      <c r="H474" s="6">
        <v>101.92</v>
      </c>
      <c r="I474">
        <v>0</v>
      </c>
      <c r="J474" s="6">
        <v>0</v>
      </c>
      <c r="K474">
        <v>2</v>
      </c>
      <c r="L474" s="6">
        <v>101.92</v>
      </c>
      <c r="M474" s="6">
        <v>86.25</v>
      </c>
      <c r="N474" s="6">
        <v>15.67</v>
      </c>
      <c r="O474" s="6">
        <v>7.17</v>
      </c>
      <c r="P474" s="6">
        <v>8.5</v>
      </c>
      <c r="Q474" t="s">
        <v>75</v>
      </c>
      <c r="R474" t="s">
        <v>82</v>
      </c>
      <c r="S474" t="s">
        <v>67</v>
      </c>
    </row>
    <row r="475" spans="1:19" x14ac:dyDescent="0.35">
      <c r="A475" t="s">
        <v>592</v>
      </c>
      <c r="B475" s="5">
        <v>46017</v>
      </c>
      <c r="C475" t="s">
        <v>125</v>
      </c>
      <c r="D475" t="s">
        <v>85</v>
      </c>
      <c r="E475">
        <v>1</v>
      </c>
      <c r="F475" s="6">
        <v>125</v>
      </c>
      <c r="G475" s="7">
        <v>15</v>
      </c>
      <c r="H475" s="6">
        <v>106.25</v>
      </c>
      <c r="I475">
        <v>0</v>
      </c>
      <c r="J475" s="6">
        <v>0</v>
      </c>
      <c r="K475">
        <v>1</v>
      </c>
      <c r="L475" s="6">
        <v>106.25</v>
      </c>
      <c r="M475" s="6">
        <v>71.349999999999994</v>
      </c>
      <c r="N475" s="6">
        <v>34.9</v>
      </c>
      <c r="O475" s="6">
        <v>10.37</v>
      </c>
      <c r="P475" s="6">
        <v>24.53</v>
      </c>
      <c r="Q475" t="s">
        <v>65</v>
      </c>
      <c r="R475" t="s">
        <v>60</v>
      </c>
      <c r="S475" t="s">
        <v>71</v>
      </c>
    </row>
    <row r="476" spans="1:19" x14ac:dyDescent="0.35">
      <c r="A476" t="s">
        <v>593</v>
      </c>
      <c r="B476" s="5">
        <v>45877</v>
      </c>
      <c r="C476" t="s">
        <v>264</v>
      </c>
      <c r="D476" t="s">
        <v>85</v>
      </c>
      <c r="E476">
        <v>3</v>
      </c>
      <c r="F476" s="6">
        <v>20</v>
      </c>
      <c r="G476" s="7">
        <v>0</v>
      </c>
      <c r="H476" s="6">
        <v>60</v>
      </c>
      <c r="I476">
        <v>0</v>
      </c>
      <c r="J476" s="6">
        <v>0</v>
      </c>
      <c r="K476">
        <v>3</v>
      </c>
      <c r="L476" s="6">
        <v>60</v>
      </c>
      <c r="M476" s="6">
        <v>39.68</v>
      </c>
      <c r="N476" s="6">
        <v>20.32</v>
      </c>
      <c r="O476" s="6">
        <v>4.42</v>
      </c>
      <c r="P476" s="6">
        <v>15.9</v>
      </c>
      <c r="Q476" t="s">
        <v>81</v>
      </c>
      <c r="R476" t="s">
        <v>82</v>
      </c>
      <c r="S476" t="s">
        <v>67</v>
      </c>
    </row>
    <row r="477" spans="1:19" x14ac:dyDescent="0.35">
      <c r="A477" t="s">
        <v>594</v>
      </c>
      <c r="B477" s="5">
        <v>45733</v>
      </c>
      <c r="C477" t="s">
        <v>56</v>
      </c>
      <c r="D477" t="s">
        <v>57</v>
      </c>
      <c r="E477">
        <v>8</v>
      </c>
      <c r="F477" s="6">
        <v>40</v>
      </c>
      <c r="G477" s="7">
        <v>0</v>
      </c>
      <c r="H477" s="6">
        <v>320</v>
      </c>
      <c r="I477">
        <v>0</v>
      </c>
      <c r="J477" s="6">
        <v>0</v>
      </c>
      <c r="K477">
        <v>8</v>
      </c>
      <c r="L477" s="6">
        <v>320</v>
      </c>
      <c r="M477" s="6">
        <v>225.09</v>
      </c>
      <c r="N477" s="6">
        <v>94.91</v>
      </c>
      <c r="O477" s="6">
        <v>17.350000000000001</v>
      </c>
      <c r="P477" s="6">
        <v>77.56</v>
      </c>
      <c r="Q477" t="s">
        <v>75</v>
      </c>
      <c r="R477" t="s">
        <v>60</v>
      </c>
      <c r="S477" t="s">
        <v>71</v>
      </c>
    </row>
    <row r="478" spans="1:19" x14ac:dyDescent="0.35">
      <c r="A478" t="s">
        <v>595</v>
      </c>
      <c r="B478" s="5">
        <v>45992</v>
      </c>
      <c r="C478" t="s">
        <v>596</v>
      </c>
      <c r="D478" t="s">
        <v>57</v>
      </c>
      <c r="E478">
        <v>10</v>
      </c>
      <c r="F478" s="6">
        <v>30</v>
      </c>
      <c r="G478" s="7">
        <v>2</v>
      </c>
      <c r="H478" s="6">
        <v>294</v>
      </c>
      <c r="I478">
        <v>0</v>
      </c>
      <c r="J478" s="6">
        <v>0</v>
      </c>
      <c r="K478">
        <v>10</v>
      </c>
      <c r="L478" s="6">
        <v>294</v>
      </c>
      <c r="M478" s="6">
        <v>192.01</v>
      </c>
      <c r="N478" s="6">
        <v>101.99</v>
      </c>
      <c r="O478" s="6">
        <v>35.81</v>
      </c>
      <c r="P478" s="6">
        <v>66.180000000000007</v>
      </c>
      <c r="Q478" t="s">
        <v>75</v>
      </c>
      <c r="R478" t="s">
        <v>82</v>
      </c>
      <c r="S478" t="s">
        <v>71</v>
      </c>
    </row>
    <row r="479" spans="1:19" x14ac:dyDescent="0.35">
      <c r="A479" t="s">
        <v>597</v>
      </c>
      <c r="B479" s="5">
        <v>45802</v>
      </c>
      <c r="C479" t="s">
        <v>95</v>
      </c>
      <c r="D479" t="s">
        <v>64</v>
      </c>
      <c r="E479">
        <v>2</v>
      </c>
      <c r="F479" s="6">
        <v>52</v>
      </c>
      <c r="G479" s="7">
        <v>0</v>
      </c>
      <c r="H479" s="6">
        <v>104</v>
      </c>
      <c r="I479">
        <v>0</v>
      </c>
      <c r="J479" s="6">
        <v>0</v>
      </c>
      <c r="K479">
        <v>2</v>
      </c>
      <c r="L479" s="6">
        <v>104</v>
      </c>
      <c r="M479" s="6">
        <v>84.59</v>
      </c>
      <c r="N479" s="6">
        <v>19.41</v>
      </c>
      <c r="O479" s="6">
        <v>6.94</v>
      </c>
      <c r="P479" s="6">
        <v>12.47</v>
      </c>
      <c r="Q479" t="s">
        <v>81</v>
      </c>
      <c r="R479" t="s">
        <v>66</v>
      </c>
      <c r="S479" t="s">
        <v>61</v>
      </c>
    </row>
    <row r="480" spans="1:19" x14ac:dyDescent="0.35">
      <c r="A480" t="s">
        <v>598</v>
      </c>
      <c r="B480" s="5">
        <v>45940</v>
      </c>
      <c r="C480" t="s">
        <v>599</v>
      </c>
      <c r="D480" t="s">
        <v>70</v>
      </c>
      <c r="E480">
        <v>6</v>
      </c>
      <c r="F480" s="6">
        <v>110</v>
      </c>
      <c r="G480" s="7">
        <v>2</v>
      </c>
      <c r="H480" s="6">
        <v>646.79999999999995</v>
      </c>
      <c r="I480">
        <v>0</v>
      </c>
      <c r="J480" s="6">
        <v>0</v>
      </c>
      <c r="K480">
        <v>6</v>
      </c>
      <c r="L480" s="6">
        <v>646.79999999999995</v>
      </c>
      <c r="M480" s="6">
        <v>429.37</v>
      </c>
      <c r="N480" s="6">
        <v>217.43</v>
      </c>
      <c r="O480" s="6">
        <v>62.17</v>
      </c>
      <c r="P480" s="6">
        <v>155.26</v>
      </c>
      <c r="Q480" t="s">
        <v>75</v>
      </c>
      <c r="R480" t="s">
        <v>66</v>
      </c>
      <c r="S480" t="s">
        <v>76</v>
      </c>
    </row>
    <row r="481" spans="1:19" x14ac:dyDescent="0.35">
      <c r="A481" t="s">
        <v>600</v>
      </c>
      <c r="B481" s="5">
        <v>45960</v>
      </c>
      <c r="C481" t="s">
        <v>95</v>
      </c>
      <c r="D481" t="s">
        <v>128</v>
      </c>
      <c r="E481">
        <v>1</v>
      </c>
      <c r="F481" s="6">
        <v>52</v>
      </c>
      <c r="G481" s="7">
        <v>2</v>
      </c>
      <c r="H481" s="6">
        <v>50.96</v>
      </c>
      <c r="I481">
        <v>0</v>
      </c>
      <c r="J481" s="6">
        <v>0</v>
      </c>
      <c r="K481">
        <v>1</v>
      </c>
      <c r="L481" s="6">
        <v>50.96</v>
      </c>
      <c r="M481" s="6">
        <v>32.53</v>
      </c>
      <c r="N481" s="6">
        <v>18.43</v>
      </c>
      <c r="O481" s="6">
        <v>5</v>
      </c>
      <c r="P481" s="6">
        <v>13.43</v>
      </c>
      <c r="Q481" t="s">
        <v>75</v>
      </c>
      <c r="R481" t="s">
        <v>82</v>
      </c>
      <c r="S481" t="s">
        <v>61</v>
      </c>
    </row>
    <row r="482" spans="1:19" x14ac:dyDescent="0.35">
      <c r="A482" t="s">
        <v>601</v>
      </c>
      <c r="B482" s="5">
        <v>45670</v>
      </c>
      <c r="C482" t="s">
        <v>109</v>
      </c>
      <c r="D482" t="s">
        <v>85</v>
      </c>
      <c r="E482">
        <v>1</v>
      </c>
      <c r="F482" s="6">
        <v>180</v>
      </c>
      <c r="G482" s="7">
        <v>2</v>
      </c>
      <c r="H482" s="6">
        <v>176.4</v>
      </c>
      <c r="I482">
        <v>0</v>
      </c>
      <c r="J482" s="6">
        <v>0</v>
      </c>
      <c r="K482">
        <v>1</v>
      </c>
      <c r="L482" s="6">
        <v>176.4</v>
      </c>
      <c r="M482" s="6">
        <v>150.47999999999999</v>
      </c>
      <c r="N482" s="6">
        <v>25.92</v>
      </c>
      <c r="O482" s="6">
        <v>18.91</v>
      </c>
      <c r="P482" s="6">
        <v>7.01</v>
      </c>
      <c r="R482" t="s">
        <v>86</v>
      </c>
      <c r="S482" t="s">
        <v>61</v>
      </c>
    </row>
    <row r="483" spans="1:19" x14ac:dyDescent="0.35">
      <c r="A483" t="s">
        <v>602</v>
      </c>
      <c r="B483" s="5">
        <v>45757</v>
      </c>
      <c r="C483" t="s">
        <v>73</v>
      </c>
      <c r="D483" t="s">
        <v>74</v>
      </c>
      <c r="E483">
        <v>3</v>
      </c>
      <c r="F483" s="6">
        <v>280</v>
      </c>
      <c r="G483" s="7">
        <v>10</v>
      </c>
      <c r="H483" s="6">
        <v>756</v>
      </c>
      <c r="I483">
        <v>0</v>
      </c>
      <c r="J483" s="6">
        <v>0</v>
      </c>
      <c r="K483">
        <v>3</v>
      </c>
      <c r="L483" s="6">
        <v>756</v>
      </c>
      <c r="M483" s="6">
        <v>588.79</v>
      </c>
      <c r="N483" s="6">
        <v>167.21</v>
      </c>
      <c r="O483" s="6">
        <v>59.25</v>
      </c>
      <c r="P483" s="6">
        <v>107.96</v>
      </c>
      <c r="Q483" t="s">
        <v>59</v>
      </c>
      <c r="R483" t="s">
        <v>86</v>
      </c>
      <c r="S483" t="s">
        <v>71</v>
      </c>
    </row>
    <row r="484" spans="1:19" x14ac:dyDescent="0.35">
      <c r="A484" t="s">
        <v>603</v>
      </c>
      <c r="B484" s="5">
        <v>46012</v>
      </c>
      <c r="C484" t="s">
        <v>117</v>
      </c>
      <c r="D484" t="s">
        <v>74</v>
      </c>
      <c r="E484">
        <v>1</v>
      </c>
      <c r="F484" s="6">
        <v>95</v>
      </c>
      <c r="G484" s="7">
        <v>0</v>
      </c>
      <c r="H484" s="6">
        <v>95</v>
      </c>
      <c r="I484">
        <v>0</v>
      </c>
      <c r="J484" s="6">
        <v>0</v>
      </c>
      <c r="K484">
        <v>1</v>
      </c>
      <c r="L484" s="6">
        <v>95</v>
      </c>
      <c r="M484" s="6">
        <v>68.89</v>
      </c>
      <c r="N484" s="6">
        <v>26.11</v>
      </c>
      <c r="O484" s="6">
        <v>12.06</v>
      </c>
      <c r="P484" s="6">
        <v>14.05</v>
      </c>
      <c r="Q484" t="s">
        <v>65</v>
      </c>
      <c r="R484" t="s">
        <v>86</v>
      </c>
      <c r="S484" t="s">
        <v>67</v>
      </c>
    </row>
    <row r="485" spans="1:19" x14ac:dyDescent="0.35">
      <c r="A485" t="s">
        <v>604</v>
      </c>
      <c r="B485" s="5">
        <v>45844</v>
      </c>
      <c r="C485" t="s">
        <v>109</v>
      </c>
      <c r="D485" t="s">
        <v>85</v>
      </c>
      <c r="E485">
        <v>4</v>
      </c>
      <c r="F485" s="6">
        <v>180</v>
      </c>
      <c r="G485" s="7">
        <v>2</v>
      </c>
      <c r="H485" s="6">
        <v>705.6</v>
      </c>
      <c r="I485">
        <v>0</v>
      </c>
      <c r="J485" s="6">
        <v>0</v>
      </c>
      <c r="K485">
        <v>4</v>
      </c>
      <c r="L485" s="6">
        <v>705.6</v>
      </c>
      <c r="M485" s="6">
        <v>449.34</v>
      </c>
      <c r="N485" s="6">
        <v>256.26</v>
      </c>
      <c r="O485" s="6">
        <v>45.54</v>
      </c>
      <c r="P485" s="6">
        <v>210.72</v>
      </c>
      <c r="Q485" t="s">
        <v>65</v>
      </c>
      <c r="R485" t="s">
        <v>86</v>
      </c>
      <c r="S485" t="s">
        <v>61</v>
      </c>
    </row>
    <row r="486" spans="1:19" x14ac:dyDescent="0.35">
      <c r="A486" t="s">
        <v>605</v>
      </c>
      <c r="B486" s="5">
        <v>45937</v>
      </c>
      <c r="C486" t="s">
        <v>63</v>
      </c>
      <c r="D486" t="s">
        <v>64</v>
      </c>
      <c r="E486">
        <v>2</v>
      </c>
      <c r="F486" s="6">
        <v>145</v>
      </c>
      <c r="G486" s="7">
        <v>0</v>
      </c>
      <c r="H486" s="6">
        <v>290</v>
      </c>
      <c r="I486">
        <v>0</v>
      </c>
      <c r="J486" s="6">
        <v>0</v>
      </c>
      <c r="K486">
        <v>2</v>
      </c>
      <c r="L486" s="6">
        <v>290</v>
      </c>
      <c r="M486" s="6">
        <v>241</v>
      </c>
      <c r="N486" s="6">
        <v>49</v>
      </c>
      <c r="O486" s="6">
        <v>19.87</v>
      </c>
      <c r="P486" s="6">
        <v>29.13</v>
      </c>
      <c r="Q486" t="s">
        <v>59</v>
      </c>
      <c r="R486" t="s">
        <v>60</v>
      </c>
      <c r="S486" t="s">
        <v>76</v>
      </c>
    </row>
    <row r="487" spans="1:19" x14ac:dyDescent="0.35">
      <c r="A487" t="s">
        <v>606</v>
      </c>
      <c r="B487" s="5">
        <v>45782</v>
      </c>
      <c r="C487" t="s">
        <v>97</v>
      </c>
      <c r="D487" t="s">
        <v>57</v>
      </c>
      <c r="E487">
        <v>2</v>
      </c>
      <c r="F487" s="6">
        <v>55</v>
      </c>
      <c r="G487" s="7">
        <v>5</v>
      </c>
      <c r="H487" s="6">
        <v>104.5</v>
      </c>
      <c r="I487">
        <v>0</v>
      </c>
      <c r="J487" s="6">
        <v>0</v>
      </c>
      <c r="K487">
        <v>2</v>
      </c>
      <c r="L487" s="6">
        <v>104.5</v>
      </c>
      <c r="M487" s="6">
        <v>66.05</v>
      </c>
      <c r="N487" s="6">
        <v>38.450000000000003</v>
      </c>
      <c r="O487" s="6">
        <v>8.4</v>
      </c>
      <c r="P487" s="6">
        <v>30.05</v>
      </c>
      <c r="Q487" t="s">
        <v>75</v>
      </c>
      <c r="R487" t="s">
        <v>86</v>
      </c>
      <c r="S487" t="s">
        <v>76</v>
      </c>
    </row>
    <row r="488" spans="1:19" x14ac:dyDescent="0.35">
      <c r="A488" t="s">
        <v>607</v>
      </c>
      <c r="B488" s="5">
        <v>45830</v>
      </c>
      <c r="C488" t="s">
        <v>84</v>
      </c>
      <c r="D488" t="s">
        <v>85</v>
      </c>
      <c r="E488">
        <v>2</v>
      </c>
      <c r="F488" s="6">
        <v>48</v>
      </c>
      <c r="G488" s="7">
        <v>0</v>
      </c>
      <c r="H488" s="6">
        <v>96</v>
      </c>
      <c r="I488">
        <v>0</v>
      </c>
      <c r="J488" s="6">
        <v>0</v>
      </c>
      <c r="K488">
        <v>2</v>
      </c>
      <c r="L488" s="6">
        <v>96</v>
      </c>
      <c r="M488" s="6">
        <v>77.510000000000005</v>
      </c>
      <c r="N488" s="6">
        <v>18.489999999999998</v>
      </c>
      <c r="O488" s="6">
        <v>8.2100000000000009</v>
      </c>
      <c r="P488" s="6">
        <v>10.28</v>
      </c>
      <c r="Q488" t="s">
        <v>59</v>
      </c>
      <c r="R488" t="s">
        <v>66</v>
      </c>
      <c r="S488" t="s">
        <v>71</v>
      </c>
    </row>
    <row r="489" spans="1:19" x14ac:dyDescent="0.35">
      <c r="A489" t="s">
        <v>608</v>
      </c>
      <c r="B489" s="5">
        <v>45763</v>
      </c>
      <c r="C489" t="s">
        <v>109</v>
      </c>
      <c r="D489" t="s">
        <v>85</v>
      </c>
      <c r="E489">
        <v>8</v>
      </c>
      <c r="F489" s="6">
        <v>180</v>
      </c>
      <c r="G489" s="7">
        <v>0</v>
      </c>
      <c r="H489" s="6">
        <v>1440</v>
      </c>
      <c r="I489">
        <v>0</v>
      </c>
      <c r="J489" s="6">
        <v>0</v>
      </c>
      <c r="K489">
        <v>8</v>
      </c>
      <c r="L489" s="6">
        <v>1440</v>
      </c>
      <c r="M489" s="6">
        <v>929.99</v>
      </c>
      <c r="N489" s="6">
        <v>510.01</v>
      </c>
      <c r="O489" s="6">
        <v>129.65</v>
      </c>
      <c r="P489" s="6">
        <v>380.36</v>
      </c>
      <c r="Q489" t="s">
        <v>81</v>
      </c>
      <c r="R489" t="s">
        <v>60</v>
      </c>
      <c r="S489" t="s">
        <v>61</v>
      </c>
    </row>
    <row r="490" spans="1:19" x14ac:dyDescent="0.35">
      <c r="A490" t="s">
        <v>609</v>
      </c>
      <c r="B490" s="5">
        <v>45796</v>
      </c>
      <c r="C490" t="s">
        <v>97</v>
      </c>
      <c r="D490" t="s">
        <v>57</v>
      </c>
      <c r="E490">
        <v>2</v>
      </c>
      <c r="F490" s="6">
        <v>55</v>
      </c>
      <c r="G490" s="7">
        <v>2</v>
      </c>
      <c r="H490" s="6">
        <v>107.8</v>
      </c>
      <c r="I490">
        <v>0</v>
      </c>
      <c r="J490" s="6">
        <v>0</v>
      </c>
      <c r="K490">
        <v>2</v>
      </c>
      <c r="L490" s="6">
        <v>107.8</v>
      </c>
      <c r="M490" s="6">
        <v>75.25</v>
      </c>
      <c r="N490" s="6">
        <v>32.549999999999997</v>
      </c>
      <c r="O490" s="6">
        <v>7.74</v>
      </c>
      <c r="P490" s="6">
        <v>24.81</v>
      </c>
      <c r="Q490" t="s">
        <v>59</v>
      </c>
      <c r="R490" t="s">
        <v>66</v>
      </c>
      <c r="S490" t="s">
        <v>61</v>
      </c>
    </row>
    <row r="491" spans="1:19" x14ac:dyDescent="0.35">
      <c r="A491" t="s">
        <v>610</v>
      </c>
      <c r="B491" s="5">
        <v>45948</v>
      </c>
      <c r="C491" t="s">
        <v>63</v>
      </c>
      <c r="D491" t="s">
        <v>64</v>
      </c>
      <c r="E491">
        <v>2</v>
      </c>
      <c r="F491" s="6">
        <v>145</v>
      </c>
      <c r="G491" s="7">
        <v>0</v>
      </c>
      <c r="H491" s="6">
        <v>290</v>
      </c>
      <c r="I491">
        <v>0</v>
      </c>
      <c r="J491" s="6">
        <v>0</v>
      </c>
      <c r="K491">
        <v>2</v>
      </c>
      <c r="L491" s="6">
        <v>290</v>
      </c>
      <c r="M491" s="6">
        <v>194.48</v>
      </c>
      <c r="N491" s="6">
        <v>95.52</v>
      </c>
      <c r="O491" s="6">
        <v>33.53</v>
      </c>
      <c r="P491" s="6">
        <v>61.99</v>
      </c>
      <c r="Q491" t="s">
        <v>81</v>
      </c>
      <c r="R491" t="s">
        <v>66</v>
      </c>
      <c r="S491" t="s">
        <v>61</v>
      </c>
    </row>
    <row r="492" spans="1:19" x14ac:dyDescent="0.35">
      <c r="A492" t="s">
        <v>611</v>
      </c>
      <c r="B492" s="5">
        <v>45927</v>
      </c>
      <c r="C492" t="s">
        <v>117</v>
      </c>
      <c r="D492" t="s">
        <v>74</v>
      </c>
      <c r="E492">
        <v>3</v>
      </c>
      <c r="F492" s="6">
        <v>95</v>
      </c>
      <c r="G492" s="7">
        <v>0</v>
      </c>
      <c r="H492" s="6">
        <v>285</v>
      </c>
      <c r="I492">
        <v>0</v>
      </c>
      <c r="J492" s="6">
        <v>0</v>
      </c>
      <c r="K492">
        <v>3</v>
      </c>
      <c r="L492" s="6">
        <v>285</v>
      </c>
      <c r="M492" s="6">
        <v>230.06</v>
      </c>
      <c r="N492" s="6">
        <v>54.94</v>
      </c>
      <c r="O492" s="6">
        <v>18.61</v>
      </c>
      <c r="P492" s="6">
        <v>36.33</v>
      </c>
      <c r="Q492" t="s">
        <v>75</v>
      </c>
      <c r="R492" t="s">
        <v>82</v>
      </c>
      <c r="S492" t="s">
        <v>67</v>
      </c>
    </row>
    <row r="493" spans="1:19" x14ac:dyDescent="0.35">
      <c r="A493" t="s">
        <v>612</v>
      </c>
      <c r="B493" s="5">
        <v>45872</v>
      </c>
      <c r="C493" t="s">
        <v>97</v>
      </c>
      <c r="D493" t="s">
        <v>57</v>
      </c>
      <c r="E493">
        <v>1</v>
      </c>
      <c r="F493" s="6">
        <v>55</v>
      </c>
      <c r="G493" s="7">
        <v>0</v>
      </c>
      <c r="H493" s="6">
        <v>55</v>
      </c>
      <c r="I493">
        <v>0</v>
      </c>
      <c r="J493" s="6">
        <v>0</v>
      </c>
      <c r="K493">
        <v>1</v>
      </c>
      <c r="L493" s="6">
        <v>55</v>
      </c>
      <c r="M493" s="6">
        <v>45.81</v>
      </c>
      <c r="N493" s="6">
        <v>9.19</v>
      </c>
      <c r="O493" s="6">
        <v>4.9400000000000004</v>
      </c>
      <c r="P493" s="6">
        <v>4.25</v>
      </c>
      <c r="Q493" t="s">
        <v>81</v>
      </c>
      <c r="R493" t="s">
        <v>66</v>
      </c>
      <c r="S493" t="s">
        <v>61</v>
      </c>
    </row>
    <row r="494" spans="1:19" x14ac:dyDescent="0.35">
      <c r="A494" t="s">
        <v>613</v>
      </c>
      <c r="B494" s="5">
        <v>45971</v>
      </c>
      <c r="C494" t="s">
        <v>100</v>
      </c>
      <c r="D494" t="s">
        <v>64</v>
      </c>
      <c r="E494">
        <v>1</v>
      </c>
      <c r="F494" s="6">
        <v>310</v>
      </c>
      <c r="G494" s="7">
        <v>0</v>
      </c>
      <c r="H494" s="6">
        <v>310</v>
      </c>
      <c r="I494">
        <v>0</v>
      </c>
      <c r="J494" s="6">
        <v>0</v>
      </c>
      <c r="K494">
        <v>1</v>
      </c>
      <c r="L494" s="6">
        <v>310</v>
      </c>
      <c r="M494" s="6">
        <v>248.54</v>
      </c>
      <c r="N494" s="6">
        <v>61.46</v>
      </c>
      <c r="O494" s="6">
        <v>17.59</v>
      </c>
      <c r="P494" s="6">
        <v>43.87</v>
      </c>
      <c r="Q494" t="s">
        <v>81</v>
      </c>
      <c r="R494" t="s">
        <v>60</v>
      </c>
      <c r="S494" t="s">
        <v>76</v>
      </c>
    </row>
    <row r="495" spans="1:19" x14ac:dyDescent="0.35">
      <c r="A495" t="s">
        <v>614</v>
      </c>
      <c r="B495" s="5">
        <v>45742</v>
      </c>
      <c r="C495" t="s">
        <v>97</v>
      </c>
      <c r="D495" t="s">
        <v>57</v>
      </c>
      <c r="E495">
        <v>1</v>
      </c>
      <c r="F495" s="6">
        <v>55</v>
      </c>
      <c r="G495" s="7">
        <v>0</v>
      </c>
      <c r="H495" s="6">
        <v>55</v>
      </c>
      <c r="I495">
        <v>0</v>
      </c>
      <c r="J495" s="6">
        <v>0</v>
      </c>
      <c r="K495">
        <v>1</v>
      </c>
      <c r="L495" s="6">
        <v>55</v>
      </c>
      <c r="M495" s="6">
        <v>38.53</v>
      </c>
      <c r="N495" s="6">
        <v>16.47</v>
      </c>
      <c r="O495" s="6">
        <v>3.78</v>
      </c>
      <c r="P495" s="6">
        <v>12.69</v>
      </c>
      <c r="Q495" t="s">
        <v>75</v>
      </c>
      <c r="R495" t="s">
        <v>82</v>
      </c>
      <c r="S495" t="s">
        <v>67</v>
      </c>
    </row>
    <row r="496" spans="1:19" x14ac:dyDescent="0.35">
      <c r="A496" t="s">
        <v>615</v>
      </c>
      <c r="B496" s="5">
        <v>45711</v>
      </c>
      <c r="C496" t="s">
        <v>56</v>
      </c>
      <c r="D496" t="s">
        <v>57</v>
      </c>
      <c r="E496">
        <v>1</v>
      </c>
      <c r="F496" s="6">
        <v>40</v>
      </c>
      <c r="G496" s="7">
        <v>0</v>
      </c>
      <c r="H496" s="6">
        <v>40</v>
      </c>
      <c r="I496">
        <v>0</v>
      </c>
      <c r="J496" s="6">
        <v>0</v>
      </c>
      <c r="K496">
        <v>1</v>
      </c>
      <c r="L496" s="6">
        <v>40</v>
      </c>
      <c r="M496" s="6">
        <v>33.14</v>
      </c>
      <c r="N496" s="6">
        <v>6.86</v>
      </c>
      <c r="O496" s="6">
        <v>3.34</v>
      </c>
      <c r="P496" s="6">
        <v>3.52</v>
      </c>
      <c r="Q496" t="s">
        <v>59</v>
      </c>
      <c r="R496" t="s">
        <v>60</v>
      </c>
      <c r="S496" t="s">
        <v>61</v>
      </c>
    </row>
    <row r="497" spans="1:19" x14ac:dyDescent="0.35">
      <c r="A497" t="s">
        <v>616</v>
      </c>
      <c r="B497" s="5">
        <v>45896</v>
      </c>
      <c r="C497" t="s">
        <v>427</v>
      </c>
      <c r="D497" t="s">
        <v>74</v>
      </c>
      <c r="E497">
        <v>1</v>
      </c>
      <c r="F497" s="6">
        <v>125</v>
      </c>
      <c r="G497" s="7">
        <v>10</v>
      </c>
      <c r="H497" s="6">
        <v>112.5</v>
      </c>
      <c r="I497">
        <v>0</v>
      </c>
      <c r="J497" s="6">
        <v>0</v>
      </c>
      <c r="K497">
        <v>1</v>
      </c>
      <c r="L497" s="6">
        <v>112.5</v>
      </c>
      <c r="M497" s="6">
        <v>89.49</v>
      </c>
      <c r="N497" s="6">
        <v>23.01</v>
      </c>
      <c r="O497" s="6">
        <v>12.66</v>
      </c>
      <c r="P497" s="6">
        <v>10.35</v>
      </c>
      <c r="Q497" t="s">
        <v>65</v>
      </c>
      <c r="R497" t="s">
        <v>82</v>
      </c>
      <c r="S497" t="s">
        <v>61</v>
      </c>
    </row>
    <row r="498" spans="1:19" x14ac:dyDescent="0.35">
      <c r="A498" t="s">
        <v>617</v>
      </c>
      <c r="B498" s="5">
        <v>45729</v>
      </c>
      <c r="C498" t="s">
        <v>90</v>
      </c>
      <c r="D498" t="s">
        <v>70</v>
      </c>
      <c r="E498">
        <v>3</v>
      </c>
      <c r="F498" s="6">
        <v>38</v>
      </c>
      <c r="G498" s="7">
        <v>0</v>
      </c>
      <c r="H498" s="6">
        <v>114</v>
      </c>
      <c r="I498">
        <v>0</v>
      </c>
      <c r="J498" s="6">
        <v>0</v>
      </c>
      <c r="K498">
        <v>3</v>
      </c>
      <c r="L498" s="6">
        <v>114</v>
      </c>
      <c r="M498" s="6">
        <v>72.37</v>
      </c>
      <c r="N498" s="6">
        <v>41.63</v>
      </c>
      <c r="O498" s="6">
        <v>10.86</v>
      </c>
      <c r="P498" s="6">
        <v>30.77</v>
      </c>
      <c r="Q498" t="s">
        <v>59</v>
      </c>
      <c r="R498" t="s">
        <v>60</v>
      </c>
      <c r="S498" t="s">
        <v>76</v>
      </c>
    </row>
    <row r="499" spans="1:19" x14ac:dyDescent="0.35">
      <c r="A499" t="s">
        <v>618</v>
      </c>
      <c r="B499" s="5">
        <v>45949</v>
      </c>
      <c r="C499" t="s">
        <v>121</v>
      </c>
      <c r="D499" t="s">
        <v>70</v>
      </c>
      <c r="E499">
        <v>1</v>
      </c>
      <c r="F499" s="6">
        <v>110</v>
      </c>
      <c r="G499" s="7">
        <v>0</v>
      </c>
      <c r="H499" s="6">
        <v>110</v>
      </c>
      <c r="I499">
        <v>0</v>
      </c>
      <c r="J499" s="6">
        <v>0</v>
      </c>
      <c r="K499">
        <v>1</v>
      </c>
      <c r="L499" s="6">
        <v>110</v>
      </c>
      <c r="M499" s="6">
        <v>79.040000000000006</v>
      </c>
      <c r="N499" s="6">
        <v>30.96</v>
      </c>
      <c r="O499" s="6">
        <v>7.45</v>
      </c>
      <c r="P499" s="6">
        <v>23.51</v>
      </c>
      <c r="Q499" t="s">
        <v>75</v>
      </c>
      <c r="R499" t="s">
        <v>86</v>
      </c>
      <c r="S499" t="s">
        <v>67</v>
      </c>
    </row>
    <row r="500" spans="1:19" x14ac:dyDescent="0.35">
      <c r="A500" t="s">
        <v>619</v>
      </c>
      <c r="B500" s="5">
        <v>45927</v>
      </c>
      <c r="C500" t="s">
        <v>557</v>
      </c>
      <c r="D500" t="s">
        <v>74</v>
      </c>
      <c r="E500">
        <v>1</v>
      </c>
      <c r="F500" s="6">
        <v>95</v>
      </c>
      <c r="G500" s="7">
        <v>0</v>
      </c>
      <c r="H500" s="6">
        <v>95</v>
      </c>
      <c r="I500">
        <v>0</v>
      </c>
      <c r="J500" s="6">
        <v>0</v>
      </c>
      <c r="K500">
        <v>1</v>
      </c>
      <c r="L500" s="6">
        <v>95</v>
      </c>
      <c r="M500" s="6">
        <v>73.180000000000007</v>
      </c>
      <c r="N500" s="6">
        <v>21.82</v>
      </c>
      <c r="O500" s="6">
        <v>6.88</v>
      </c>
      <c r="P500" s="6">
        <v>14.94</v>
      </c>
      <c r="Q500" t="s">
        <v>81</v>
      </c>
      <c r="R500" t="s">
        <v>60</v>
      </c>
      <c r="S500" t="s">
        <v>67</v>
      </c>
    </row>
    <row r="501" spans="1:19" x14ac:dyDescent="0.35">
      <c r="A501" t="s">
        <v>620</v>
      </c>
      <c r="B501" s="5">
        <v>45932</v>
      </c>
      <c r="C501" t="s">
        <v>104</v>
      </c>
      <c r="D501" t="s">
        <v>105</v>
      </c>
      <c r="E501">
        <v>3</v>
      </c>
      <c r="F501" s="6">
        <v>65</v>
      </c>
      <c r="G501" s="7">
        <v>0</v>
      </c>
      <c r="H501" s="6">
        <v>195</v>
      </c>
      <c r="I501">
        <v>0</v>
      </c>
      <c r="J501" s="6">
        <v>0</v>
      </c>
      <c r="K501">
        <v>3</v>
      </c>
      <c r="L501" s="6">
        <v>195</v>
      </c>
      <c r="M501" s="6">
        <v>136.55000000000001</v>
      </c>
      <c r="N501" s="6">
        <v>58.45</v>
      </c>
      <c r="O501" s="6">
        <v>18.02</v>
      </c>
      <c r="P501" s="6">
        <v>40.43</v>
      </c>
      <c r="Q501" t="s">
        <v>75</v>
      </c>
      <c r="R501" t="s">
        <v>82</v>
      </c>
      <c r="S501" t="s">
        <v>67</v>
      </c>
    </row>
    <row r="502" spans="1:19" x14ac:dyDescent="0.35">
      <c r="A502" t="s">
        <v>621</v>
      </c>
      <c r="B502" s="5">
        <v>45881</v>
      </c>
      <c r="C502" t="s">
        <v>125</v>
      </c>
      <c r="D502" t="s">
        <v>85</v>
      </c>
      <c r="E502">
        <v>5</v>
      </c>
      <c r="F502" s="6">
        <v>125</v>
      </c>
      <c r="G502" s="7">
        <v>0</v>
      </c>
      <c r="H502" s="6">
        <v>625</v>
      </c>
      <c r="I502">
        <v>0</v>
      </c>
      <c r="J502" s="6">
        <v>0</v>
      </c>
      <c r="K502">
        <v>5</v>
      </c>
      <c r="L502" s="6">
        <v>625</v>
      </c>
      <c r="M502" s="6">
        <v>409.89</v>
      </c>
      <c r="N502" s="6">
        <v>215.11</v>
      </c>
      <c r="O502" s="6">
        <v>49.3</v>
      </c>
      <c r="P502" s="6">
        <v>165.81</v>
      </c>
      <c r="Q502" t="s">
        <v>65</v>
      </c>
      <c r="R502" t="s">
        <v>82</v>
      </c>
      <c r="S502" t="s">
        <v>67</v>
      </c>
    </row>
    <row r="503" spans="1:19" x14ac:dyDescent="0.35">
      <c r="A503" t="s">
        <v>622</v>
      </c>
      <c r="B503" s="5">
        <v>46013</v>
      </c>
      <c r="C503" t="s">
        <v>63</v>
      </c>
      <c r="D503" t="s">
        <v>64</v>
      </c>
      <c r="E503">
        <v>3</v>
      </c>
      <c r="F503" s="6">
        <v>145</v>
      </c>
      <c r="G503" s="7">
        <v>0</v>
      </c>
      <c r="H503" s="6">
        <v>435</v>
      </c>
      <c r="I503">
        <v>0</v>
      </c>
      <c r="J503" s="6">
        <v>0</v>
      </c>
      <c r="K503">
        <v>3</v>
      </c>
      <c r="L503" s="6">
        <v>435</v>
      </c>
      <c r="M503" s="6">
        <v>353.52</v>
      </c>
      <c r="N503" s="6">
        <v>81.48</v>
      </c>
      <c r="O503" s="6">
        <v>55.72</v>
      </c>
      <c r="P503" s="6">
        <v>25.76</v>
      </c>
      <c r="Q503" t="s">
        <v>81</v>
      </c>
      <c r="R503" t="s">
        <v>86</v>
      </c>
      <c r="S503" t="s">
        <v>61</v>
      </c>
    </row>
    <row r="504" spans="1:19" x14ac:dyDescent="0.35">
      <c r="A504" t="s">
        <v>623</v>
      </c>
      <c r="B504" s="5">
        <v>45805</v>
      </c>
      <c r="C504" t="s">
        <v>73</v>
      </c>
      <c r="D504" t="s">
        <v>74</v>
      </c>
      <c r="E504">
        <v>2</v>
      </c>
      <c r="F504" s="6">
        <v>280</v>
      </c>
      <c r="G504" s="7">
        <v>0</v>
      </c>
      <c r="H504" s="6">
        <v>560</v>
      </c>
      <c r="I504">
        <v>0</v>
      </c>
      <c r="J504" s="6">
        <v>0</v>
      </c>
      <c r="K504">
        <v>2</v>
      </c>
      <c r="L504" s="6">
        <v>560</v>
      </c>
      <c r="M504" s="6">
        <v>402.48</v>
      </c>
      <c r="N504" s="6">
        <v>157.52000000000001</v>
      </c>
      <c r="O504" s="6">
        <v>58.12</v>
      </c>
      <c r="P504" s="6">
        <v>99.4</v>
      </c>
      <c r="Q504" t="s">
        <v>75</v>
      </c>
      <c r="R504" t="s">
        <v>86</v>
      </c>
      <c r="S504" t="s">
        <v>61</v>
      </c>
    </row>
    <row r="505" spans="1:19" x14ac:dyDescent="0.35">
      <c r="A505" t="s">
        <v>624</v>
      </c>
      <c r="B505" s="5">
        <v>45957</v>
      </c>
      <c r="C505" t="s">
        <v>78</v>
      </c>
      <c r="D505" t="s">
        <v>79</v>
      </c>
      <c r="E505">
        <v>2</v>
      </c>
      <c r="F505" s="6">
        <v>120</v>
      </c>
      <c r="G505" s="7">
        <v>0</v>
      </c>
      <c r="H505" s="6">
        <v>240</v>
      </c>
      <c r="I505">
        <v>0</v>
      </c>
      <c r="J505" s="6">
        <v>0</v>
      </c>
      <c r="K505">
        <v>2</v>
      </c>
      <c r="L505" s="6">
        <v>240</v>
      </c>
      <c r="M505" s="6">
        <v>191.31</v>
      </c>
      <c r="N505" s="6">
        <v>48.69</v>
      </c>
      <c r="O505" s="6">
        <v>24.89</v>
      </c>
      <c r="P505" s="6">
        <v>23.8</v>
      </c>
      <c r="Q505" t="s">
        <v>81</v>
      </c>
      <c r="R505" t="s">
        <v>66</v>
      </c>
      <c r="S505" t="s">
        <v>71</v>
      </c>
    </row>
    <row r="506" spans="1:19" x14ac:dyDescent="0.35">
      <c r="A506" t="s">
        <v>625</v>
      </c>
      <c r="B506" s="5">
        <v>45998</v>
      </c>
      <c r="C506" t="s">
        <v>97</v>
      </c>
      <c r="D506" t="s">
        <v>57</v>
      </c>
      <c r="E506">
        <v>1</v>
      </c>
      <c r="F506" s="6">
        <v>55</v>
      </c>
      <c r="G506" s="7">
        <v>15</v>
      </c>
      <c r="H506" s="6">
        <v>46.75</v>
      </c>
      <c r="I506">
        <v>0</v>
      </c>
      <c r="J506" s="6">
        <v>0</v>
      </c>
      <c r="K506">
        <v>1</v>
      </c>
      <c r="L506" s="6">
        <v>46.75</v>
      </c>
      <c r="M506" s="6">
        <v>39.950000000000003</v>
      </c>
      <c r="N506" s="6">
        <v>6.8</v>
      </c>
      <c r="O506" s="6">
        <v>4.8</v>
      </c>
      <c r="P506" s="6">
        <v>2</v>
      </c>
      <c r="Q506" t="s">
        <v>75</v>
      </c>
      <c r="R506" t="s">
        <v>60</v>
      </c>
      <c r="S506" t="s">
        <v>76</v>
      </c>
    </row>
    <row r="507" spans="1:19" x14ac:dyDescent="0.35">
      <c r="A507" t="s">
        <v>626</v>
      </c>
      <c r="B507" s="5">
        <v>45673</v>
      </c>
      <c r="C507" t="s">
        <v>100</v>
      </c>
      <c r="D507" t="s">
        <v>64</v>
      </c>
      <c r="E507" t="s">
        <v>295</v>
      </c>
      <c r="F507" s="6">
        <v>310</v>
      </c>
      <c r="G507" s="7">
        <v>0</v>
      </c>
      <c r="H507" s="6">
        <v>620</v>
      </c>
      <c r="I507">
        <v>0</v>
      </c>
      <c r="J507" s="6">
        <v>0</v>
      </c>
      <c r="K507">
        <v>2</v>
      </c>
      <c r="L507" s="6">
        <v>620</v>
      </c>
      <c r="M507" s="6">
        <v>476.47</v>
      </c>
      <c r="N507" s="6">
        <v>143.53</v>
      </c>
      <c r="O507" s="6">
        <v>55.84</v>
      </c>
      <c r="P507" s="6">
        <v>87.69</v>
      </c>
      <c r="Q507" t="s">
        <v>81</v>
      </c>
      <c r="R507" t="s">
        <v>60</v>
      </c>
      <c r="S507" t="s">
        <v>67</v>
      </c>
    </row>
    <row r="508" spans="1:19" x14ac:dyDescent="0.35">
      <c r="A508" t="s">
        <v>627</v>
      </c>
      <c r="B508" s="5">
        <v>45752</v>
      </c>
      <c r="C508" t="s">
        <v>264</v>
      </c>
      <c r="D508" t="s">
        <v>85</v>
      </c>
      <c r="E508">
        <v>2</v>
      </c>
      <c r="F508" s="6">
        <v>20</v>
      </c>
      <c r="G508" s="7">
        <v>0</v>
      </c>
      <c r="H508" s="6">
        <v>40</v>
      </c>
      <c r="I508">
        <v>0</v>
      </c>
      <c r="J508" s="6">
        <v>0</v>
      </c>
      <c r="K508">
        <v>2</v>
      </c>
      <c r="L508" s="6">
        <v>40</v>
      </c>
      <c r="M508" s="6">
        <v>25.76</v>
      </c>
      <c r="N508" s="6">
        <v>14.24</v>
      </c>
      <c r="O508" s="6">
        <v>3.68</v>
      </c>
      <c r="P508" s="6">
        <v>10.56</v>
      </c>
      <c r="Q508" t="s">
        <v>75</v>
      </c>
      <c r="R508" t="s">
        <v>66</v>
      </c>
      <c r="S508" t="s">
        <v>76</v>
      </c>
    </row>
    <row r="509" spans="1:19" x14ac:dyDescent="0.35">
      <c r="A509" t="s">
        <v>628</v>
      </c>
      <c r="B509" s="5">
        <v>45676</v>
      </c>
      <c r="C509" t="s">
        <v>114</v>
      </c>
      <c r="D509" t="s">
        <v>64</v>
      </c>
      <c r="E509">
        <v>4</v>
      </c>
      <c r="F509" s="6">
        <v>420</v>
      </c>
      <c r="G509" s="7">
        <v>5</v>
      </c>
      <c r="H509" s="6">
        <v>1596</v>
      </c>
      <c r="I509">
        <v>0</v>
      </c>
      <c r="J509" s="6">
        <v>0</v>
      </c>
      <c r="K509">
        <v>4</v>
      </c>
      <c r="L509" s="6">
        <v>1596</v>
      </c>
      <c r="M509" s="6">
        <v>1292.68</v>
      </c>
      <c r="N509" s="6">
        <v>303.32</v>
      </c>
      <c r="O509" s="6">
        <v>145.13</v>
      </c>
      <c r="P509" s="6">
        <v>158.19</v>
      </c>
      <c r="Q509" t="s">
        <v>81</v>
      </c>
      <c r="R509" t="s">
        <v>60</v>
      </c>
      <c r="S509" t="s">
        <v>61</v>
      </c>
    </row>
    <row r="510" spans="1:19" x14ac:dyDescent="0.35">
      <c r="A510" t="s">
        <v>629</v>
      </c>
      <c r="B510" s="5">
        <v>45962</v>
      </c>
      <c r="C510" t="s">
        <v>78</v>
      </c>
      <c r="D510" t="s">
        <v>79</v>
      </c>
      <c r="E510">
        <v>4</v>
      </c>
      <c r="F510" s="6">
        <v>120</v>
      </c>
      <c r="G510" s="7">
        <v>5</v>
      </c>
      <c r="H510" s="6">
        <v>456</v>
      </c>
      <c r="I510">
        <v>0</v>
      </c>
      <c r="J510" s="6">
        <v>0</v>
      </c>
      <c r="K510">
        <v>4</v>
      </c>
      <c r="L510" s="6">
        <v>456</v>
      </c>
      <c r="M510" s="6">
        <v>318.20999999999998</v>
      </c>
      <c r="N510" s="6">
        <v>137.79</v>
      </c>
      <c r="O510" s="6">
        <v>44.48</v>
      </c>
      <c r="P510" s="6">
        <v>93.31</v>
      </c>
      <c r="Q510" t="s">
        <v>65</v>
      </c>
      <c r="R510" t="s">
        <v>176</v>
      </c>
      <c r="S510" t="s">
        <v>61</v>
      </c>
    </row>
    <row r="511" spans="1:19" x14ac:dyDescent="0.35">
      <c r="A511" t="s">
        <v>630</v>
      </c>
      <c r="B511" s="5">
        <v>45990</v>
      </c>
      <c r="C511" t="s">
        <v>104</v>
      </c>
      <c r="D511" t="s">
        <v>105</v>
      </c>
      <c r="E511">
        <v>2</v>
      </c>
      <c r="F511" s="6">
        <v>65</v>
      </c>
      <c r="G511" s="7">
        <v>5</v>
      </c>
      <c r="H511" s="6">
        <v>123.5</v>
      </c>
      <c r="I511">
        <v>0</v>
      </c>
      <c r="J511" s="6">
        <v>0</v>
      </c>
      <c r="K511">
        <v>2</v>
      </c>
      <c r="L511" s="6">
        <v>123.5</v>
      </c>
      <c r="M511" s="6">
        <v>83.28</v>
      </c>
      <c r="N511" s="6">
        <v>40.22</v>
      </c>
      <c r="O511" s="6">
        <v>8.48</v>
      </c>
      <c r="P511" s="6">
        <v>31.74</v>
      </c>
      <c r="Q511" t="s">
        <v>65</v>
      </c>
      <c r="R511" t="s">
        <v>66</v>
      </c>
      <c r="S511" t="s">
        <v>71</v>
      </c>
    </row>
    <row r="512" spans="1:19" x14ac:dyDescent="0.35">
      <c r="A512" t="s">
        <v>631</v>
      </c>
      <c r="B512" s="5">
        <v>45940</v>
      </c>
      <c r="C512" t="s">
        <v>84</v>
      </c>
      <c r="D512" t="s">
        <v>85</v>
      </c>
      <c r="E512">
        <v>2</v>
      </c>
      <c r="F512" s="6">
        <v>48</v>
      </c>
      <c r="G512" s="7">
        <v>2</v>
      </c>
      <c r="H512" s="6">
        <v>94.08</v>
      </c>
      <c r="I512">
        <v>0</v>
      </c>
      <c r="J512" s="6">
        <v>0</v>
      </c>
      <c r="K512">
        <v>2</v>
      </c>
      <c r="L512" s="6">
        <v>94.08</v>
      </c>
      <c r="M512" s="6">
        <v>63.12</v>
      </c>
      <c r="N512" s="6">
        <v>30.96</v>
      </c>
      <c r="O512" s="6">
        <v>9.98</v>
      </c>
      <c r="P512" s="6">
        <v>20.98</v>
      </c>
      <c r="Q512" t="s">
        <v>75</v>
      </c>
      <c r="R512" t="s">
        <v>86</v>
      </c>
      <c r="S512" t="s">
        <v>71</v>
      </c>
    </row>
    <row r="513" spans="1:19" x14ac:dyDescent="0.35">
      <c r="A513" t="s">
        <v>632</v>
      </c>
      <c r="B513" s="5">
        <v>45833</v>
      </c>
      <c r="C513" t="s">
        <v>100</v>
      </c>
      <c r="D513" t="s">
        <v>64</v>
      </c>
      <c r="E513">
        <v>2</v>
      </c>
      <c r="F513" s="6">
        <v>310</v>
      </c>
      <c r="G513" s="7">
        <v>0</v>
      </c>
      <c r="H513" s="6">
        <v>620</v>
      </c>
      <c r="I513">
        <v>0</v>
      </c>
      <c r="J513" s="6">
        <v>0</v>
      </c>
      <c r="K513">
        <v>2</v>
      </c>
      <c r="L513" s="6">
        <v>620</v>
      </c>
      <c r="M513" s="6">
        <v>388.54</v>
      </c>
      <c r="N513" s="6">
        <v>231.46</v>
      </c>
      <c r="O513" s="6">
        <v>71.02</v>
      </c>
      <c r="P513" s="6">
        <v>160.44</v>
      </c>
      <c r="Q513" t="s">
        <v>65</v>
      </c>
      <c r="R513" t="s">
        <v>60</v>
      </c>
      <c r="S513" t="s">
        <v>61</v>
      </c>
    </row>
    <row r="514" spans="1:19" x14ac:dyDescent="0.35">
      <c r="A514" t="s">
        <v>633</v>
      </c>
      <c r="B514" s="5">
        <v>45735</v>
      </c>
      <c r="C514" t="s">
        <v>100</v>
      </c>
      <c r="D514" t="s">
        <v>64</v>
      </c>
      <c r="E514">
        <v>2</v>
      </c>
      <c r="F514" s="6">
        <v>310</v>
      </c>
      <c r="G514" s="7">
        <v>0</v>
      </c>
      <c r="H514" s="6">
        <v>620</v>
      </c>
      <c r="I514">
        <v>0</v>
      </c>
      <c r="J514" s="6">
        <v>0</v>
      </c>
      <c r="K514">
        <v>2</v>
      </c>
      <c r="L514" s="6">
        <v>620</v>
      </c>
      <c r="M514" s="6">
        <v>410.39</v>
      </c>
      <c r="N514" s="6">
        <v>209.61</v>
      </c>
      <c r="O514" s="6">
        <v>63.93</v>
      </c>
      <c r="P514" s="6">
        <v>145.68</v>
      </c>
      <c r="Q514" t="s">
        <v>81</v>
      </c>
      <c r="R514" t="s">
        <v>66</v>
      </c>
      <c r="S514" t="s">
        <v>76</v>
      </c>
    </row>
    <row r="515" spans="1:19" x14ac:dyDescent="0.35">
      <c r="A515" t="s">
        <v>634</v>
      </c>
      <c r="B515" s="5">
        <v>46014</v>
      </c>
      <c r="C515" t="s">
        <v>69</v>
      </c>
      <c r="D515" t="s">
        <v>70</v>
      </c>
      <c r="E515">
        <v>3</v>
      </c>
      <c r="F515" s="6">
        <v>210</v>
      </c>
      <c r="G515" s="7">
        <v>0</v>
      </c>
      <c r="H515" s="6">
        <v>630</v>
      </c>
      <c r="I515">
        <v>0</v>
      </c>
      <c r="J515" s="6">
        <v>0</v>
      </c>
      <c r="K515">
        <v>3</v>
      </c>
      <c r="L515" s="6">
        <v>630</v>
      </c>
      <c r="M515" s="6">
        <v>394.33</v>
      </c>
      <c r="N515" s="6">
        <v>235.67</v>
      </c>
      <c r="O515" s="6">
        <v>59.05</v>
      </c>
      <c r="P515" s="6">
        <v>176.62</v>
      </c>
      <c r="Q515" t="s">
        <v>81</v>
      </c>
      <c r="R515" t="s">
        <v>86</v>
      </c>
      <c r="S515" t="s">
        <v>71</v>
      </c>
    </row>
    <row r="516" spans="1:19" x14ac:dyDescent="0.35">
      <c r="A516" t="s">
        <v>635</v>
      </c>
      <c r="B516" s="5">
        <v>45863</v>
      </c>
      <c r="C516" t="s">
        <v>100</v>
      </c>
      <c r="D516" t="s">
        <v>64</v>
      </c>
      <c r="E516">
        <v>6</v>
      </c>
      <c r="F516" s="6">
        <v>310</v>
      </c>
      <c r="G516" s="7">
        <v>0</v>
      </c>
      <c r="H516" s="6">
        <v>1860</v>
      </c>
      <c r="I516">
        <v>0</v>
      </c>
      <c r="J516" s="6">
        <v>0</v>
      </c>
      <c r="K516">
        <v>6</v>
      </c>
      <c r="L516" s="6">
        <v>1860</v>
      </c>
      <c r="M516" s="6">
        <v>1217.1600000000001</v>
      </c>
      <c r="N516" s="6">
        <v>642.84</v>
      </c>
      <c r="O516" s="6">
        <v>136.65</v>
      </c>
      <c r="P516" s="6">
        <v>506.19</v>
      </c>
      <c r="Q516" t="s">
        <v>59</v>
      </c>
      <c r="R516" t="s">
        <v>86</v>
      </c>
      <c r="S516" t="s">
        <v>67</v>
      </c>
    </row>
    <row r="517" spans="1:19" x14ac:dyDescent="0.35">
      <c r="A517" t="s">
        <v>636</v>
      </c>
      <c r="B517" s="5">
        <v>45808</v>
      </c>
      <c r="C517" t="s">
        <v>63</v>
      </c>
      <c r="D517" t="s">
        <v>64</v>
      </c>
      <c r="E517">
        <v>3</v>
      </c>
      <c r="F517" s="6">
        <v>145</v>
      </c>
      <c r="G517" s="7">
        <v>0</v>
      </c>
      <c r="H517" s="6">
        <v>435</v>
      </c>
      <c r="I517">
        <v>0</v>
      </c>
      <c r="J517" s="6">
        <v>0</v>
      </c>
      <c r="K517">
        <v>3</v>
      </c>
      <c r="L517" s="6">
        <v>435</v>
      </c>
      <c r="M517" s="6">
        <v>357.14</v>
      </c>
      <c r="N517" s="6">
        <v>77.86</v>
      </c>
      <c r="O517" s="6">
        <v>41.98</v>
      </c>
      <c r="P517" s="6">
        <v>35.880000000000003</v>
      </c>
      <c r="Q517" t="s">
        <v>65</v>
      </c>
      <c r="R517" t="s">
        <v>66</v>
      </c>
      <c r="S517" t="s">
        <v>76</v>
      </c>
    </row>
    <row r="518" spans="1:19" x14ac:dyDescent="0.35">
      <c r="A518" t="s">
        <v>637</v>
      </c>
      <c r="B518" s="5">
        <v>45855</v>
      </c>
      <c r="C518" t="s">
        <v>117</v>
      </c>
      <c r="D518" t="s">
        <v>74</v>
      </c>
      <c r="E518">
        <v>1</v>
      </c>
      <c r="F518" s="6">
        <v>95</v>
      </c>
      <c r="G518" s="7">
        <v>2</v>
      </c>
      <c r="H518" s="6">
        <v>93.1</v>
      </c>
      <c r="I518">
        <v>0</v>
      </c>
      <c r="J518" s="6">
        <v>0</v>
      </c>
      <c r="K518">
        <v>1</v>
      </c>
      <c r="L518" s="6">
        <v>93.1</v>
      </c>
      <c r="M518" s="6">
        <v>71.88</v>
      </c>
      <c r="N518" s="6">
        <v>21.22</v>
      </c>
      <c r="O518" s="6">
        <v>4.78</v>
      </c>
      <c r="P518" s="6">
        <v>16.440000000000001</v>
      </c>
      <c r="Q518" t="s">
        <v>65</v>
      </c>
      <c r="R518" t="s">
        <v>86</v>
      </c>
      <c r="S518" t="s">
        <v>67</v>
      </c>
    </row>
    <row r="519" spans="1:19" x14ac:dyDescent="0.35">
      <c r="A519" t="s">
        <v>638</v>
      </c>
      <c r="B519" s="5">
        <v>45967</v>
      </c>
      <c r="C519" t="s">
        <v>90</v>
      </c>
      <c r="D519" t="s">
        <v>70</v>
      </c>
      <c r="E519">
        <v>5</v>
      </c>
      <c r="F519" s="6">
        <v>38</v>
      </c>
      <c r="G519" s="7">
        <v>0</v>
      </c>
      <c r="H519" s="6">
        <v>190</v>
      </c>
      <c r="I519">
        <v>0</v>
      </c>
      <c r="J519" s="6">
        <v>0</v>
      </c>
      <c r="K519">
        <v>5</v>
      </c>
      <c r="L519" s="6">
        <v>190</v>
      </c>
      <c r="M519" s="6">
        <v>123.56</v>
      </c>
      <c r="N519" s="6">
        <v>66.44</v>
      </c>
      <c r="O519" s="6">
        <v>23.55</v>
      </c>
      <c r="P519" s="6">
        <v>42.89</v>
      </c>
      <c r="Q519" t="s">
        <v>59</v>
      </c>
      <c r="R519" t="s">
        <v>86</v>
      </c>
      <c r="S519" t="s">
        <v>71</v>
      </c>
    </row>
    <row r="520" spans="1:19" x14ac:dyDescent="0.35">
      <c r="A520" t="s">
        <v>639</v>
      </c>
      <c r="B520" s="5">
        <v>46010</v>
      </c>
      <c r="C520" t="s">
        <v>125</v>
      </c>
      <c r="D520" t="s">
        <v>85</v>
      </c>
      <c r="E520">
        <v>1</v>
      </c>
      <c r="F520" s="6">
        <v>125</v>
      </c>
      <c r="G520" s="7">
        <v>0</v>
      </c>
      <c r="H520" s="6">
        <v>125</v>
      </c>
      <c r="I520">
        <v>0</v>
      </c>
      <c r="J520" s="6">
        <v>0</v>
      </c>
      <c r="K520">
        <v>1</v>
      </c>
      <c r="L520" s="6">
        <v>125</v>
      </c>
      <c r="M520" s="6">
        <v>99.37</v>
      </c>
      <c r="N520" s="6">
        <v>25.63</v>
      </c>
      <c r="O520" s="6">
        <v>7.43</v>
      </c>
      <c r="P520" s="6">
        <v>18.2</v>
      </c>
      <c r="Q520" t="s">
        <v>75</v>
      </c>
      <c r="R520" t="s">
        <v>60</v>
      </c>
      <c r="S520" t="s">
        <v>76</v>
      </c>
    </row>
    <row r="521" spans="1:19" x14ac:dyDescent="0.35">
      <c r="A521" t="s">
        <v>640</v>
      </c>
      <c r="B521" s="5">
        <v>45869</v>
      </c>
      <c r="C521" t="s">
        <v>107</v>
      </c>
      <c r="D521" t="s">
        <v>74</v>
      </c>
      <c r="E521">
        <v>3</v>
      </c>
      <c r="F521" s="6">
        <v>125</v>
      </c>
      <c r="G521" s="7">
        <v>0</v>
      </c>
      <c r="H521" s="6">
        <v>375</v>
      </c>
      <c r="I521">
        <v>0</v>
      </c>
      <c r="J521" s="6">
        <v>0</v>
      </c>
      <c r="K521">
        <v>3</v>
      </c>
      <c r="L521" s="6">
        <v>375</v>
      </c>
      <c r="M521" s="6">
        <v>240.79</v>
      </c>
      <c r="N521" s="6">
        <v>134.21</v>
      </c>
      <c r="O521" s="6">
        <v>45.58</v>
      </c>
      <c r="P521" s="6">
        <v>88.63</v>
      </c>
      <c r="Q521" t="s">
        <v>59</v>
      </c>
      <c r="R521" t="s">
        <v>66</v>
      </c>
      <c r="S521" t="s">
        <v>67</v>
      </c>
    </row>
    <row r="522" spans="1:19" x14ac:dyDescent="0.35">
      <c r="A522" t="s">
        <v>641</v>
      </c>
      <c r="B522" s="5">
        <v>45729</v>
      </c>
      <c r="C522" t="s">
        <v>109</v>
      </c>
      <c r="D522" t="s">
        <v>85</v>
      </c>
      <c r="E522">
        <v>5</v>
      </c>
      <c r="F522" s="6">
        <v>180</v>
      </c>
      <c r="G522" s="7">
        <v>0</v>
      </c>
      <c r="H522" s="6">
        <v>900</v>
      </c>
      <c r="I522">
        <v>0</v>
      </c>
      <c r="J522" s="6">
        <v>0</v>
      </c>
      <c r="K522">
        <v>5</v>
      </c>
      <c r="L522" s="6">
        <v>900</v>
      </c>
      <c r="M522" s="6">
        <v>701.91</v>
      </c>
      <c r="N522" s="6">
        <v>198.09</v>
      </c>
      <c r="O522" s="6">
        <v>61.25</v>
      </c>
      <c r="P522" s="6">
        <v>136.84</v>
      </c>
      <c r="Q522" t="s">
        <v>59</v>
      </c>
      <c r="R522" t="s">
        <v>66</v>
      </c>
      <c r="S522" t="s">
        <v>61</v>
      </c>
    </row>
    <row r="523" spans="1:19" x14ac:dyDescent="0.35">
      <c r="A523" t="s">
        <v>642</v>
      </c>
      <c r="B523" s="5">
        <v>45875</v>
      </c>
      <c r="C523" t="s">
        <v>643</v>
      </c>
      <c r="D523" t="s">
        <v>70</v>
      </c>
      <c r="E523">
        <v>1</v>
      </c>
      <c r="F523" s="6">
        <v>210</v>
      </c>
      <c r="G523" s="7">
        <v>0</v>
      </c>
      <c r="H523" s="6">
        <v>210</v>
      </c>
      <c r="I523">
        <v>0</v>
      </c>
      <c r="J523" s="6">
        <v>0</v>
      </c>
      <c r="K523">
        <v>1</v>
      </c>
      <c r="L523" s="6">
        <v>210</v>
      </c>
      <c r="M523" s="6">
        <v>179.96</v>
      </c>
      <c r="N523" s="6">
        <v>30.04</v>
      </c>
      <c r="O523" s="6">
        <v>19.440000000000001</v>
      </c>
      <c r="P523" s="6">
        <v>10.6</v>
      </c>
      <c r="Q523" t="s">
        <v>65</v>
      </c>
      <c r="R523" t="s">
        <v>60</v>
      </c>
      <c r="S523" t="s">
        <v>61</v>
      </c>
    </row>
    <row r="524" spans="1:19" x14ac:dyDescent="0.35">
      <c r="A524" t="s">
        <v>644</v>
      </c>
      <c r="B524" s="5">
        <v>45997</v>
      </c>
      <c r="C524" t="s">
        <v>121</v>
      </c>
      <c r="D524" t="s">
        <v>70</v>
      </c>
      <c r="E524">
        <v>3</v>
      </c>
      <c r="F524" s="6">
        <v>110</v>
      </c>
      <c r="G524" s="7">
        <v>0</v>
      </c>
      <c r="H524" s="6">
        <v>330</v>
      </c>
      <c r="I524">
        <v>0</v>
      </c>
      <c r="J524" s="6">
        <v>0</v>
      </c>
      <c r="K524">
        <v>3</v>
      </c>
      <c r="L524" s="6">
        <v>330</v>
      </c>
      <c r="M524" s="6">
        <v>242.34</v>
      </c>
      <c r="N524" s="6">
        <v>87.66</v>
      </c>
      <c r="O524" s="6">
        <v>29.41</v>
      </c>
      <c r="P524" s="6">
        <v>58.25</v>
      </c>
      <c r="Q524" t="s">
        <v>81</v>
      </c>
      <c r="R524" t="s">
        <v>86</v>
      </c>
      <c r="S524" t="s">
        <v>67</v>
      </c>
    </row>
    <row r="525" spans="1:19" x14ac:dyDescent="0.35">
      <c r="A525" t="s">
        <v>645</v>
      </c>
      <c r="B525" s="5">
        <v>45766</v>
      </c>
      <c r="C525" t="s">
        <v>117</v>
      </c>
      <c r="D525" t="s">
        <v>74</v>
      </c>
      <c r="E525">
        <v>1</v>
      </c>
      <c r="F525" s="6">
        <v>95</v>
      </c>
      <c r="G525" s="7">
        <v>2</v>
      </c>
      <c r="H525" s="6">
        <v>93.1</v>
      </c>
      <c r="I525">
        <v>0</v>
      </c>
      <c r="J525" s="6">
        <v>0</v>
      </c>
      <c r="K525">
        <v>1</v>
      </c>
      <c r="L525" s="6">
        <v>93.1</v>
      </c>
      <c r="M525" s="6">
        <v>60.59</v>
      </c>
      <c r="N525" s="6">
        <v>32.51</v>
      </c>
      <c r="O525" s="6">
        <v>9.82</v>
      </c>
      <c r="P525" s="6">
        <v>22.69</v>
      </c>
      <c r="Q525" t="s">
        <v>65</v>
      </c>
      <c r="R525" t="s">
        <v>66</v>
      </c>
      <c r="S525" t="s">
        <v>76</v>
      </c>
    </row>
    <row r="526" spans="1:19" x14ac:dyDescent="0.35">
      <c r="A526" t="s">
        <v>646</v>
      </c>
      <c r="B526" s="5">
        <v>45743</v>
      </c>
      <c r="C526" t="s">
        <v>63</v>
      </c>
      <c r="D526" t="s">
        <v>64</v>
      </c>
      <c r="E526">
        <v>2</v>
      </c>
      <c r="F526" s="6">
        <v>145</v>
      </c>
      <c r="G526" s="7">
        <v>15</v>
      </c>
      <c r="H526" s="6">
        <v>246.5</v>
      </c>
      <c r="I526">
        <v>0</v>
      </c>
      <c r="J526" s="6">
        <v>0</v>
      </c>
      <c r="K526">
        <v>2</v>
      </c>
      <c r="L526" s="6">
        <v>246.5</v>
      </c>
      <c r="M526" s="6">
        <v>158.30000000000001</v>
      </c>
      <c r="N526" s="6">
        <v>88.2</v>
      </c>
      <c r="O526" s="6">
        <v>25.61</v>
      </c>
      <c r="P526" s="6">
        <v>62.59</v>
      </c>
      <c r="Q526" t="s">
        <v>65</v>
      </c>
      <c r="R526" t="s">
        <v>86</v>
      </c>
      <c r="S526" t="s">
        <v>76</v>
      </c>
    </row>
    <row r="527" spans="1:19" x14ac:dyDescent="0.35">
      <c r="A527" t="s">
        <v>647</v>
      </c>
      <c r="B527" s="5">
        <v>45683</v>
      </c>
      <c r="C527" t="s">
        <v>90</v>
      </c>
      <c r="D527" t="s">
        <v>70</v>
      </c>
      <c r="E527">
        <v>5</v>
      </c>
      <c r="F527" s="6">
        <v>38</v>
      </c>
      <c r="G527" s="7">
        <v>0</v>
      </c>
      <c r="H527" s="6">
        <v>190</v>
      </c>
      <c r="I527">
        <v>0</v>
      </c>
      <c r="J527" s="6">
        <v>0</v>
      </c>
      <c r="K527">
        <v>5</v>
      </c>
      <c r="L527" s="6">
        <v>190</v>
      </c>
      <c r="M527" s="6">
        <v>123.53</v>
      </c>
      <c r="N527" s="6">
        <v>66.47</v>
      </c>
      <c r="O527" s="6">
        <v>11.14</v>
      </c>
      <c r="P527" s="6">
        <v>55.33</v>
      </c>
      <c r="Q527" t="s">
        <v>59</v>
      </c>
      <c r="R527" t="s">
        <v>60</v>
      </c>
      <c r="S527" t="s">
        <v>67</v>
      </c>
    </row>
    <row r="528" spans="1:19" x14ac:dyDescent="0.35">
      <c r="A528" t="s">
        <v>648</v>
      </c>
      <c r="B528" s="5">
        <v>45924</v>
      </c>
      <c r="C528" t="s">
        <v>97</v>
      </c>
      <c r="D528" t="s">
        <v>57</v>
      </c>
      <c r="E528">
        <v>1</v>
      </c>
      <c r="F528" s="6">
        <v>55</v>
      </c>
      <c r="G528" s="7">
        <v>0</v>
      </c>
      <c r="H528" s="6">
        <v>55</v>
      </c>
      <c r="I528">
        <v>0</v>
      </c>
      <c r="J528" s="6">
        <v>0</v>
      </c>
      <c r="K528">
        <v>1</v>
      </c>
      <c r="L528" s="6">
        <v>55</v>
      </c>
      <c r="M528" s="6">
        <v>35.49</v>
      </c>
      <c r="N528" s="6">
        <v>19.510000000000002</v>
      </c>
      <c r="O528" s="6">
        <v>5.15</v>
      </c>
      <c r="P528" s="6">
        <v>14.36</v>
      </c>
      <c r="Q528" t="s">
        <v>81</v>
      </c>
      <c r="R528" t="s">
        <v>82</v>
      </c>
      <c r="S528" t="s">
        <v>76</v>
      </c>
    </row>
    <row r="529" spans="1:19" x14ac:dyDescent="0.35">
      <c r="A529" t="s">
        <v>649</v>
      </c>
      <c r="B529" s="5">
        <v>45877</v>
      </c>
      <c r="C529" t="s">
        <v>264</v>
      </c>
      <c r="D529" t="s">
        <v>85</v>
      </c>
      <c r="E529">
        <v>1</v>
      </c>
      <c r="F529" s="6">
        <v>20</v>
      </c>
      <c r="G529" s="7">
        <v>0</v>
      </c>
      <c r="H529" s="6">
        <v>20</v>
      </c>
      <c r="I529">
        <v>0</v>
      </c>
      <c r="J529" s="6">
        <v>0</v>
      </c>
      <c r="K529">
        <v>1</v>
      </c>
      <c r="L529" s="6">
        <v>20</v>
      </c>
      <c r="M529" s="6">
        <v>15.71</v>
      </c>
      <c r="N529" s="6">
        <v>4.29</v>
      </c>
      <c r="O529" s="6">
        <v>1.49</v>
      </c>
      <c r="P529" s="6">
        <v>2.8</v>
      </c>
      <c r="Q529" t="s">
        <v>75</v>
      </c>
      <c r="R529" t="s">
        <v>60</v>
      </c>
      <c r="S529" t="s">
        <v>61</v>
      </c>
    </row>
    <row r="530" spans="1:19" x14ac:dyDescent="0.35">
      <c r="A530" t="s">
        <v>650</v>
      </c>
      <c r="B530" s="5">
        <v>45811</v>
      </c>
      <c r="C530" t="s">
        <v>88</v>
      </c>
      <c r="D530" t="s">
        <v>57</v>
      </c>
      <c r="E530">
        <v>3</v>
      </c>
      <c r="F530" s="6">
        <v>30</v>
      </c>
      <c r="G530" s="7">
        <v>5</v>
      </c>
      <c r="H530" s="6">
        <v>85.5</v>
      </c>
      <c r="I530">
        <v>0</v>
      </c>
      <c r="J530" s="6">
        <v>0</v>
      </c>
      <c r="K530">
        <v>3</v>
      </c>
      <c r="L530" s="6">
        <v>85.5</v>
      </c>
      <c r="M530" s="6">
        <v>60.5</v>
      </c>
      <c r="N530" s="6">
        <v>25</v>
      </c>
      <c r="O530" s="6">
        <v>7.46</v>
      </c>
      <c r="P530" s="6">
        <v>17.54</v>
      </c>
      <c r="Q530" t="s">
        <v>81</v>
      </c>
      <c r="R530" t="s">
        <v>82</v>
      </c>
      <c r="S530" t="s">
        <v>61</v>
      </c>
    </row>
    <row r="531" spans="1:19" x14ac:dyDescent="0.35">
      <c r="A531" t="s">
        <v>651</v>
      </c>
      <c r="B531" s="5">
        <v>45775</v>
      </c>
      <c r="C531" t="s">
        <v>264</v>
      </c>
      <c r="D531" t="s">
        <v>85</v>
      </c>
      <c r="E531">
        <v>8</v>
      </c>
      <c r="F531" s="6">
        <v>20</v>
      </c>
      <c r="G531" s="7">
        <v>0</v>
      </c>
      <c r="H531" s="6">
        <v>160</v>
      </c>
      <c r="I531">
        <v>0</v>
      </c>
      <c r="J531" s="6">
        <v>0</v>
      </c>
      <c r="K531">
        <v>8</v>
      </c>
      <c r="L531" s="6">
        <v>160</v>
      </c>
      <c r="M531" s="6">
        <v>127.32</v>
      </c>
      <c r="N531" s="6">
        <v>32.68</v>
      </c>
      <c r="O531" s="6">
        <v>20.48</v>
      </c>
      <c r="P531" s="6">
        <v>12.2</v>
      </c>
      <c r="Q531" t="s">
        <v>81</v>
      </c>
      <c r="R531" t="s">
        <v>66</v>
      </c>
      <c r="S531" t="s">
        <v>61</v>
      </c>
    </row>
    <row r="532" spans="1:19" x14ac:dyDescent="0.35">
      <c r="A532" t="s">
        <v>652</v>
      </c>
      <c r="B532" s="5">
        <v>45872</v>
      </c>
      <c r="C532" t="s">
        <v>63</v>
      </c>
      <c r="D532" t="s">
        <v>64</v>
      </c>
      <c r="E532">
        <v>2</v>
      </c>
      <c r="F532" s="6">
        <v>145</v>
      </c>
      <c r="G532" s="7">
        <v>5</v>
      </c>
      <c r="H532" s="6">
        <v>275.5</v>
      </c>
      <c r="I532">
        <v>0</v>
      </c>
      <c r="J532" s="6">
        <v>0</v>
      </c>
      <c r="K532">
        <v>2</v>
      </c>
      <c r="L532" s="6">
        <v>275.5</v>
      </c>
      <c r="M532" s="6">
        <v>200.84</v>
      </c>
      <c r="N532" s="6">
        <v>74.66</v>
      </c>
      <c r="O532" s="6">
        <v>34.380000000000003</v>
      </c>
      <c r="P532" s="6">
        <v>40.28</v>
      </c>
      <c r="Q532" t="s">
        <v>75</v>
      </c>
      <c r="R532" t="s">
        <v>60</v>
      </c>
      <c r="S532" t="s">
        <v>71</v>
      </c>
    </row>
    <row r="533" spans="1:19" x14ac:dyDescent="0.35">
      <c r="A533" t="s">
        <v>653</v>
      </c>
      <c r="B533" s="5">
        <v>45991</v>
      </c>
      <c r="C533" t="s">
        <v>264</v>
      </c>
      <c r="D533" t="s">
        <v>85</v>
      </c>
      <c r="E533">
        <v>8</v>
      </c>
      <c r="F533" s="6">
        <v>20</v>
      </c>
      <c r="G533" s="7">
        <v>0</v>
      </c>
      <c r="H533" s="6">
        <v>160</v>
      </c>
      <c r="I533">
        <v>0</v>
      </c>
      <c r="J533" s="6">
        <v>0</v>
      </c>
      <c r="K533">
        <v>8</v>
      </c>
      <c r="L533" s="6">
        <v>160</v>
      </c>
      <c r="M533" s="6">
        <v>101.58</v>
      </c>
      <c r="N533" s="6">
        <v>58.42</v>
      </c>
      <c r="O533" s="6">
        <v>14.48</v>
      </c>
      <c r="P533" s="6">
        <v>43.94</v>
      </c>
      <c r="Q533" t="s">
        <v>59</v>
      </c>
      <c r="R533" t="s">
        <v>82</v>
      </c>
      <c r="S533" t="s">
        <v>61</v>
      </c>
    </row>
    <row r="534" spans="1:19" x14ac:dyDescent="0.35">
      <c r="A534" t="s">
        <v>654</v>
      </c>
      <c r="B534" s="5">
        <v>45874</v>
      </c>
      <c r="C534" t="s">
        <v>427</v>
      </c>
      <c r="D534" t="s">
        <v>74</v>
      </c>
      <c r="E534">
        <v>1</v>
      </c>
      <c r="F534" s="6">
        <v>125</v>
      </c>
      <c r="G534" s="7">
        <v>0</v>
      </c>
      <c r="H534" s="6">
        <v>125</v>
      </c>
      <c r="I534">
        <v>0</v>
      </c>
      <c r="J534" s="6">
        <v>0</v>
      </c>
      <c r="K534">
        <v>1</v>
      </c>
      <c r="L534" s="6">
        <v>125</v>
      </c>
      <c r="M534" s="6">
        <v>105.73</v>
      </c>
      <c r="N534" s="6">
        <v>19.27</v>
      </c>
      <c r="O534" s="6">
        <v>10.77</v>
      </c>
      <c r="P534" s="6">
        <v>8.5</v>
      </c>
      <c r="Q534" t="s">
        <v>59</v>
      </c>
      <c r="R534" t="s">
        <v>82</v>
      </c>
      <c r="S534" t="s">
        <v>71</v>
      </c>
    </row>
    <row r="535" spans="1:19" x14ac:dyDescent="0.35">
      <c r="A535" t="s">
        <v>655</v>
      </c>
      <c r="B535" s="5">
        <v>45664</v>
      </c>
      <c r="C535" t="s">
        <v>73</v>
      </c>
      <c r="D535" t="s">
        <v>74</v>
      </c>
      <c r="E535">
        <v>3</v>
      </c>
      <c r="F535" s="6">
        <v>280</v>
      </c>
      <c r="G535" s="7">
        <v>0</v>
      </c>
      <c r="H535" s="6">
        <v>840</v>
      </c>
      <c r="I535">
        <v>0</v>
      </c>
      <c r="J535" s="6">
        <v>0</v>
      </c>
      <c r="K535">
        <v>3</v>
      </c>
      <c r="L535" s="6">
        <v>840</v>
      </c>
      <c r="M535" s="6">
        <v>600.82000000000005</v>
      </c>
      <c r="N535" s="6">
        <v>239.18</v>
      </c>
      <c r="O535" s="6">
        <v>69.89</v>
      </c>
      <c r="P535" s="6">
        <v>169.29</v>
      </c>
      <c r="Q535" t="s">
        <v>81</v>
      </c>
      <c r="R535" t="s">
        <v>66</v>
      </c>
      <c r="S535" t="s">
        <v>71</v>
      </c>
    </row>
    <row r="536" spans="1:19" x14ac:dyDescent="0.35">
      <c r="A536" t="s">
        <v>656</v>
      </c>
      <c r="B536" s="5">
        <v>45965</v>
      </c>
      <c r="C536" t="s">
        <v>107</v>
      </c>
      <c r="D536" t="s">
        <v>74</v>
      </c>
      <c r="E536">
        <v>1</v>
      </c>
      <c r="F536" s="6">
        <v>125</v>
      </c>
      <c r="G536" s="7">
        <v>0</v>
      </c>
      <c r="H536" s="6">
        <v>125</v>
      </c>
      <c r="I536">
        <v>0</v>
      </c>
      <c r="J536" s="6">
        <v>0</v>
      </c>
      <c r="K536">
        <v>1</v>
      </c>
      <c r="L536" s="6">
        <v>125</v>
      </c>
      <c r="M536" s="6">
        <v>95.55</v>
      </c>
      <c r="N536" s="6">
        <v>29.45</v>
      </c>
      <c r="O536" s="6">
        <v>10.26</v>
      </c>
      <c r="P536" s="6">
        <v>19.190000000000001</v>
      </c>
      <c r="Q536" t="s">
        <v>75</v>
      </c>
      <c r="R536" t="s">
        <v>66</v>
      </c>
      <c r="S536" t="s">
        <v>61</v>
      </c>
    </row>
    <row r="537" spans="1:19" x14ac:dyDescent="0.35">
      <c r="A537" t="s">
        <v>657</v>
      </c>
      <c r="B537" s="5">
        <v>45835</v>
      </c>
      <c r="C537" t="s">
        <v>100</v>
      </c>
      <c r="D537" t="s">
        <v>64</v>
      </c>
      <c r="E537">
        <v>1</v>
      </c>
      <c r="F537" s="6">
        <v>310</v>
      </c>
      <c r="G537" s="7">
        <v>2</v>
      </c>
      <c r="H537" s="6">
        <v>303.8</v>
      </c>
      <c r="I537">
        <v>0</v>
      </c>
      <c r="J537" s="6">
        <v>0</v>
      </c>
      <c r="K537">
        <v>1</v>
      </c>
      <c r="L537" s="6">
        <v>303.8</v>
      </c>
      <c r="M537" s="6">
        <v>239.26</v>
      </c>
      <c r="N537" s="6">
        <v>64.540000000000006</v>
      </c>
      <c r="O537" s="6">
        <v>16.21</v>
      </c>
      <c r="P537" s="6">
        <v>48.33</v>
      </c>
      <c r="Q537" t="s">
        <v>75</v>
      </c>
      <c r="R537" t="s">
        <v>66</v>
      </c>
      <c r="S537" t="s">
        <v>76</v>
      </c>
    </row>
    <row r="538" spans="1:19" x14ac:dyDescent="0.35">
      <c r="A538" t="s">
        <v>658</v>
      </c>
      <c r="B538" s="5">
        <v>45991</v>
      </c>
      <c r="C538" t="s">
        <v>596</v>
      </c>
      <c r="D538" t="s">
        <v>57</v>
      </c>
      <c r="E538">
        <v>2</v>
      </c>
      <c r="F538" s="6">
        <v>30</v>
      </c>
      <c r="G538" s="7">
        <v>5</v>
      </c>
      <c r="H538" s="6">
        <v>57</v>
      </c>
      <c r="I538">
        <v>0</v>
      </c>
      <c r="J538" s="6">
        <v>0</v>
      </c>
      <c r="K538">
        <v>2</v>
      </c>
      <c r="L538" s="6">
        <v>57</v>
      </c>
      <c r="M538" s="6">
        <v>42.73</v>
      </c>
      <c r="N538" s="6">
        <v>14.27</v>
      </c>
      <c r="O538" s="6">
        <v>5.43</v>
      </c>
      <c r="P538" s="6">
        <v>8.84</v>
      </c>
      <c r="Q538" t="s">
        <v>75</v>
      </c>
      <c r="R538" t="s">
        <v>82</v>
      </c>
      <c r="S538" t="s">
        <v>61</v>
      </c>
    </row>
    <row r="539" spans="1:19" x14ac:dyDescent="0.35">
      <c r="A539" t="s">
        <v>659</v>
      </c>
      <c r="B539" s="5">
        <v>45696</v>
      </c>
      <c r="C539" t="s">
        <v>117</v>
      </c>
      <c r="D539" t="s">
        <v>74</v>
      </c>
      <c r="E539">
        <v>3</v>
      </c>
      <c r="F539" s="6">
        <v>95</v>
      </c>
      <c r="G539" s="7">
        <v>10</v>
      </c>
      <c r="H539" s="6">
        <v>256.5</v>
      </c>
      <c r="I539">
        <v>0</v>
      </c>
      <c r="J539" s="6">
        <v>0</v>
      </c>
      <c r="K539">
        <v>3</v>
      </c>
      <c r="L539" s="6">
        <v>256.5</v>
      </c>
      <c r="M539" s="6">
        <v>181.9</v>
      </c>
      <c r="N539" s="6">
        <v>74.599999999999994</v>
      </c>
      <c r="O539" s="6">
        <v>23.57</v>
      </c>
      <c r="P539" s="6">
        <v>51.03</v>
      </c>
      <c r="Q539" t="s">
        <v>75</v>
      </c>
      <c r="R539" t="s">
        <v>86</v>
      </c>
      <c r="S539" t="s">
        <v>71</v>
      </c>
    </row>
    <row r="540" spans="1:19" x14ac:dyDescent="0.35">
      <c r="A540" t="s">
        <v>660</v>
      </c>
      <c r="B540" s="5">
        <v>45910</v>
      </c>
      <c r="C540" t="s">
        <v>264</v>
      </c>
      <c r="D540" t="s">
        <v>85</v>
      </c>
      <c r="E540">
        <v>5</v>
      </c>
      <c r="F540" s="6">
        <v>20</v>
      </c>
      <c r="G540" s="7">
        <v>10</v>
      </c>
      <c r="H540" s="6">
        <v>90</v>
      </c>
      <c r="I540">
        <v>0</v>
      </c>
      <c r="J540" s="6">
        <v>0</v>
      </c>
      <c r="K540">
        <v>5</v>
      </c>
      <c r="L540" s="6">
        <v>90</v>
      </c>
      <c r="M540" s="6">
        <v>63.57</v>
      </c>
      <c r="N540" s="6">
        <v>26.43</v>
      </c>
      <c r="O540" s="6">
        <v>5.91</v>
      </c>
      <c r="P540" s="6">
        <v>20.52</v>
      </c>
      <c r="Q540" t="s">
        <v>75</v>
      </c>
      <c r="R540" t="s">
        <v>60</v>
      </c>
      <c r="S540" t="s">
        <v>71</v>
      </c>
    </row>
    <row r="541" spans="1:19" x14ac:dyDescent="0.35">
      <c r="A541" t="s">
        <v>661</v>
      </c>
      <c r="B541" s="5">
        <v>45911</v>
      </c>
      <c r="C541" t="s">
        <v>90</v>
      </c>
      <c r="D541" t="s">
        <v>70</v>
      </c>
      <c r="E541">
        <v>2</v>
      </c>
      <c r="F541" s="6">
        <v>38</v>
      </c>
      <c r="G541" s="7">
        <v>2</v>
      </c>
      <c r="H541" s="6">
        <v>74.48</v>
      </c>
      <c r="I541">
        <v>0</v>
      </c>
      <c r="J541" s="6">
        <v>0</v>
      </c>
      <c r="K541">
        <v>2</v>
      </c>
      <c r="L541" s="6">
        <v>74.48</v>
      </c>
      <c r="M541" s="6">
        <v>60.51</v>
      </c>
      <c r="N541" s="6">
        <v>13.97</v>
      </c>
      <c r="O541" s="6">
        <v>6.24</v>
      </c>
      <c r="P541" s="6">
        <v>7.73</v>
      </c>
      <c r="Q541" t="s">
        <v>75</v>
      </c>
      <c r="R541" t="s">
        <v>82</v>
      </c>
      <c r="S541" t="s">
        <v>67</v>
      </c>
    </row>
    <row r="542" spans="1:19" x14ac:dyDescent="0.35">
      <c r="A542" t="s">
        <v>662</v>
      </c>
      <c r="B542" s="5">
        <v>45989</v>
      </c>
      <c r="C542" t="s">
        <v>350</v>
      </c>
      <c r="D542" t="s">
        <v>85</v>
      </c>
      <c r="E542">
        <v>3</v>
      </c>
      <c r="F542" s="6">
        <v>48</v>
      </c>
      <c r="G542" s="7">
        <v>5</v>
      </c>
      <c r="H542" s="6">
        <v>136.80000000000001</v>
      </c>
      <c r="I542">
        <v>1</v>
      </c>
      <c r="J542" s="6">
        <v>45.6</v>
      </c>
      <c r="K542">
        <v>2</v>
      </c>
      <c r="L542" s="6">
        <v>91.2</v>
      </c>
      <c r="M542" s="6">
        <v>77.349999999999994</v>
      </c>
      <c r="N542" s="6">
        <v>13.85</v>
      </c>
      <c r="O542" s="6">
        <v>10.94</v>
      </c>
      <c r="P542" s="6">
        <v>2.91</v>
      </c>
      <c r="Q542" t="s">
        <v>59</v>
      </c>
      <c r="R542" t="s">
        <v>66</v>
      </c>
      <c r="S542" t="s">
        <v>67</v>
      </c>
    </row>
    <row r="543" spans="1:19" x14ac:dyDescent="0.35">
      <c r="A543" t="s">
        <v>663</v>
      </c>
      <c r="B543" s="5">
        <v>45916</v>
      </c>
      <c r="C543" t="s">
        <v>264</v>
      </c>
      <c r="D543" t="s">
        <v>85</v>
      </c>
      <c r="E543">
        <v>1</v>
      </c>
      <c r="F543" s="6">
        <v>20</v>
      </c>
      <c r="G543" s="7">
        <v>0</v>
      </c>
      <c r="H543" s="6">
        <v>20</v>
      </c>
      <c r="I543">
        <v>0</v>
      </c>
      <c r="J543" s="6">
        <v>0</v>
      </c>
      <c r="K543">
        <v>1</v>
      </c>
      <c r="L543" s="6">
        <v>20</v>
      </c>
      <c r="M543" s="6">
        <v>15.49</v>
      </c>
      <c r="N543" s="6">
        <v>4.51</v>
      </c>
      <c r="O543" s="6">
        <v>1.0900000000000001</v>
      </c>
      <c r="P543" s="6">
        <v>3.42</v>
      </c>
      <c r="Q543" t="s">
        <v>59</v>
      </c>
      <c r="R543" t="s">
        <v>60</v>
      </c>
      <c r="S543" t="s">
        <v>71</v>
      </c>
    </row>
    <row r="544" spans="1:19" x14ac:dyDescent="0.35">
      <c r="A544" t="s">
        <v>664</v>
      </c>
      <c r="B544" s="5">
        <v>45867</v>
      </c>
      <c r="C544" t="s">
        <v>69</v>
      </c>
      <c r="D544" t="s">
        <v>70</v>
      </c>
      <c r="E544">
        <v>5</v>
      </c>
      <c r="F544" s="6">
        <v>210</v>
      </c>
      <c r="G544" s="7">
        <v>10</v>
      </c>
      <c r="H544" s="6">
        <v>945</v>
      </c>
      <c r="I544">
        <v>0</v>
      </c>
      <c r="J544" s="6">
        <v>0</v>
      </c>
      <c r="K544">
        <v>5</v>
      </c>
      <c r="L544" s="6">
        <v>945</v>
      </c>
      <c r="M544" s="6">
        <v>775.36</v>
      </c>
      <c r="N544" s="6">
        <v>169.64</v>
      </c>
      <c r="O544" s="6">
        <v>80.599999999999994</v>
      </c>
      <c r="P544" s="6">
        <v>89.04</v>
      </c>
      <c r="Q544" t="s">
        <v>65</v>
      </c>
      <c r="R544" t="s">
        <v>66</v>
      </c>
      <c r="S544" t="s">
        <v>71</v>
      </c>
    </row>
    <row r="545" spans="1:19" x14ac:dyDescent="0.35">
      <c r="A545" t="s">
        <v>665</v>
      </c>
      <c r="B545" s="5">
        <v>45801</v>
      </c>
      <c r="C545" t="s">
        <v>280</v>
      </c>
      <c r="D545" t="s">
        <v>64</v>
      </c>
      <c r="E545">
        <v>5</v>
      </c>
      <c r="F545" s="6">
        <v>310</v>
      </c>
      <c r="G545" s="7">
        <v>2</v>
      </c>
      <c r="H545" s="6">
        <v>1519</v>
      </c>
      <c r="I545">
        <v>0</v>
      </c>
      <c r="J545" s="6">
        <v>0</v>
      </c>
      <c r="K545">
        <v>5</v>
      </c>
      <c r="L545" s="6">
        <v>1519</v>
      </c>
      <c r="M545" s="6">
        <v>1227.74</v>
      </c>
      <c r="N545" s="6">
        <v>291.26</v>
      </c>
      <c r="O545" s="6">
        <v>126.28</v>
      </c>
      <c r="P545" s="6">
        <v>164.98</v>
      </c>
      <c r="Q545" t="s">
        <v>59</v>
      </c>
      <c r="R545" t="s">
        <v>82</v>
      </c>
      <c r="S545" t="s">
        <v>76</v>
      </c>
    </row>
    <row r="546" spans="1:19" x14ac:dyDescent="0.35">
      <c r="A546" t="s">
        <v>666</v>
      </c>
      <c r="B546" s="5">
        <v>45699</v>
      </c>
      <c r="C546" t="s">
        <v>92</v>
      </c>
      <c r="D546" t="s">
        <v>79</v>
      </c>
      <c r="E546">
        <v>4</v>
      </c>
      <c r="F546" s="6">
        <v>85</v>
      </c>
      <c r="G546" s="7">
        <v>2</v>
      </c>
      <c r="H546" s="6">
        <v>333.2</v>
      </c>
      <c r="I546">
        <v>0</v>
      </c>
      <c r="J546" s="6">
        <v>0</v>
      </c>
      <c r="K546">
        <v>4</v>
      </c>
      <c r="L546" s="6">
        <v>333.2</v>
      </c>
      <c r="M546" s="6">
        <v>221.37</v>
      </c>
      <c r="N546" s="6">
        <v>111.83</v>
      </c>
      <c r="O546" s="6">
        <v>32.770000000000003</v>
      </c>
      <c r="P546" s="6">
        <v>79.06</v>
      </c>
      <c r="Q546" t="s">
        <v>75</v>
      </c>
      <c r="R546" t="s">
        <v>86</v>
      </c>
      <c r="S546" t="s">
        <v>76</v>
      </c>
    </row>
    <row r="547" spans="1:19" x14ac:dyDescent="0.35">
      <c r="A547" t="s">
        <v>667</v>
      </c>
      <c r="B547" s="5">
        <v>46005</v>
      </c>
      <c r="C547" t="s">
        <v>84</v>
      </c>
      <c r="D547" t="s">
        <v>85</v>
      </c>
      <c r="E547">
        <v>3</v>
      </c>
      <c r="F547" s="6">
        <v>48</v>
      </c>
      <c r="G547" s="7">
        <v>0</v>
      </c>
      <c r="H547" s="6">
        <v>144</v>
      </c>
      <c r="I547">
        <v>1</v>
      </c>
      <c r="J547" s="6">
        <v>48</v>
      </c>
      <c r="K547">
        <v>2</v>
      </c>
      <c r="L547" s="6">
        <v>96</v>
      </c>
      <c r="M547" s="6">
        <v>73.930000000000007</v>
      </c>
      <c r="N547" s="6">
        <v>22.07</v>
      </c>
      <c r="O547" s="6">
        <v>6.22</v>
      </c>
      <c r="P547" s="6">
        <v>15.85</v>
      </c>
      <c r="Q547" t="s">
        <v>75</v>
      </c>
      <c r="R547" t="s">
        <v>60</v>
      </c>
      <c r="S547" t="s">
        <v>76</v>
      </c>
    </row>
    <row r="548" spans="1:19" x14ac:dyDescent="0.35">
      <c r="A548" t="s">
        <v>668</v>
      </c>
      <c r="B548" s="5">
        <v>45779</v>
      </c>
      <c r="C548" t="s">
        <v>109</v>
      </c>
      <c r="D548" t="s">
        <v>85</v>
      </c>
      <c r="E548">
        <v>2</v>
      </c>
      <c r="F548" s="6">
        <v>180</v>
      </c>
      <c r="G548" s="7">
        <v>10</v>
      </c>
      <c r="H548" s="6">
        <v>324</v>
      </c>
      <c r="I548">
        <v>0</v>
      </c>
      <c r="J548" s="6">
        <v>0</v>
      </c>
      <c r="K548">
        <v>2</v>
      </c>
      <c r="L548" s="6">
        <v>324</v>
      </c>
      <c r="M548" s="6">
        <v>274.94</v>
      </c>
      <c r="N548" s="6">
        <v>49.06</v>
      </c>
      <c r="O548" s="6">
        <v>23.21</v>
      </c>
      <c r="P548" s="6">
        <v>25.85</v>
      </c>
      <c r="Q548" t="s">
        <v>65</v>
      </c>
      <c r="R548" t="s">
        <v>60</v>
      </c>
      <c r="S548" t="s">
        <v>61</v>
      </c>
    </row>
    <row r="549" spans="1:19" x14ac:dyDescent="0.35">
      <c r="A549" t="s">
        <v>669</v>
      </c>
      <c r="B549" s="5">
        <v>46002</v>
      </c>
      <c r="C549" t="s">
        <v>92</v>
      </c>
      <c r="D549" t="s">
        <v>79</v>
      </c>
      <c r="E549">
        <v>1</v>
      </c>
      <c r="F549" s="6">
        <v>85</v>
      </c>
      <c r="G549" s="7">
        <v>0</v>
      </c>
      <c r="H549" s="6">
        <v>85</v>
      </c>
      <c r="I549">
        <v>0</v>
      </c>
      <c r="J549" s="6">
        <v>0</v>
      </c>
      <c r="K549">
        <v>1</v>
      </c>
      <c r="L549" s="6">
        <v>85</v>
      </c>
      <c r="M549" s="6">
        <v>64.41</v>
      </c>
      <c r="N549" s="6">
        <v>20.59</v>
      </c>
      <c r="O549" s="6">
        <v>10.220000000000001</v>
      </c>
      <c r="P549" s="6">
        <v>10.37</v>
      </c>
      <c r="Q549" t="s">
        <v>81</v>
      </c>
      <c r="R549" t="s">
        <v>66</v>
      </c>
      <c r="S549" t="s">
        <v>67</v>
      </c>
    </row>
    <row r="550" spans="1:19" x14ac:dyDescent="0.35">
      <c r="A550" t="s">
        <v>670</v>
      </c>
      <c r="B550" s="5">
        <v>45658</v>
      </c>
      <c r="C550" t="s">
        <v>671</v>
      </c>
      <c r="D550" t="s">
        <v>57</v>
      </c>
      <c r="E550">
        <v>1</v>
      </c>
      <c r="F550" s="6">
        <v>40</v>
      </c>
      <c r="G550" s="7">
        <v>0</v>
      </c>
      <c r="H550" s="6">
        <v>40</v>
      </c>
      <c r="I550">
        <v>0</v>
      </c>
      <c r="J550" s="6">
        <v>0</v>
      </c>
      <c r="K550">
        <v>1</v>
      </c>
      <c r="L550" s="6">
        <v>40</v>
      </c>
      <c r="M550" s="6">
        <v>26.58</v>
      </c>
      <c r="N550" s="6">
        <v>13.42</v>
      </c>
      <c r="O550" s="6">
        <v>4.07</v>
      </c>
      <c r="P550" s="6">
        <v>9.35</v>
      </c>
      <c r="Q550" t="s">
        <v>81</v>
      </c>
      <c r="R550" t="s">
        <v>60</v>
      </c>
      <c r="S550" t="s">
        <v>61</v>
      </c>
    </row>
    <row r="551" spans="1:19" x14ac:dyDescent="0.35">
      <c r="A551" t="s">
        <v>672</v>
      </c>
      <c r="B551" s="5">
        <v>45991</v>
      </c>
      <c r="C551" t="s">
        <v>121</v>
      </c>
      <c r="D551" t="s">
        <v>70</v>
      </c>
      <c r="E551">
        <v>3</v>
      </c>
      <c r="F551" s="6">
        <v>110</v>
      </c>
      <c r="G551" s="7">
        <v>0</v>
      </c>
      <c r="H551" s="6">
        <v>330</v>
      </c>
      <c r="I551">
        <v>0</v>
      </c>
      <c r="J551" s="6">
        <v>0</v>
      </c>
      <c r="K551">
        <v>3</v>
      </c>
      <c r="L551" s="6">
        <v>330</v>
      </c>
      <c r="M551" s="6">
        <v>278.8</v>
      </c>
      <c r="N551" s="6">
        <v>51.2</v>
      </c>
      <c r="O551" s="6">
        <v>37.53</v>
      </c>
      <c r="P551" s="6">
        <v>13.67</v>
      </c>
      <c r="Q551" t="s">
        <v>75</v>
      </c>
      <c r="R551" t="s">
        <v>86</v>
      </c>
      <c r="S551" t="s">
        <v>67</v>
      </c>
    </row>
    <row r="552" spans="1:19" x14ac:dyDescent="0.35">
      <c r="A552" t="s">
        <v>673</v>
      </c>
      <c r="B552" s="5">
        <v>45941</v>
      </c>
      <c r="C552" t="s">
        <v>264</v>
      </c>
      <c r="D552" t="s">
        <v>85</v>
      </c>
      <c r="E552">
        <v>4</v>
      </c>
      <c r="F552" s="6">
        <v>20</v>
      </c>
      <c r="G552" s="7">
        <v>5</v>
      </c>
      <c r="H552" s="6">
        <v>76</v>
      </c>
      <c r="I552">
        <v>0</v>
      </c>
      <c r="J552" s="6">
        <v>0</v>
      </c>
      <c r="K552">
        <v>4</v>
      </c>
      <c r="L552" s="6">
        <v>76</v>
      </c>
      <c r="M552" s="6">
        <v>47.98</v>
      </c>
      <c r="N552" s="6">
        <v>28.02</v>
      </c>
      <c r="O552" s="6">
        <v>4.3499999999999996</v>
      </c>
      <c r="P552" s="6">
        <v>23.67</v>
      </c>
      <c r="Q552" t="s">
        <v>81</v>
      </c>
      <c r="R552" t="s">
        <v>60</v>
      </c>
      <c r="S552" t="s">
        <v>61</v>
      </c>
    </row>
    <row r="553" spans="1:19" x14ac:dyDescent="0.35">
      <c r="A553" t="s">
        <v>674</v>
      </c>
      <c r="B553" s="5">
        <v>45725</v>
      </c>
      <c r="C553" t="s">
        <v>92</v>
      </c>
      <c r="D553" t="s">
        <v>79</v>
      </c>
      <c r="E553">
        <v>2</v>
      </c>
      <c r="F553" s="6">
        <v>85</v>
      </c>
      <c r="G553" s="7">
        <v>5</v>
      </c>
      <c r="H553" s="6">
        <v>161.5</v>
      </c>
      <c r="I553">
        <v>0</v>
      </c>
      <c r="J553" s="6">
        <v>0</v>
      </c>
      <c r="K553">
        <v>2</v>
      </c>
      <c r="L553" s="6">
        <v>161.5</v>
      </c>
      <c r="M553" s="6">
        <v>116.16</v>
      </c>
      <c r="N553" s="6">
        <v>45.34</v>
      </c>
      <c r="O553" s="6">
        <v>15.56</v>
      </c>
      <c r="P553" s="6">
        <v>29.78</v>
      </c>
      <c r="Q553" t="s">
        <v>81</v>
      </c>
      <c r="R553" t="s">
        <v>66</v>
      </c>
      <c r="S553" t="s">
        <v>71</v>
      </c>
    </row>
    <row r="554" spans="1:19" x14ac:dyDescent="0.35">
      <c r="A554" t="s">
        <v>675</v>
      </c>
      <c r="B554" s="5">
        <v>45926</v>
      </c>
      <c r="C554" t="s">
        <v>117</v>
      </c>
      <c r="D554" t="s">
        <v>243</v>
      </c>
      <c r="E554">
        <v>8</v>
      </c>
      <c r="F554" s="6">
        <v>95</v>
      </c>
      <c r="G554" s="7">
        <v>2</v>
      </c>
      <c r="H554" s="6">
        <v>744.8</v>
      </c>
      <c r="I554">
        <v>0</v>
      </c>
      <c r="J554" s="6">
        <v>0</v>
      </c>
      <c r="K554">
        <v>8</v>
      </c>
      <c r="L554" s="6">
        <v>744.8</v>
      </c>
      <c r="M554" s="6">
        <v>592.02</v>
      </c>
      <c r="N554" s="6">
        <v>152.78</v>
      </c>
      <c r="O554" s="6">
        <v>60.67</v>
      </c>
      <c r="P554" s="6">
        <v>92.11</v>
      </c>
      <c r="Q554" t="s">
        <v>75</v>
      </c>
      <c r="R554" t="s">
        <v>66</v>
      </c>
      <c r="S554" t="s">
        <v>61</v>
      </c>
    </row>
    <row r="555" spans="1:19" x14ac:dyDescent="0.35">
      <c r="A555" t="s">
        <v>676</v>
      </c>
      <c r="B555" s="5">
        <v>45771</v>
      </c>
      <c r="C555" t="s">
        <v>78</v>
      </c>
      <c r="D555" t="s">
        <v>79</v>
      </c>
      <c r="E555">
        <v>5</v>
      </c>
      <c r="F555" s="6">
        <v>120</v>
      </c>
      <c r="G555" s="7">
        <v>2</v>
      </c>
      <c r="H555" s="6">
        <v>588</v>
      </c>
      <c r="I555">
        <v>0</v>
      </c>
      <c r="J555" s="6">
        <v>0</v>
      </c>
      <c r="K555">
        <v>5</v>
      </c>
      <c r="L555" s="6">
        <v>588</v>
      </c>
      <c r="M555" s="6">
        <v>441.74</v>
      </c>
      <c r="N555" s="6">
        <v>146.26</v>
      </c>
      <c r="O555" s="6">
        <v>72.790000000000006</v>
      </c>
      <c r="P555" s="6">
        <v>73.47</v>
      </c>
      <c r="Q555" t="s">
        <v>59</v>
      </c>
      <c r="R555" t="s">
        <v>66</v>
      </c>
      <c r="S555" t="s">
        <v>76</v>
      </c>
    </row>
    <row r="556" spans="1:19" x14ac:dyDescent="0.35">
      <c r="A556" t="s">
        <v>677</v>
      </c>
      <c r="B556" s="5">
        <v>45873</v>
      </c>
      <c r="C556" t="s">
        <v>264</v>
      </c>
      <c r="D556" t="s">
        <v>85</v>
      </c>
      <c r="E556">
        <v>5</v>
      </c>
      <c r="F556" s="6">
        <v>20</v>
      </c>
      <c r="G556" s="7">
        <v>0</v>
      </c>
      <c r="H556" s="6">
        <v>100</v>
      </c>
      <c r="I556">
        <v>0</v>
      </c>
      <c r="J556" s="6">
        <v>0</v>
      </c>
      <c r="K556">
        <v>5</v>
      </c>
      <c r="L556" s="6">
        <v>100</v>
      </c>
      <c r="M556" s="6">
        <v>78.5</v>
      </c>
      <c r="N556" s="6">
        <v>21.5</v>
      </c>
      <c r="O556" s="6">
        <v>10.84</v>
      </c>
      <c r="P556" s="6">
        <v>10.66</v>
      </c>
      <c r="Q556" t="s">
        <v>75</v>
      </c>
      <c r="R556" t="s">
        <v>66</v>
      </c>
      <c r="S556" t="s">
        <v>76</v>
      </c>
    </row>
    <row r="557" spans="1:19" x14ac:dyDescent="0.35">
      <c r="A557" t="s">
        <v>678</v>
      </c>
      <c r="B557" s="5">
        <v>46005</v>
      </c>
      <c r="C557" t="s">
        <v>264</v>
      </c>
      <c r="D557" t="s">
        <v>85</v>
      </c>
      <c r="E557">
        <v>10</v>
      </c>
      <c r="F557" s="6">
        <v>20</v>
      </c>
      <c r="G557" s="7">
        <v>0</v>
      </c>
      <c r="H557" s="6">
        <v>200</v>
      </c>
      <c r="I557">
        <v>0</v>
      </c>
      <c r="J557" s="6">
        <v>0</v>
      </c>
      <c r="K557">
        <v>10</v>
      </c>
      <c r="L557" s="6">
        <v>200</v>
      </c>
      <c r="M557" s="6">
        <v>162.36000000000001</v>
      </c>
      <c r="N557" s="6">
        <v>37.64</v>
      </c>
      <c r="O557" s="6">
        <v>21.69</v>
      </c>
      <c r="P557" s="6">
        <v>15.95</v>
      </c>
      <c r="Q557" t="s">
        <v>65</v>
      </c>
      <c r="R557" t="s">
        <v>60</v>
      </c>
      <c r="S557" t="s">
        <v>67</v>
      </c>
    </row>
    <row r="558" spans="1:19" x14ac:dyDescent="0.35">
      <c r="A558" t="s">
        <v>679</v>
      </c>
      <c r="B558" s="5">
        <v>45784</v>
      </c>
      <c r="C558" t="s">
        <v>92</v>
      </c>
      <c r="D558" t="s">
        <v>79</v>
      </c>
      <c r="E558">
        <v>3</v>
      </c>
      <c r="F558" s="6">
        <v>85</v>
      </c>
      <c r="G558" s="7">
        <v>0</v>
      </c>
      <c r="H558" s="6">
        <v>255</v>
      </c>
      <c r="I558">
        <v>0</v>
      </c>
      <c r="J558" s="6">
        <v>0</v>
      </c>
      <c r="K558">
        <v>3</v>
      </c>
      <c r="L558" s="6">
        <v>255</v>
      </c>
      <c r="M558" s="6">
        <v>169.19</v>
      </c>
      <c r="N558" s="6">
        <v>85.81</v>
      </c>
      <c r="O558" s="6">
        <v>30.91</v>
      </c>
      <c r="P558" s="6">
        <v>54.9</v>
      </c>
      <c r="Q558" t="s">
        <v>59</v>
      </c>
      <c r="R558" t="s">
        <v>86</v>
      </c>
      <c r="S558" t="s">
        <v>61</v>
      </c>
    </row>
    <row r="559" spans="1:19" x14ac:dyDescent="0.35">
      <c r="A559" t="s">
        <v>680</v>
      </c>
      <c r="B559" s="5">
        <v>45830</v>
      </c>
      <c r="C559" t="s">
        <v>109</v>
      </c>
      <c r="D559" t="s">
        <v>110</v>
      </c>
      <c r="E559">
        <v>2</v>
      </c>
      <c r="F559" s="6">
        <v>180</v>
      </c>
      <c r="G559" s="7">
        <v>0</v>
      </c>
      <c r="H559" s="6">
        <v>360</v>
      </c>
      <c r="I559">
        <v>0</v>
      </c>
      <c r="J559" s="6">
        <v>0</v>
      </c>
      <c r="K559">
        <v>2</v>
      </c>
      <c r="L559" s="6">
        <v>360</v>
      </c>
      <c r="M559" s="6">
        <v>309.3</v>
      </c>
      <c r="N559" s="6">
        <v>50.7</v>
      </c>
      <c r="O559" s="6">
        <v>37.450000000000003</v>
      </c>
      <c r="P559" s="6">
        <v>13.25</v>
      </c>
      <c r="Q559" t="s">
        <v>81</v>
      </c>
      <c r="R559" t="s">
        <v>86</v>
      </c>
      <c r="S559" t="s">
        <v>61</v>
      </c>
    </row>
    <row r="560" spans="1:19" x14ac:dyDescent="0.35">
      <c r="A560" t="s">
        <v>681</v>
      </c>
      <c r="B560" s="5">
        <v>46020</v>
      </c>
      <c r="C560" t="s">
        <v>88</v>
      </c>
      <c r="D560" t="s">
        <v>153</v>
      </c>
      <c r="E560">
        <v>1</v>
      </c>
      <c r="F560" s="6">
        <v>30</v>
      </c>
      <c r="G560" s="7">
        <v>0</v>
      </c>
      <c r="H560" s="6">
        <v>30</v>
      </c>
      <c r="I560">
        <v>0</v>
      </c>
      <c r="J560" s="6">
        <v>0</v>
      </c>
      <c r="K560">
        <v>1</v>
      </c>
      <c r="L560" s="6">
        <v>30</v>
      </c>
      <c r="M560" s="6">
        <v>21.15</v>
      </c>
      <c r="N560" s="6">
        <v>8.85</v>
      </c>
      <c r="O560" s="6">
        <v>3.25</v>
      </c>
      <c r="P560" s="6">
        <v>5.6</v>
      </c>
      <c r="Q560" t="s">
        <v>59</v>
      </c>
      <c r="R560" t="s">
        <v>86</v>
      </c>
      <c r="S560" t="s">
        <v>71</v>
      </c>
    </row>
    <row r="561" spans="1:19" x14ac:dyDescent="0.35">
      <c r="A561" t="s">
        <v>682</v>
      </c>
      <c r="B561" s="5">
        <v>45958</v>
      </c>
      <c r="C561" t="s">
        <v>90</v>
      </c>
      <c r="D561" t="s">
        <v>683</v>
      </c>
      <c r="E561">
        <v>3</v>
      </c>
      <c r="F561" s="6">
        <v>38</v>
      </c>
      <c r="G561" s="7">
        <v>2</v>
      </c>
      <c r="H561" s="6">
        <v>111.72</v>
      </c>
      <c r="I561">
        <v>0</v>
      </c>
      <c r="J561" s="6">
        <v>0</v>
      </c>
      <c r="K561">
        <v>3</v>
      </c>
      <c r="L561" s="6">
        <v>111.72</v>
      </c>
      <c r="M561" s="6">
        <v>73.599999999999994</v>
      </c>
      <c r="N561" s="6">
        <v>38.119999999999997</v>
      </c>
      <c r="O561" s="6">
        <v>10.53</v>
      </c>
      <c r="P561" s="6">
        <v>27.59</v>
      </c>
      <c r="Q561" t="s">
        <v>65</v>
      </c>
      <c r="R561" t="s">
        <v>82</v>
      </c>
      <c r="S561" t="s">
        <v>61</v>
      </c>
    </row>
    <row r="562" spans="1:19" x14ac:dyDescent="0.35">
      <c r="A562" t="s">
        <v>684</v>
      </c>
      <c r="B562" s="5">
        <v>46004</v>
      </c>
      <c r="C562" t="s">
        <v>92</v>
      </c>
      <c r="D562" t="s">
        <v>79</v>
      </c>
      <c r="E562">
        <v>5</v>
      </c>
      <c r="F562" s="6">
        <v>85</v>
      </c>
      <c r="G562" s="7">
        <v>0</v>
      </c>
      <c r="H562" s="6">
        <v>425</v>
      </c>
      <c r="I562">
        <v>0</v>
      </c>
      <c r="J562" s="6">
        <v>0</v>
      </c>
      <c r="K562">
        <v>5</v>
      </c>
      <c r="L562" s="6">
        <v>425</v>
      </c>
      <c r="M562" s="6">
        <v>311.75</v>
      </c>
      <c r="N562" s="6">
        <v>113.25</v>
      </c>
      <c r="O562" s="6">
        <v>45.03</v>
      </c>
      <c r="P562" s="6">
        <v>68.22</v>
      </c>
      <c r="Q562" t="s">
        <v>75</v>
      </c>
      <c r="R562" t="s">
        <v>66</v>
      </c>
      <c r="S562" t="s">
        <v>67</v>
      </c>
    </row>
    <row r="563" spans="1:19" x14ac:dyDescent="0.35">
      <c r="A563" t="s">
        <v>685</v>
      </c>
      <c r="B563" s="5">
        <v>45685</v>
      </c>
      <c r="C563" t="s">
        <v>88</v>
      </c>
      <c r="D563" t="s">
        <v>57</v>
      </c>
      <c r="E563">
        <v>3</v>
      </c>
      <c r="F563" s="6">
        <v>30</v>
      </c>
      <c r="G563" s="7">
        <v>0</v>
      </c>
      <c r="H563" s="6">
        <v>90</v>
      </c>
      <c r="I563">
        <v>0</v>
      </c>
      <c r="J563" s="6">
        <v>0</v>
      </c>
      <c r="K563">
        <v>3</v>
      </c>
      <c r="L563" s="6">
        <v>90</v>
      </c>
      <c r="M563" s="6">
        <v>58.68</v>
      </c>
      <c r="N563" s="6">
        <v>31.32</v>
      </c>
      <c r="O563" s="6">
        <v>7.52</v>
      </c>
      <c r="P563" s="6">
        <v>23.8</v>
      </c>
      <c r="Q563" t="s">
        <v>75</v>
      </c>
      <c r="R563" t="s">
        <v>82</v>
      </c>
      <c r="S563" t="s">
        <v>67</v>
      </c>
    </row>
    <row r="564" spans="1:19" x14ac:dyDescent="0.35">
      <c r="A564" t="s">
        <v>686</v>
      </c>
      <c r="B564" s="5">
        <v>45979</v>
      </c>
      <c r="C564" t="s">
        <v>78</v>
      </c>
      <c r="D564" t="s">
        <v>79</v>
      </c>
      <c r="E564">
        <v>2</v>
      </c>
      <c r="F564" s="6">
        <v>120</v>
      </c>
      <c r="G564" s="7">
        <v>10</v>
      </c>
      <c r="H564" s="6">
        <v>216</v>
      </c>
      <c r="I564">
        <v>0</v>
      </c>
      <c r="J564" s="6">
        <v>0</v>
      </c>
      <c r="K564">
        <v>2</v>
      </c>
      <c r="L564" s="6">
        <v>216</v>
      </c>
      <c r="M564" s="6">
        <v>146.5</v>
      </c>
      <c r="N564" s="6">
        <v>69.5</v>
      </c>
      <c r="O564" s="6">
        <v>16.309999999999999</v>
      </c>
      <c r="P564" s="6">
        <v>53.19</v>
      </c>
      <c r="Q564" t="s">
        <v>65</v>
      </c>
      <c r="R564" t="s">
        <v>60</v>
      </c>
      <c r="S564" t="s">
        <v>76</v>
      </c>
    </row>
    <row r="565" spans="1:19" x14ac:dyDescent="0.35">
      <c r="A565" t="s">
        <v>687</v>
      </c>
      <c r="B565" s="5">
        <v>45692</v>
      </c>
      <c r="C565" t="s">
        <v>95</v>
      </c>
      <c r="D565" t="s">
        <v>64</v>
      </c>
      <c r="E565">
        <v>1</v>
      </c>
      <c r="F565" s="6">
        <v>52</v>
      </c>
      <c r="G565" s="7">
        <v>0</v>
      </c>
      <c r="H565" s="6">
        <v>52</v>
      </c>
      <c r="I565">
        <v>0</v>
      </c>
      <c r="J565" s="6">
        <v>0</v>
      </c>
      <c r="K565">
        <v>1</v>
      </c>
      <c r="L565" s="6">
        <v>52</v>
      </c>
      <c r="M565" s="6">
        <v>41.16</v>
      </c>
      <c r="N565" s="6">
        <v>10.84</v>
      </c>
      <c r="O565" s="6">
        <v>3.12</v>
      </c>
      <c r="P565" s="6">
        <v>7.72</v>
      </c>
      <c r="Q565" t="s">
        <v>81</v>
      </c>
      <c r="R565" t="s">
        <v>66</v>
      </c>
      <c r="S565" t="s">
        <v>61</v>
      </c>
    </row>
    <row r="566" spans="1:19" x14ac:dyDescent="0.35">
      <c r="A566" t="s">
        <v>688</v>
      </c>
      <c r="B566" s="5">
        <v>45868</v>
      </c>
      <c r="C566" t="s">
        <v>90</v>
      </c>
      <c r="D566" t="s">
        <v>70</v>
      </c>
      <c r="E566">
        <v>3</v>
      </c>
      <c r="F566" s="6">
        <v>38</v>
      </c>
      <c r="G566" s="7">
        <v>0</v>
      </c>
      <c r="H566" s="6">
        <v>114</v>
      </c>
      <c r="I566">
        <v>0</v>
      </c>
      <c r="J566" s="6">
        <v>0</v>
      </c>
      <c r="K566">
        <v>3</v>
      </c>
      <c r="L566" s="6">
        <v>114</v>
      </c>
      <c r="M566" s="6">
        <v>86.77</v>
      </c>
      <c r="N566" s="6">
        <v>27.23</v>
      </c>
      <c r="O566" s="6">
        <v>11.42</v>
      </c>
      <c r="P566" s="6">
        <v>15.81</v>
      </c>
      <c r="Q566" t="s">
        <v>75</v>
      </c>
      <c r="R566" t="s">
        <v>86</v>
      </c>
      <c r="S566" t="s">
        <v>71</v>
      </c>
    </row>
    <row r="567" spans="1:19" x14ac:dyDescent="0.35">
      <c r="A567" t="s">
        <v>689</v>
      </c>
      <c r="B567" s="5">
        <v>45691</v>
      </c>
      <c r="C567" t="s">
        <v>92</v>
      </c>
      <c r="D567" t="s">
        <v>79</v>
      </c>
      <c r="E567">
        <v>2</v>
      </c>
      <c r="F567" s="6">
        <v>85</v>
      </c>
      <c r="G567" s="7">
        <v>0</v>
      </c>
      <c r="H567" s="6">
        <v>170</v>
      </c>
      <c r="I567">
        <v>0</v>
      </c>
      <c r="J567" s="6">
        <v>0</v>
      </c>
      <c r="K567">
        <v>2</v>
      </c>
      <c r="L567" s="6">
        <v>170</v>
      </c>
      <c r="M567" s="6">
        <v>112.12</v>
      </c>
      <c r="N567" s="6">
        <v>57.88</v>
      </c>
      <c r="O567" s="6">
        <v>19.25</v>
      </c>
      <c r="P567" s="6">
        <v>38.630000000000003</v>
      </c>
      <c r="Q567" t="s">
        <v>75</v>
      </c>
      <c r="R567" t="s">
        <v>66</v>
      </c>
      <c r="S567" t="s">
        <v>67</v>
      </c>
    </row>
    <row r="568" spans="1:19" x14ac:dyDescent="0.35">
      <c r="A568" t="s">
        <v>690</v>
      </c>
      <c r="B568" s="5">
        <v>45667</v>
      </c>
      <c r="C568" t="s">
        <v>109</v>
      </c>
      <c r="D568" t="s">
        <v>85</v>
      </c>
      <c r="E568">
        <v>3</v>
      </c>
      <c r="F568" s="6">
        <v>180</v>
      </c>
      <c r="G568" s="7">
        <v>0</v>
      </c>
      <c r="H568" s="6">
        <v>540</v>
      </c>
      <c r="I568">
        <v>0</v>
      </c>
      <c r="J568" s="6">
        <v>0</v>
      </c>
      <c r="K568">
        <v>3</v>
      </c>
      <c r="L568" s="6">
        <v>540</v>
      </c>
      <c r="M568" s="6">
        <v>442.57</v>
      </c>
      <c r="N568" s="6">
        <v>97.43</v>
      </c>
      <c r="O568" s="6">
        <v>58.24</v>
      </c>
      <c r="P568" s="6">
        <v>39.19</v>
      </c>
      <c r="Q568" t="s">
        <v>81</v>
      </c>
      <c r="R568" t="s">
        <v>66</v>
      </c>
      <c r="S568" t="s">
        <v>61</v>
      </c>
    </row>
    <row r="569" spans="1:19" x14ac:dyDescent="0.35">
      <c r="A569" t="s">
        <v>691</v>
      </c>
      <c r="B569" s="5">
        <v>45766</v>
      </c>
      <c r="C569" t="s">
        <v>78</v>
      </c>
      <c r="D569" t="s">
        <v>79</v>
      </c>
      <c r="E569">
        <v>2</v>
      </c>
      <c r="F569" s="6">
        <v>120</v>
      </c>
      <c r="G569" s="7">
        <v>0</v>
      </c>
      <c r="H569" s="6">
        <v>240</v>
      </c>
      <c r="I569">
        <v>1</v>
      </c>
      <c r="J569" s="6">
        <v>120</v>
      </c>
      <c r="K569">
        <v>1</v>
      </c>
      <c r="L569" s="6">
        <v>120</v>
      </c>
      <c r="M569" s="6">
        <v>97.78</v>
      </c>
      <c r="N569" s="6">
        <v>22.22</v>
      </c>
      <c r="O569" s="6">
        <v>14.29</v>
      </c>
      <c r="P569" s="6">
        <v>7.93</v>
      </c>
      <c r="Q569" t="s">
        <v>75</v>
      </c>
      <c r="R569" t="s">
        <v>82</v>
      </c>
      <c r="S569" t="s">
        <v>61</v>
      </c>
    </row>
    <row r="570" spans="1:19" x14ac:dyDescent="0.35">
      <c r="A570" t="s">
        <v>692</v>
      </c>
      <c r="B570" s="5">
        <v>45803</v>
      </c>
      <c r="C570" t="s">
        <v>107</v>
      </c>
      <c r="D570" t="s">
        <v>74</v>
      </c>
      <c r="E570">
        <v>1</v>
      </c>
      <c r="F570" s="6">
        <v>125</v>
      </c>
      <c r="G570" s="7">
        <v>0</v>
      </c>
      <c r="H570" s="6">
        <v>125</v>
      </c>
      <c r="I570">
        <v>0</v>
      </c>
      <c r="J570" s="6">
        <v>0</v>
      </c>
      <c r="K570">
        <v>1</v>
      </c>
      <c r="L570" s="6">
        <v>125</v>
      </c>
      <c r="M570" s="6">
        <v>104.09</v>
      </c>
      <c r="N570" s="6">
        <v>20.91</v>
      </c>
      <c r="O570" s="6">
        <v>11.9</v>
      </c>
      <c r="P570" s="6">
        <v>9.01</v>
      </c>
      <c r="Q570" t="s">
        <v>59</v>
      </c>
      <c r="R570" t="s">
        <v>82</v>
      </c>
      <c r="S570" t="s">
        <v>67</v>
      </c>
    </row>
    <row r="571" spans="1:19" x14ac:dyDescent="0.35">
      <c r="A571" t="s">
        <v>693</v>
      </c>
      <c r="B571" s="5">
        <v>45848</v>
      </c>
      <c r="C571" t="s">
        <v>90</v>
      </c>
      <c r="D571" t="s">
        <v>70</v>
      </c>
      <c r="E571">
        <v>1</v>
      </c>
      <c r="F571" s="6">
        <v>38</v>
      </c>
      <c r="G571" s="7">
        <v>5</v>
      </c>
      <c r="H571" s="6">
        <v>36.1</v>
      </c>
      <c r="I571">
        <v>0</v>
      </c>
      <c r="J571" s="6">
        <v>0</v>
      </c>
      <c r="K571">
        <v>1</v>
      </c>
      <c r="L571" s="6">
        <v>36.1</v>
      </c>
      <c r="M571" s="6">
        <v>24.19</v>
      </c>
      <c r="N571" s="6">
        <v>11.91</v>
      </c>
      <c r="O571" s="6">
        <v>3.65</v>
      </c>
      <c r="P571" s="6">
        <v>8.26</v>
      </c>
      <c r="Q571" t="s">
        <v>81</v>
      </c>
      <c r="R571" t="s">
        <v>86</v>
      </c>
      <c r="S571" t="s">
        <v>67</v>
      </c>
    </row>
    <row r="572" spans="1:19" x14ac:dyDescent="0.35">
      <c r="A572" t="s">
        <v>694</v>
      </c>
      <c r="B572" s="5">
        <v>45731</v>
      </c>
      <c r="C572" t="s">
        <v>264</v>
      </c>
      <c r="D572" t="s">
        <v>85</v>
      </c>
      <c r="E572">
        <v>2</v>
      </c>
      <c r="F572" s="6">
        <v>20</v>
      </c>
      <c r="G572" s="7">
        <v>0</v>
      </c>
      <c r="H572" s="6">
        <v>40</v>
      </c>
      <c r="I572">
        <v>0</v>
      </c>
      <c r="J572" s="6">
        <v>0</v>
      </c>
      <c r="K572">
        <v>2</v>
      </c>
      <c r="L572" s="6">
        <v>40</v>
      </c>
      <c r="M572" s="6">
        <v>33.049999999999997</v>
      </c>
      <c r="N572" s="6">
        <v>6.95</v>
      </c>
      <c r="O572" s="6">
        <v>4.16</v>
      </c>
      <c r="P572" s="6">
        <v>2.79</v>
      </c>
      <c r="Q572" t="s">
        <v>65</v>
      </c>
      <c r="R572" t="s">
        <v>86</v>
      </c>
      <c r="S572" t="s">
        <v>67</v>
      </c>
    </row>
    <row r="573" spans="1:19" x14ac:dyDescent="0.35">
      <c r="A573" t="s">
        <v>695</v>
      </c>
      <c r="B573" s="5">
        <v>45998</v>
      </c>
      <c r="C573" t="s">
        <v>104</v>
      </c>
      <c r="D573" t="s">
        <v>105</v>
      </c>
      <c r="E573">
        <v>3</v>
      </c>
      <c r="F573" s="6">
        <v>65</v>
      </c>
      <c r="G573" s="7">
        <v>2</v>
      </c>
      <c r="H573" s="6">
        <v>191.1</v>
      </c>
      <c r="I573">
        <v>0</v>
      </c>
      <c r="J573" s="6">
        <v>0</v>
      </c>
      <c r="K573">
        <v>3</v>
      </c>
      <c r="L573" s="6">
        <v>191.1</v>
      </c>
      <c r="M573" s="6">
        <v>161.21</v>
      </c>
      <c r="N573" s="6">
        <v>29.89</v>
      </c>
      <c r="O573" s="6">
        <v>21.84</v>
      </c>
      <c r="P573" s="6">
        <v>8.0500000000000007</v>
      </c>
      <c r="Q573" t="s">
        <v>59</v>
      </c>
      <c r="R573" t="s">
        <v>66</v>
      </c>
      <c r="S573" t="s">
        <v>71</v>
      </c>
    </row>
    <row r="574" spans="1:19" x14ac:dyDescent="0.35">
      <c r="A574" t="s">
        <v>696</v>
      </c>
      <c r="B574" s="5">
        <v>45787</v>
      </c>
      <c r="C574" t="s">
        <v>92</v>
      </c>
      <c r="D574" t="s">
        <v>79</v>
      </c>
      <c r="E574">
        <v>6</v>
      </c>
      <c r="F574" s="6">
        <v>85</v>
      </c>
      <c r="G574" s="7">
        <v>0</v>
      </c>
      <c r="H574" s="6">
        <v>510</v>
      </c>
      <c r="I574">
        <v>0</v>
      </c>
      <c r="J574" s="6">
        <v>0</v>
      </c>
      <c r="K574">
        <v>6</v>
      </c>
      <c r="L574" s="6">
        <v>510</v>
      </c>
      <c r="M574" s="6">
        <v>334.79</v>
      </c>
      <c r="N574" s="6">
        <v>175.21</v>
      </c>
      <c r="O574" s="6">
        <v>27.72</v>
      </c>
      <c r="P574" s="6">
        <v>147.49</v>
      </c>
      <c r="Q574" t="s">
        <v>75</v>
      </c>
      <c r="R574" t="s">
        <v>66</v>
      </c>
      <c r="S574" t="s">
        <v>71</v>
      </c>
    </row>
    <row r="575" spans="1:19" x14ac:dyDescent="0.35">
      <c r="A575" t="s">
        <v>697</v>
      </c>
      <c r="B575" s="5">
        <v>45997</v>
      </c>
      <c r="C575" t="s">
        <v>56</v>
      </c>
      <c r="D575" t="s">
        <v>57</v>
      </c>
      <c r="E575">
        <v>4</v>
      </c>
      <c r="F575" s="6">
        <v>40</v>
      </c>
      <c r="G575" s="7">
        <v>5</v>
      </c>
      <c r="H575" s="6">
        <v>152</v>
      </c>
      <c r="I575">
        <v>0</v>
      </c>
      <c r="J575" s="6">
        <v>0</v>
      </c>
      <c r="K575">
        <v>4</v>
      </c>
      <c r="L575" s="6">
        <v>152</v>
      </c>
      <c r="M575" s="6">
        <v>107.63</v>
      </c>
      <c r="N575" s="6">
        <v>44.37</v>
      </c>
      <c r="O575" s="6">
        <v>10.11</v>
      </c>
      <c r="P575" s="6">
        <v>34.26</v>
      </c>
      <c r="Q575" t="s">
        <v>65</v>
      </c>
      <c r="R575" t="s">
        <v>66</v>
      </c>
      <c r="S575" t="s">
        <v>76</v>
      </c>
    </row>
    <row r="576" spans="1:19" x14ac:dyDescent="0.35">
      <c r="A576" t="s">
        <v>698</v>
      </c>
      <c r="B576" s="5">
        <v>45692</v>
      </c>
      <c r="C576" t="s">
        <v>92</v>
      </c>
      <c r="D576" t="s">
        <v>79</v>
      </c>
      <c r="E576">
        <v>3</v>
      </c>
      <c r="F576" s="6">
        <v>85</v>
      </c>
      <c r="G576" s="7">
        <v>10</v>
      </c>
      <c r="H576" s="6">
        <v>229.5</v>
      </c>
      <c r="I576">
        <v>0</v>
      </c>
      <c r="J576" s="6">
        <v>0</v>
      </c>
      <c r="K576">
        <v>3</v>
      </c>
      <c r="L576" s="6">
        <v>229.5</v>
      </c>
      <c r="M576" s="6">
        <v>187.02</v>
      </c>
      <c r="N576" s="6">
        <v>42.48</v>
      </c>
      <c r="O576" s="6">
        <v>26.07</v>
      </c>
      <c r="P576" s="6">
        <v>16.41</v>
      </c>
      <c r="Q576" t="s">
        <v>59</v>
      </c>
      <c r="R576" t="s">
        <v>82</v>
      </c>
      <c r="S576" t="s">
        <v>67</v>
      </c>
    </row>
    <row r="577" spans="1:19" x14ac:dyDescent="0.35">
      <c r="A577" t="s">
        <v>699</v>
      </c>
      <c r="B577" s="5">
        <v>45889</v>
      </c>
      <c r="C577" t="s">
        <v>92</v>
      </c>
      <c r="D577" t="s">
        <v>79</v>
      </c>
      <c r="E577">
        <v>8</v>
      </c>
      <c r="F577" s="6">
        <v>85</v>
      </c>
      <c r="G577" s="7">
        <v>0</v>
      </c>
      <c r="H577" s="6">
        <v>680</v>
      </c>
      <c r="I577">
        <v>0</v>
      </c>
      <c r="J577" s="6">
        <v>0</v>
      </c>
      <c r="K577">
        <v>8</v>
      </c>
      <c r="L577" s="6">
        <v>680</v>
      </c>
      <c r="M577" s="6">
        <v>476.96</v>
      </c>
      <c r="N577" s="6">
        <v>203.04</v>
      </c>
      <c r="O577" s="6">
        <v>60.45</v>
      </c>
      <c r="P577" s="6">
        <v>142.59</v>
      </c>
      <c r="Q577" t="s">
        <v>59</v>
      </c>
      <c r="R577" t="s">
        <v>86</v>
      </c>
      <c r="S577" t="s">
        <v>71</v>
      </c>
    </row>
    <row r="578" spans="1:19" x14ac:dyDescent="0.35">
      <c r="A578" t="s">
        <v>700</v>
      </c>
      <c r="B578" s="5">
        <v>45691</v>
      </c>
      <c r="C578" t="s">
        <v>117</v>
      </c>
      <c r="D578" t="s">
        <v>74</v>
      </c>
      <c r="E578">
        <v>5</v>
      </c>
      <c r="F578" s="6">
        <v>95</v>
      </c>
      <c r="G578" s="7">
        <v>10</v>
      </c>
      <c r="H578" s="6">
        <v>427.5</v>
      </c>
      <c r="I578">
        <v>0</v>
      </c>
      <c r="J578" s="6">
        <v>0</v>
      </c>
      <c r="K578">
        <v>5</v>
      </c>
      <c r="L578" s="6">
        <v>427.5</v>
      </c>
      <c r="M578" s="6">
        <v>296.08</v>
      </c>
      <c r="N578" s="6">
        <v>131.41999999999999</v>
      </c>
      <c r="O578" s="6">
        <v>50.69</v>
      </c>
      <c r="P578" s="6">
        <v>80.73</v>
      </c>
      <c r="Q578" t="s">
        <v>65</v>
      </c>
      <c r="R578" t="s">
        <v>66</v>
      </c>
      <c r="S578" t="s">
        <v>71</v>
      </c>
    </row>
    <row r="579" spans="1:19" x14ac:dyDescent="0.35">
      <c r="A579" t="s">
        <v>701</v>
      </c>
      <c r="B579" s="5">
        <v>45683</v>
      </c>
      <c r="C579" t="s">
        <v>78</v>
      </c>
      <c r="D579" t="s">
        <v>79</v>
      </c>
      <c r="E579">
        <v>8</v>
      </c>
      <c r="F579" s="6">
        <v>120</v>
      </c>
      <c r="G579" s="7">
        <v>2</v>
      </c>
      <c r="H579" s="6">
        <v>940.8</v>
      </c>
      <c r="I579">
        <v>0</v>
      </c>
      <c r="J579" s="6">
        <v>0</v>
      </c>
      <c r="K579">
        <v>8</v>
      </c>
      <c r="L579" s="6">
        <v>940.8</v>
      </c>
      <c r="M579" s="6">
        <v>658.17</v>
      </c>
      <c r="N579" s="6">
        <v>282.63</v>
      </c>
      <c r="O579" s="6">
        <v>95.64</v>
      </c>
      <c r="P579" s="6">
        <v>186.99</v>
      </c>
      <c r="Q579" t="s">
        <v>59</v>
      </c>
      <c r="R579" t="s">
        <v>60</v>
      </c>
      <c r="S579" t="s">
        <v>71</v>
      </c>
    </row>
    <row r="580" spans="1:19" x14ac:dyDescent="0.35">
      <c r="A580" t="s">
        <v>702</v>
      </c>
      <c r="B580" s="5">
        <v>45711</v>
      </c>
      <c r="C580" t="s">
        <v>100</v>
      </c>
      <c r="D580" t="s">
        <v>64</v>
      </c>
      <c r="E580">
        <v>1</v>
      </c>
      <c r="F580" s="6">
        <v>310</v>
      </c>
      <c r="G580" s="7">
        <v>0</v>
      </c>
      <c r="H580" s="6">
        <v>310</v>
      </c>
      <c r="I580">
        <v>0</v>
      </c>
      <c r="J580" s="6">
        <v>0</v>
      </c>
      <c r="K580">
        <v>1</v>
      </c>
      <c r="L580" s="6">
        <v>310</v>
      </c>
      <c r="M580" s="6">
        <v>192.58</v>
      </c>
      <c r="N580" s="6">
        <v>117.42</v>
      </c>
      <c r="O580" s="6">
        <v>17.59</v>
      </c>
      <c r="P580" s="6">
        <v>99.83</v>
      </c>
      <c r="Q580" t="s">
        <v>65</v>
      </c>
      <c r="R580" t="s">
        <v>60</v>
      </c>
      <c r="S580" t="s">
        <v>71</v>
      </c>
    </row>
    <row r="581" spans="1:19" x14ac:dyDescent="0.35">
      <c r="A581" t="s">
        <v>703</v>
      </c>
      <c r="B581" s="5">
        <v>45814</v>
      </c>
      <c r="C581" t="s">
        <v>88</v>
      </c>
      <c r="D581" t="s">
        <v>57</v>
      </c>
      <c r="E581">
        <v>6</v>
      </c>
      <c r="F581" s="6">
        <v>30</v>
      </c>
      <c r="G581" s="7">
        <v>0</v>
      </c>
      <c r="H581" s="6">
        <v>180</v>
      </c>
      <c r="I581">
        <v>0</v>
      </c>
      <c r="J581" s="6">
        <v>0</v>
      </c>
      <c r="K581">
        <v>6</v>
      </c>
      <c r="L581" s="6">
        <v>180</v>
      </c>
      <c r="M581" s="6">
        <v>145.43</v>
      </c>
      <c r="N581" s="6">
        <v>34.57</v>
      </c>
      <c r="O581" s="6">
        <v>23.21</v>
      </c>
      <c r="P581" s="6">
        <v>11.36</v>
      </c>
      <c r="Q581" t="s">
        <v>59</v>
      </c>
      <c r="R581" t="s">
        <v>86</v>
      </c>
      <c r="S581" t="s">
        <v>61</v>
      </c>
    </row>
    <row r="582" spans="1:19" x14ac:dyDescent="0.35">
      <c r="A582" t="s">
        <v>704</v>
      </c>
      <c r="B582" s="5">
        <v>45887</v>
      </c>
      <c r="C582" t="s">
        <v>63</v>
      </c>
      <c r="D582" t="s">
        <v>128</v>
      </c>
      <c r="E582">
        <v>4</v>
      </c>
      <c r="F582" s="6">
        <v>145</v>
      </c>
      <c r="G582" s="7">
        <v>2</v>
      </c>
      <c r="H582" s="6">
        <v>568.4</v>
      </c>
      <c r="I582">
        <v>0</v>
      </c>
      <c r="J582" s="6">
        <v>0</v>
      </c>
      <c r="K582">
        <v>4</v>
      </c>
      <c r="L582" s="6">
        <v>568.4</v>
      </c>
      <c r="M582" s="6">
        <v>394.31</v>
      </c>
      <c r="N582" s="6">
        <v>174.09</v>
      </c>
      <c r="O582" s="6">
        <v>72.05</v>
      </c>
      <c r="P582" s="6">
        <v>102.04</v>
      </c>
      <c r="Q582" t="s">
        <v>59</v>
      </c>
      <c r="R582" t="s">
        <v>86</v>
      </c>
      <c r="S582" t="s">
        <v>76</v>
      </c>
    </row>
    <row r="583" spans="1:19" x14ac:dyDescent="0.35">
      <c r="A583" t="s">
        <v>705</v>
      </c>
      <c r="B583" s="5">
        <v>45844</v>
      </c>
      <c r="C583" t="s">
        <v>97</v>
      </c>
      <c r="D583" t="s">
        <v>57</v>
      </c>
      <c r="E583">
        <v>5</v>
      </c>
      <c r="F583" s="6">
        <v>55</v>
      </c>
      <c r="G583" s="7">
        <v>2</v>
      </c>
      <c r="H583" s="6">
        <v>269.5</v>
      </c>
      <c r="I583">
        <v>0</v>
      </c>
      <c r="J583" s="6">
        <v>0</v>
      </c>
      <c r="K583">
        <v>5</v>
      </c>
      <c r="L583" s="6">
        <v>269.5</v>
      </c>
      <c r="M583" s="6">
        <v>208.23</v>
      </c>
      <c r="N583" s="6">
        <v>61.27</v>
      </c>
      <c r="O583" s="6">
        <v>25.93</v>
      </c>
      <c r="P583" s="6">
        <v>35.340000000000003</v>
      </c>
      <c r="Q583" t="s">
        <v>59</v>
      </c>
      <c r="R583" t="s">
        <v>66</v>
      </c>
      <c r="S583" t="s">
        <v>76</v>
      </c>
    </row>
    <row r="584" spans="1:19" x14ac:dyDescent="0.35">
      <c r="A584" t="s">
        <v>706</v>
      </c>
      <c r="B584" s="5">
        <v>45910</v>
      </c>
      <c r="C584" t="s">
        <v>117</v>
      </c>
      <c r="D584" t="s">
        <v>74</v>
      </c>
      <c r="E584">
        <v>5</v>
      </c>
      <c r="F584" s="6">
        <v>95</v>
      </c>
      <c r="G584" s="7">
        <v>5</v>
      </c>
      <c r="H584" s="6">
        <v>451.25</v>
      </c>
      <c r="I584">
        <v>0</v>
      </c>
      <c r="J584" s="6">
        <v>0</v>
      </c>
      <c r="K584">
        <v>5</v>
      </c>
      <c r="L584" s="6">
        <v>451.25</v>
      </c>
      <c r="M584" s="6">
        <v>356.6</v>
      </c>
      <c r="N584" s="6">
        <v>94.65</v>
      </c>
      <c r="O584" s="6">
        <v>52.85</v>
      </c>
      <c r="P584" s="6">
        <v>41.8</v>
      </c>
      <c r="Q584" t="s">
        <v>75</v>
      </c>
      <c r="R584" t="s">
        <v>60</v>
      </c>
      <c r="S584" t="s">
        <v>76</v>
      </c>
    </row>
    <row r="585" spans="1:19" x14ac:dyDescent="0.35">
      <c r="A585" t="s">
        <v>707</v>
      </c>
      <c r="B585" s="5">
        <v>45736</v>
      </c>
      <c r="C585" t="s">
        <v>107</v>
      </c>
      <c r="D585" t="s">
        <v>74</v>
      </c>
      <c r="E585">
        <v>2</v>
      </c>
      <c r="F585" s="6">
        <v>125</v>
      </c>
      <c r="G585" s="7">
        <v>0</v>
      </c>
      <c r="H585" s="6">
        <v>250</v>
      </c>
      <c r="I585">
        <v>0</v>
      </c>
      <c r="J585" s="6">
        <v>0</v>
      </c>
      <c r="K585">
        <v>2</v>
      </c>
      <c r="L585" s="6">
        <v>250</v>
      </c>
      <c r="M585" s="6">
        <v>191.72</v>
      </c>
      <c r="N585" s="6">
        <v>58.28</v>
      </c>
      <c r="O585" s="6">
        <v>19.02</v>
      </c>
      <c r="P585" s="6">
        <v>39.26</v>
      </c>
      <c r="Q585" t="s">
        <v>81</v>
      </c>
      <c r="R585" t="s">
        <v>60</v>
      </c>
      <c r="S585" t="s">
        <v>76</v>
      </c>
    </row>
    <row r="586" spans="1:19" x14ac:dyDescent="0.35">
      <c r="A586" t="s">
        <v>708</v>
      </c>
      <c r="B586" s="5">
        <v>46009</v>
      </c>
      <c r="C586" t="s">
        <v>78</v>
      </c>
      <c r="D586" t="s">
        <v>79</v>
      </c>
      <c r="E586">
        <v>4</v>
      </c>
      <c r="F586" s="6">
        <v>120</v>
      </c>
      <c r="G586" s="7">
        <v>0</v>
      </c>
      <c r="H586" s="6">
        <v>480</v>
      </c>
      <c r="I586">
        <v>0</v>
      </c>
      <c r="J586" s="6">
        <v>0</v>
      </c>
      <c r="K586">
        <v>4</v>
      </c>
      <c r="L586" s="6">
        <v>480</v>
      </c>
      <c r="M586" s="6">
        <v>326.26</v>
      </c>
      <c r="N586" s="6">
        <v>153.74</v>
      </c>
      <c r="O586" s="6">
        <v>35.450000000000003</v>
      </c>
      <c r="P586" s="6">
        <v>118.29</v>
      </c>
      <c r="Q586" t="s">
        <v>75</v>
      </c>
      <c r="R586" t="s">
        <v>86</v>
      </c>
      <c r="S586" t="s">
        <v>61</v>
      </c>
    </row>
    <row r="587" spans="1:19" x14ac:dyDescent="0.35">
      <c r="A587" t="s">
        <v>709</v>
      </c>
      <c r="B587" s="5">
        <v>45755</v>
      </c>
      <c r="C587" t="s">
        <v>104</v>
      </c>
      <c r="D587" t="s">
        <v>105</v>
      </c>
      <c r="E587">
        <v>3</v>
      </c>
      <c r="F587" s="6">
        <v>65</v>
      </c>
      <c r="G587" s="7">
        <v>15</v>
      </c>
      <c r="H587" s="6">
        <v>165.75</v>
      </c>
      <c r="I587">
        <v>0</v>
      </c>
      <c r="J587" s="6">
        <v>0</v>
      </c>
      <c r="K587">
        <v>3</v>
      </c>
      <c r="L587" s="6">
        <v>165.75</v>
      </c>
      <c r="M587" s="6">
        <v>117.45</v>
      </c>
      <c r="N587" s="6">
        <v>48.3</v>
      </c>
      <c r="O587" s="6">
        <v>12.85</v>
      </c>
      <c r="P587" s="6">
        <v>35.450000000000003</v>
      </c>
      <c r="Q587" t="s">
        <v>81</v>
      </c>
      <c r="R587" t="s">
        <v>82</v>
      </c>
      <c r="S587" t="s">
        <v>76</v>
      </c>
    </row>
    <row r="588" spans="1:19" x14ac:dyDescent="0.35">
      <c r="A588" t="s">
        <v>710</v>
      </c>
      <c r="B588" s="5">
        <v>45751</v>
      </c>
      <c r="C588" t="s">
        <v>109</v>
      </c>
      <c r="D588" t="s">
        <v>110</v>
      </c>
      <c r="E588">
        <v>1</v>
      </c>
      <c r="F588" s="6">
        <v>180</v>
      </c>
      <c r="G588" s="7">
        <v>0</v>
      </c>
      <c r="H588" s="6">
        <v>180</v>
      </c>
      <c r="I588">
        <v>0</v>
      </c>
      <c r="J588" s="6">
        <v>0</v>
      </c>
      <c r="K588">
        <v>1</v>
      </c>
      <c r="L588" s="6">
        <v>180</v>
      </c>
      <c r="M588" s="6">
        <v>132.08000000000001</v>
      </c>
      <c r="N588" s="6">
        <v>47.92</v>
      </c>
      <c r="O588" s="6">
        <v>21.52</v>
      </c>
      <c r="P588" s="6">
        <v>26.4</v>
      </c>
      <c r="Q588" t="s">
        <v>75</v>
      </c>
      <c r="R588" t="s">
        <v>86</v>
      </c>
      <c r="S588" t="s">
        <v>67</v>
      </c>
    </row>
    <row r="589" spans="1:19" x14ac:dyDescent="0.35">
      <c r="A589" t="s">
        <v>711</v>
      </c>
      <c r="B589" s="5">
        <v>45787</v>
      </c>
      <c r="C589" t="s">
        <v>95</v>
      </c>
      <c r="D589" t="s">
        <v>64</v>
      </c>
      <c r="E589">
        <v>6</v>
      </c>
      <c r="F589" s="6">
        <v>52</v>
      </c>
      <c r="G589" s="7">
        <v>10</v>
      </c>
      <c r="H589" s="6">
        <v>280.8</v>
      </c>
      <c r="I589">
        <v>0</v>
      </c>
      <c r="J589" s="6">
        <v>0</v>
      </c>
      <c r="K589">
        <v>6</v>
      </c>
      <c r="L589" s="6">
        <v>280.8</v>
      </c>
      <c r="M589" s="6">
        <v>219.49</v>
      </c>
      <c r="N589" s="6">
        <v>61.31</v>
      </c>
      <c r="O589" s="6">
        <v>20.260000000000002</v>
      </c>
      <c r="P589" s="6">
        <v>41.05</v>
      </c>
      <c r="Q589" t="s">
        <v>65</v>
      </c>
      <c r="R589" t="s">
        <v>66</v>
      </c>
      <c r="S589" t="s">
        <v>76</v>
      </c>
    </row>
    <row r="590" spans="1:19" x14ac:dyDescent="0.35">
      <c r="A590" t="s">
        <v>712</v>
      </c>
      <c r="B590" s="5">
        <v>45964</v>
      </c>
      <c r="C590" t="s">
        <v>100</v>
      </c>
      <c r="D590" t="s">
        <v>64</v>
      </c>
      <c r="E590">
        <v>4</v>
      </c>
      <c r="F590" s="6">
        <v>310</v>
      </c>
      <c r="G590" s="7">
        <v>0</v>
      </c>
      <c r="H590" s="6">
        <v>1240</v>
      </c>
      <c r="I590">
        <v>0</v>
      </c>
      <c r="J590" s="6">
        <v>0</v>
      </c>
      <c r="K590">
        <v>4</v>
      </c>
      <c r="L590" s="6">
        <v>1240</v>
      </c>
      <c r="M590" s="6">
        <v>1020.47</v>
      </c>
      <c r="N590" s="6">
        <v>219.53</v>
      </c>
      <c r="O590" s="6">
        <v>62.16</v>
      </c>
      <c r="P590" s="6">
        <v>157.37</v>
      </c>
      <c r="Q590" t="s">
        <v>75</v>
      </c>
      <c r="R590" t="s">
        <v>66</v>
      </c>
      <c r="S590" t="s">
        <v>61</v>
      </c>
    </row>
    <row r="591" spans="1:19" x14ac:dyDescent="0.35">
      <c r="A591" t="s">
        <v>713</v>
      </c>
      <c r="B591" s="5">
        <v>45935</v>
      </c>
      <c r="C591" t="s">
        <v>97</v>
      </c>
      <c r="D591" t="s">
        <v>57</v>
      </c>
      <c r="E591">
        <v>2</v>
      </c>
      <c r="F591" s="6">
        <v>55</v>
      </c>
      <c r="G591" s="7">
        <v>0</v>
      </c>
      <c r="H591" s="6">
        <v>110</v>
      </c>
      <c r="I591">
        <v>0</v>
      </c>
      <c r="J591" s="6">
        <v>0</v>
      </c>
      <c r="K591">
        <v>2</v>
      </c>
      <c r="L591" s="6">
        <v>110</v>
      </c>
      <c r="M591" s="6">
        <v>68.209999999999994</v>
      </c>
      <c r="N591" s="6">
        <v>41.79</v>
      </c>
      <c r="O591" s="6">
        <v>12.93</v>
      </c>
      <c r="P591" s="6">
        <v>28.86</v>
      </c>
      <c r="Q591" t="s">
        <v>81</v>
      </c>
      <c r="R591" t="s">
        <v>60</v>
      </c>
      <c r="S591" t="s">
        <v>67</v>
      </c>
    </row>
    <row r="592" spans="1:19" x14ac:dyDescent="0.35">
      <c r="A592" t="s">
        <v>714</v>
      </c>
      <c r="B592" s="5">
        <v>45789</v>
      </c>
      <c r="C592" t="s">
        <v>109</v>
      </c>
      <c r="D592" t="s">
        <v>85</v>
      </c>
      <c r="E592">
        <v>4</v>
      </c>
      <c r="F592" s="6">
        <v>180</v>
      </c>
      <c r="G592" s="7">
        <v>10</v>
      </c>
      <c r="H592" s="6">
        <v>648</v>
      </c>
      <c r="I592">
        <v>0</v>
      </c>
      <c r="J592" s="6">
        <v>0</v>
      </c>
      <c r="K592">
        <v>4</v>
      </c>
      <c r="L592" s="6">
        <v>648</v>
      </c>
      <c r="M592" s="6">
        <v>514.16999999999996</v>
      </c>
      <c r="N592" s="6">
        <v>133.83000000000001</v>
      </c>
      <c r="O592" s="6">
        <v>68.98</v>
      </c>
      <c r="P592" s="6">
        <v>64.849999999999994</v>
      </c>
      <c r="Q592" t="s">
        <v>65</v>
      </c>
      <c r="R592" t="s">
        <v>66</v>
      </c>
      <c r="S592" t="s">
        <v>71</v>
      </c>
    </row>
    <row r="593" spans="1:19" x14ac:dyDescent="0.35">
      <c r="A593" t="s">
        <v>715</v>
      </c>
      <c r="B593" s="5">
        <v>45975</v>
      </c>
      <c r="C593" t="s">
        <v>264</v>
      </c>
      <c r="D593" t="s">
        <v>85</v>
      </c>
      <c r="E593">
        <v>4</v>
      </c>
      <c r="F593" s="6">
        <v>20</v>
      </c>
      <c r="G593" s="7">
        <v>5</v>
      </c>
      <c r="H593" s="6">
        <v>76</v>
      </c>
      <c r="I593">
        <v>0</v>
      </c>
      <c r="J593" s="6">
        <v>0</v>
      </c>
      <c r="K593">
        <v>4</v>
      </c>
      <c r="L593" s="6">
        <v>76</v>
      </c>
      <c r="M593" s="6">
        <v>51.4</v>
      </c>
      <c r="N593" s="6">
        <v>24.6</v>
      </c>
      <c r="O593" s="6">
        <v>9.3800000000000008</v>
      </c>
      <c r="P593" s="6">
        <v>15.22</v>
      </c>
      <c r="Q593" t="s">
        <v>65</v>
      </c>
      <c r="R593" t="s">
        <v>82</v>
      </c>
      <c r="S593" t="s">
        <v>76</v>
      </c>
    </row>
    <row r="594" spans="1:19" x14ac:dyDescent="0.35">
      <c r="A594" t="s">
        <v>716</v>
      </c>
      <c r="B594" s="5">
        <v>45886</v>
      </c>
      <c r="C594" t="s">
        <v>78</v>
      </c>
      <c r="D594" t="s">
        <v>79</v>
      </c>
      <c r="E594">
        <v>1</v>
      </c>
      <c r="F594" s="6">
        <v>120</v>
      </c>
      <c r="G594" s="7">
        <v>0</v>
      </c>
      <c r="H594" s="6">
        <v>120</v>
      </c>
      <c r="I594">
        <v>0</v>
      </c>
      <c r="J594" s="6">
        <v>0</v>
      </c>
      <c r="K594">
        <v>1</v>
      </c>
      <c r="L594" s="6">
        <v>120</v>
      </c>
      <c r="M594" s="6">
        <v>85.68</v>
      </c>
      <c r="N594" s="6">
        <v>34.32</v>
      </c>
      <c r="O594" s="6">
        <v>9.2799999999999994</v>
      </c>
      <c r="P594" s="6">
        <v>25.04</v>
      </c>
      <c r="Q594" t="s">
        <v>59</v>
      </c>
      <c r="R594" t="s">
        <v>60</v>
      </c>
      <c r="S594" t="s">
        <v>67</v>
      </c>
    </row>
    <row r="595" spans="1:19" x14ac:dyDescent="0.35">
      <c r="A595" t="s">
        <v>717</v>
      </c>
      <c r="B595" s="5">
        <v>45853</v>
      </c>
      <c r="C595" t="s">
        <v>84</v>
      </c>
      <c r="D595" t="s">
        <v>85</v>
      </c>
      <c r="E595">
        <v>6</v>
      </c>
      <c r="F595" s="6">
        <v>48</v>
      </c>
      <c r="G595" s="7">
        <v>5</v>
      </c>
      <c r="H595" s="6">
        <v>273.60000000000002</v>
      </c>
      <c r="I595">
        <v>0</v>
      </c>
      <c r="J595" s="6">
        <v>0</v>
      </c>
      <c r="K595">
        <v>6</v>
      </c>
      <c r="L595" s="6">
        <v>273.60000000000002</v>
      </c>
      <c r="M595" s="6">
        <v>213.73</v>
      </c>
      <c r="N595" s="6">
        <v>59.87</v>
      </c>
      <c r="O595" s="6">
        <v>25.39</v>
      </c>
      <c r="P595" s="6">
        <v>34.479999999999997</v>
      </c>
      <c r="Q595" t="s">
        <v>59</v>
      </c>
      <c r="R595" t="s">
        <v>60</v>
      </c>
      <c r="S595" t="s">
        <v>61</v>
      </c>
    </row>
    <row r="596" spans="1:19" x14ac:dyDescent="0.35">
      <c r="A596" t="s">
        <v>718</v>
      </c>
      <c r="B596" s="5">
        <v>45709</v>
      </c>
      <c r="C596" t="s">
        <v>78</v>
      </c>
      <c r="D596" t="s">
        <v>79</v>
      </c>
      <c r="E596">
        <v>10</v>
      </c>
      <c r="F596" s="6">
        <v>120</v>
      </c>
      <c r="G596" s="7">
        <v>5</v>
      </c>
      <c r="H596" s="6">
        <v>1140</v>
      </c>
      <c r="I596">
        <v>0</v>
      </c>
      <c r="J596" s="6">
        <v>0</v>
      </c>
      <c r="K596">
        <v>10</v>
      </c>
      <c r="L596" s="6">
        <v>1140</v>
      </c>
      <c r="M596" s="6">
        <v>774.82</v>
      </c>
      <c r="N596" s="6">
        <v>365.18</v>
      </c>
      <c r="O596" s="6">
        <v>147.47999999999999</v>
      </c>
      <c r="P596" s="6">
        <v>217.7</v>
      </c>
      <c r="Q596" t="s">
        <v>81</v>
      </c>
      <c r="R596" t="s">
        <v>60</v>
      </c>
      <c r="S596" t="s">
        <v>67</v>
      </c>
    </row>
    <row r="597" spans="1:19" x14ac:dyDescent="0.35">
      <c r="A597" t="s">
        <v>719</v>
      </c>
      <c r="B597" s="5">
        <v>45677</v>
      </c>
      <c r="C597" t="s">
        <v>121</v>
      </c>
      <c r="D597" t="s">
        <v>70</v>
      </c>
      <c r="E597">
        <v>6</v>
      </c>
      <c r="F597" s="6">
        <v>110</v>
      </c>
      <c r="G597" s="7">
        <v>0</v>
      </c>
      <c r="H597" s="6">
        <v>660</v>
      </c>
      <c r="I597">
        <v>0</v>
      </c>
      <c r="J597" s="6">
        <v>0</v>
      </c>
      <c r="K597">
        <v>6</v>
      </c>
      <c r="L597" s="6">
        <v>660</v>
      </c>
      <c r="M597" s="6">
        <v>560.32000000000005</v>
      </c>
      <c r="N597" s="6">
        <v>99.68</v>
      </c>
      <c r="O597" s="6">
        <v>33.96</v>
      </c>
      <c r="P597" s="6">
        <v>65.72</v>
      </c>
      <c r="Q597" t="s">
        <v>65</v>
      </c>
      <c r="R597" t="s">
        <v>60</v>
      </c>
      <c r="S597" t="s">
        <v>71</v>
      </c>
    </row>
    <row r="598" spans="1:19" x14ac:dyDescent="0.35">
      <c r="A598" t="s">
        <v>720</v>
      </c>
      <c r="B598" s="5">
        <v>45976</v>
      </c>
      <c r="C598" t="s">
        <v>88</v>
      </c>
      <c r="D598" t="s">
        <v>57</v>
      </c>
      <c r="E598">
        <v>2</v>
      </c>
      <c r="F598" s="6">
        <v>30</v>
      </c>
      <c r="G598" s="7">
        <v>0</v>
      </c>
      <c r="H598" s="6">
        <v>60</v>
      </c>
      <c r="I598">
        <v>0</v>
      </c>
      <c r="J598" s="6">
        <v>0</v>
      </c>
      <c r="K598">
        <v>2</v>
      </c>
      <c r="L598" s="6">
        <v>60</v>
      </c>
      <c r="M598" s="6">
        <v>40.56</v>
      </c>
      <c r="N598" s="6">
        <v>19.440000000000001</v>
      </c>
      <c r="O598" s="6">
        <v>3.9</v>
      </c>
      <c r="P598" s="6">
        <v>15.54</v>
      </c>
      <c r="Q598" t="s">
        <v>75</v>
      </c>
      <c r="R598" t="s">
        <v>60</v>
      </c>
      <c r="S598" t="s">
        <v>61</v>
      </c>
    </row>
    <row r="599" spans="1:19" x14ac:dyDescent="0.35">
      <c r="A599" t="s">
        <v>721</v>
      </c>
      <c r="B599" s="5">
        <v>45699</v>
      </c>
      <c r="C599" t="s">
        <v>95</v>
      </c>
      <c r="D599" t="s">
        <v>64</v>
      </c>
      <c r="E599">
        <v>2</v>
      </c>
      <c r="F599" s="6">
        <v>52</v>
      </c>
      <c r="G599" s="7">
        <v>0</v>
      </c>
      <c r="H599" s="6">
        <v>104</v>
      </c>
      <c r="I599">
        <v>0</v>
      </c>
      <c r="J599" s="6">
        <v>0</v>
      </c>
      <c r="K599">
        <v>2</v>
      </c>
      <c r="L599" s="6">
        <v>104</v>
      </c>
      <c r="M599" s="6">
        <v>88.88</v>
      </c>
      <c r="N599" s="6">
        <v>15.12</v>
      </c>
      <c r="O599" s="6">
        <v>11.34</v>
      </c>
      <c r="P599" s="6">
        <v>3.78</v>
      </c>
      <c r="Q599" t="s">
        <v>81</v>
      </c>
      <c r="R599" t="s">
        <v>66</v>
      </c>
      <c r="S599" t="s">
        <v>76</v>
      </c>
    </row>
    <row r="600" spans="1:19" x14ac:dyDescent="0.35">
      <c r="A600" t="s">
        <v>722</v>
      </c>
      <c r="B600" s="5">
        <v>45935</v>
      </c>
      <c r="C600" t="s">
        <v>117</v>
      </c>
      <c r="D600" t="s">
        <v>74</v>
      </c>
      <c r="E600">
        <v>4</v>
      </c>
      <c r="F600" s="6">
        <v>95</v>
      </c>
      <c r="G600" s="7">
        <v>15</v>
      </c>
      <c r="H600" s="6">
        <v>323</v>
      </c>
      <c r="I600">
        <v>0</v>
      </c>
      <c r="J600" s="6">
        <v>0</v>
      </c>
      <c r="K600">
        <v>4</v>
      </c>
      <c r="L600" s="6">
        <v>323</v>
      </c>
      <c r="M600" s="6">
        <v>224.65</v>
      </c>
      <c r="N600" s="6">
        <v>98.35</v>
      </c>
      <c r="O600" s="6">
        <v>37.97</v>
      </c>
      <c r="P600" s="6">
        <v>60.38</v>
      </c>
      <c r="Q600" t="s">
        <v>59</v>
      </c>
      <c r="R600" t="s">
        <v>86</v>
      </c>
      <c r="S600" t="s">
        <v>76</v>
      </c>
    </row>
    <row r="601" spans="1:19" x14ac:dyDescent="0.35">
      <c r="A601" t="s">
        <v>723</v>
      </c>
      <c r="B601" s="5">
        <v>45855</v>
      </c>
      <c r="C601" t="s">
        <v>92</v>
      </c>
      <c r="D601" t="s">
        <v>79</v>
      </c>
      <c r="E601">
        <v>2</v>
      </c>
      <c r="F601" s="6">
        <v>85</v>
      </c>
      <c r="G601" s="7">
        <v>0</v>
      </c>
      <c r="H601" s="6">
        <v>170</v>
      </c>
      <c r="I601">
        <v>0</v>
      </c>
      <c r="J601" s="6">
        <v>0</v>
      </c>
      <c r="K601">
        <v>2</v>
      </c>
      <c r="L601" s="6">
        <v>170</v>
      </c>
      <c r="M601" s="6">
        <v>136.44</v>
      </c>
      <c r="N601" s="6">
        <v>33.56</v>
      </c>
      <c r="O601" s="6">
        <v>20.260000000000002</v>
      </c>
      <c r="P601" s="6">
        <v>13.3</v>
      </c>
      <c r="Q601" t="s">
        <v>75</v>
      </c>
      <c r="R601" t="s">
        <v>66</v>
      </c>
      <c r="S601" t="s">
        <v>76</v>
      </c>
    </row>
    <row r="602" spans="1:19" x14ac:dyDescent="0.35">
      <c r="A602" t="s">
        <v>724</v>
      </c>
      <c r="B602" s="5">
        <v>45993</v>
      </c>
      <c r="C602" t="s">
        <v>114</v>
      </c>
      <c r="D602" t="s">
        <v>64</v>
      </c>
      <c r="E602">
        <v>2</v>
      </c>
      <c r="F602" s="6">
        <v>420</v>
      </c>
      <c r="G602" s="7">
        <v>10</v>
      </c>
      <c r="H602" s="6">
        <v>756</v>
      </c>
      <c r="I602">
        <v>0</v>
      </c>
      <c r="J602" s="6">
        <v>0</v>
      </c>
      <c r="K602">
        <v>2</v>
      </c>
      <c r="L602" s="6">
        <v>756</v>
      </c>
      <c r="M602" s="6">
        <v>499.35</v>
      </c>
      <c r="N602" s="6">
        <v>256.64999999999998</v>
      </c>
      <c r="O602" s="6">
        <v>38.6</v>
      </c>
      <c r="P602" s="6">
        <v>218.05</v>
      </c>
      <c r="Q602" t="s">
        <v>65</v>
      </c>
      <c r="R602" t="s">
        <v>66</v>
      </c>
      <c r="S602" t="s">
        <v>61</v>
      </c>
    </row>
    <row r="603" spans="1:19" x14ac:dyDescent="0.35">
      <c r="A603" t="s">
        <v>725</v>
      </c>
      <c r="B603" s="5">
        <v>45765</v>
      </c>
      <c r="C603" t="s">
        <v>84</v>
      </c>
      <c r="D603" t="s">
        <v>85</v>
      </c>
      <c r="E603">
        <v>3</v>
      </c>
      <c r="F603" s="6">
        <v>48</v>
      </c>
      <c r="G603" s="7">
        <v>0</v>
      </c>
      <c r="H603" s="6">
        <v>144</v>
      </c>
      <c r="I603">
        <v>0</v>
      </c>
      <c r="J603" s="6">
        <v>0</v>
      </c>
      <c r="K603">
        <v>3</v>
      </c>
      <c r="L603" s="6">
        <v>144</v>
      </c>
      <c r="M603" s="6">
        <v>117.03</v>
      </c>
      <c r="N603" s="6">
        <v>26.97</v>
      </c>
      <c r="O603" s="6">
        <v>14.18</v>
      </c>
      <c r="P603" s="6">
        <v>12.79</v>
      </c>
      <c r="Q603" t="s">
        <v>59</v>
      </c>
      <c r="R603" t="s">
        <v>82</v>
      </c>
      <c r="S603" t="s">
        <v>71</v>
      </c>
    </row>
    <row r="604" spans="1:19" x14ac:dyDescent="0.35">
      <c r="A604" t="s">
        <v>726</v>
      </c>
      <c r="B604" s="5">
        <v>45782</v>
      </c>
      <c r="C604" t="s">
        <v>90</v>
      </c>
      <c r="D604" t="s">
        <v>70</v>
      </c>
      <c r="E604">
        <v>2</v>
      </c>
      <c r="F604" s="6">
        <v>38</v>
      </c>
      <c r="G604" s="7">
        <v>0</v>
      </c>
      <c r="H604" s="6">
        <v>76</v>
      </c>
      <c r="I604">
        <v>0</v>
      </c>
      <c r="J604" s="6">
        <v>0</v>
      </c>
      <c r="K604">
        <v>2</v>
      </c>
      <c r="L604" s="6">
        <v>76</v>
      </c>
      <c r="M604" s="6">
        <v>50.04</v>
      </c>
      <c r="N604" s="6">
        <v>25.96</v>
      </c>
      <c r="O604" s="6">
        <v>4.82</v>
      </c>
      <c r="P604" s="6">
        <v>21.14</v>
      </c>
      <c r="Q604" t="s">
        <v>75</v>
      </c>
      <c r="R604" t="s">
        <v>66</v>
      </c>
      <c r="S604" t="s">
        <v>61</v>
      </c>
    </row>
    <row r="605" spans="1:19" x14ac:dyDescent="0.35">
      <c r="A605" t="s">
        <v>727</v>
      </c>
      <c r="B605" s="5">
        <v>45868</v>
      </c>
      <c r="C605" t="s">
        <v>293</v>
      </c>
      <c r="D605" t="s">
        <v>85</v>
      </c>
      <c r="E605">
        <v>4</v>
      </c>
      <c r="F605" s="6">
        <v>180</v>
      </c>
      <c r="G605" s="7">
        <v>0</v>
      </c>
      <c r="H605" s="6">
        <v>720</v>
      </c>
      <c r="I605">
        <v>0</v>
      </c>
      <c r="J605" s="6">
        <v>0</v>
      </c>
      <c r="K605">
        <v>4</v>
      </c>
      <c r="L605" s="6">
        <v>720</v>
      </c>
      <c r="M605" s="6">
        <v>561.03</v>
      </c>
      <c r="N605" s="6">
        <v>158.97</v>
      </c>
      <c r="O605" s="6">
        <v>59.13</v>
      </c>
      <c r="P605" s="6">
        <v>99.84</v>
      </c>
      <c r="Q605" t="s">
        <v>81</v>
      </c>
      <c r="R605" t="s">
        <v>82</v>
      </c>
      <c r="S605" t="s">
        <v>67</v>
      </c>
    </row>
    <row r="606" spans="1:19" x14ac:dyDescent="0.35">
      <c r="A606" t="s">
        <v>728</v>
      </c>
      <c r="B606" s="5">
        <v>45693</v>
      </c>
      <c r="C606" t="s">
        <v>114</v>
      </c>
      <c r="D606" t="s">
        <v>64</v>
      </c>
      <c r="E606">
        <v>1</v>
      </c>
      <c r="F606" s="6">
        <v>420</v>
      </c>
      <c r="G606" s="7">
        <v>0</v>
      </c>
      <c r="H606" s="6">
        <v>420</v>
      </c>
      <c r="I606">
        <v>0</v>
      </c>
      <c r="J606" s="6">
        <v>0</v>
      </c>
      <c r="K606">
        <v>1</v>
      </c>
      <c r="L606" s="6">
        <v>420</v>
      </c>
      <c r="M606" s="6">
        <v>356.73</v>
      </c>
      <c r="N606" s="6">
        <v>63.27</v>
      </c>
      <c r="O606" s="6">
        <v>32.840000000000003</v>
      </c>
      <c r="P606" s="6">
        <v>30.43</v>
      </c>
      <c r="Q606" t="s">
        <v>75</v>
      </c>
      <c r="R606" t="s">
        <v>60</v>
      </c>
      <c r="S606" t="s">
        <v>61</v>
      </c>
    </row>
    <row r="607" spans="1:19" x14ac:dyDescent="0.35">
      <c r="A607" t="s">
        <v>729</v>
      </c>
      <c r="B607" s="5">
        <v>45991</v>
      </c>
      <c r="C607" t="s">
        <v>125</v>
      </c>
      <c r="D607" t="s">
        <v>110</v>
      </c>
      <c r="E607">
        <v>1</v>
      </c>
      <c r="F607" s="6">
        <v>125</v>
      </c>
      <c r="G607" s="7">
        <v>5</v>
      </c>
      <c r="H607" s="6">
        <v>118.75</v>
      </c>
      <c r="I607">
        <v>0</v>
      </c>
      <c r="J607" s="6">
        <v>0</v>
      </c>
      <c r="K607">
        <v>1</v>
      </c>
      <c r="L607" s="6">
        <v>118.75</v>
      </c>
      <c r="M607" s="6">
        <v>76.72</v>
      </c>
      <c r="N607" s="6">
        <v>42.03</v>
      </c>
      <c r="O607" s="6">
        <v>9.56</v>
      </c>
      <c r="P607" s="6">
        <v>32.47</v>
      </c>
      <c r="Q607" t="s">
        <v>75</v>
      </c>
      <c r="R607" t="s">
        <v>82</v>
      </c>
      <c r="S607" t="s">
        <v>76</v>
      </c>
    </row>
    <row r="608" spans="1:19" x14ac:dyDescent="0.35">
      <c r="A608" t="s">
        <v>730</v>
      </c>
      <c r="B608" s="5">
        <v>45971</v>
      </c>
      <c r="C608" t="s">
        <v>73</v>
      </c>
      <c r="D608" t="s">
        <v>74</v>
      </c>
      <c r="E608">
        <v>4</v>
      </c>
      <c r="F608" s="6">
        <v>280</v>
      </c>
      <c r="G608" s="7">
        <v>2</v>
      </c>
      <c r="H608" s="6">
        <v>1097.5999999999999</v>
      </c>
      <c r="I608">
        <v>0</v>
      </c>
      <c r="J608" s="6">
        <v>0</v>
      </c>
      <c r="K608">
        <v>4</v>
      </c>
      <c r="L608" s="6">
        <v>1097.5999999999999</v>
      </c>
      <c r="M608" s="6">
        <v>799.13</v>
      </c>
      <c r="N608" s="6">
        <v>298.47000000000003</v>
      </c>
      <c r="O608" s="6">
        <v>120.36</v>
      </c>
      <c r="P608" s="6">
        <v>178.11</v>
      </c>
      <c r="Q608" t="s">
        <v>65</v>
      </c>
      <c r="R608" t="s">
        <v>60</v>
      </c>
      <c r="S608" t="s">
        <v>71</v>
      </c>
    </row>
    <row r="609" spans="1:19" x14ac:dyDescent="0.35">
      <c r="A609" t="s">
        <v>731</v>
      </c>
      <c r="B609" s="5">
        <v>45728</v>
      </c>
      <c r="C609" t="s">
        <v>264</v>
      </c>
      <c r="D609" t="s">
        <v>85</v>
      </c>
      <c r="E609">
        <v>1</v>
      </c>
      <c r="F609" s="6">
        <v>20</v>
      </c>
      <c r="G609" s="7">
        <v>0</v>
      </c>
      <c r="H609" s="6">
        <v>20</v>
      </c>
      <c r="I609">
        <v>0</v>
      </c>
      <c r="J609" s="6">
        <v>0</v>
      </c>
      <c r="K609">
        <v>1</v>
      </c>
      <c r="L609" s="6">
        <v>20</v>
      </c>
      <c r="M609" s="6">
        <v>13.91</v>
      </c>
      <c r="N609" s="6">
        <v>6.09</v>
      </c>
      <c r="O609" s="6">
        <v>1.57</v>
      </c>
      <c r="P609" s="6">
        <v>4.5199999999999996</v>
      </c>
      <c r="Q609" t="s">
        <v>81</v>
      </c>
      <c r="R609" t="s">
        <v>82</v>
      </c>
      <c r="S609" t="s">
        <v>71</v>
      </c>
    </row>
    <row r="610" spans="1:19" x14ac:dyDescent="0.35">
      <c r="A610" t="s">
        <v>732</v>
      </c>
      <c r="B610" s="5">
        <v>45964</v>
      </c>
      <c r="C610" t="s">
        <v>63</v>
      </c>
      <c r="D610" t="s">
        <v>64</v>
      </c>
      <c r="E610">
        <v>3</v>
      </c>
      <c r="F610" s="6">
        <v>145</v>
      </c>
      <c r="G610" s="7">
        <v>0</v>
      </c>
      <c r="H610" s="6">
        <v>435</v>
      </c>
      <c r="I610">
        <v>0</v>
      </c>
      <c r="J610" s="6">
        <v>0</v>
      </c>
      <c r="K610">
        <v>3</v>
      </c>
      <c r="L610" s="6">
        <v>435</v>
      </c>
      <c r="M610" s="6">
        <v>314.17</v>
      </c>
      <c r="N610" s="6">
        <v>120.83</v>
      </c>
      <c r="O610" s="6">
        <v>44.64</v>
      </c>
      <c r="P610" s="6">
        <v>76.19</v>
      </c>
      <c r="Q610" t="s">
        <v>65</v>
      </c>
      <c r="R610" t="s">
        <v>86</v>
      </c>
      <c r="S610" t="s">
        <v>61</v>
      </c>
    </row>
    <row r="611" spans="1:19" x14ac:dyDescent="0.35">
      <c r="A611" t="s">
        <v>733</v>
      </c>
      <c r="B611" s="5">
        <v>45787</v>
      </c>
      <c r="C611" t="s">
        <v>117</v>
      </c>
      <c r="D611" t="s">
        <v>74</v>
      </c>
      <c r="E611">
        <v>4</v>
      </c>
      <c r="F611" s="6">
        <v>95</v>
      </c>
      <c r="G611" s="7">
        <v>0</v>
      </c>
      <c r="H611" s="6">
        <v>380</v>
      </c>
      <c r="I611">
        <v>0</v>
      </c>
      <c r="J611" s="6">
        <v>0</v>
      </c>
      <c r="K611">
        <v>4</v>
      </c>
      <c r="L611" s="6">
        <v>380</v>
      </c>
      <c r="M611" s="6">
        <v>310.75</v>
      </c>
      <c r="N611" s="6">
        <v>69.25</v>
      </c>
      <c r="O611" s="6">
        <v>33.26</v>
      </c>
      <c r="P611" s="6">
        <v>35.99</v>
      </c>
      <c r="Q611" t="s">
        <v>59</v>
      </c>
      <c r="R611" t="s">
        <v>147</v>
      </c>
      <c r="S611" t="s">
        <v>71</v>
      </c>
    </row>
    <row r="612" spans="1:19" x14ac:dyDescent="0.35">
      <c r="A612" t="s">
        <v>734</v>
      </c>
      <c r="B612" s="5">
        <v>45860</v>
      </c>
      <c r="C612" t="s">
        <v>56</v>
      </c>
      <c r="D612" t="s">
        <v>57</v>
      </c>
      <c r="E612">
        <v>2</v>
      </c>
      <c r="F612" s="6">
        <v>40</v>
      </c>
      <c r="G612" s="7">
        <v>0</v>
      </c>
      <c r="H612" s="6">
        <v>80</v>
      </c>
      <c r="I612">
        <v>0</v>
      </c>
      <c r="J612" s="6">
        <v>0</v>
      </c>
      <c r="K612">
        <v>2</v>
      </c>
      <c r="L612" s="6">
        <v>80</v>
      </c>
      <c r="M612" s="6">
        <v>57.52</v>
      </c>
      <c r="N612" s="6">
        <v>22.48</v>
      </c>
      <c r="O612" s="6">
        <v>7.69</v>
      </c>
      <c r="P612" s="6">
        <v>14.79</v>
      </c>
      <c r="Q612" t="s">
        <v>81</v>
      </c>
      <c r="R612" t="s">
        <v>66</v>
      </c>
      <c r="S612" t="s">
        <v>67</v>
      </c>
    </row>
    <row r="613" spans="1:19" x14ac:dyDescent="0.35">
      <c r="A613" t="s">
        <v>735</v>
      </c>
      <c r="B613" s="5">
        <v>45802</v>
      </c>
      <c r="C613" t="s">
        <v>117</v>
      </c>
      <c r="D613" t="s">
        <v>74</v>
      </c>
      <c r="E613">
        <v>2</v>
      </c>
      <c r="F613" s="6">
        <v>95</v>
      </c>
      <c r="G613" s="7">
        <v>0</v>
      </c>
      <c r="H613" s="6">
        <v>190</v>
      </c>
      <c r="I613">
        <v>0</v>
      </c>
      <c r="J613" s="6">
        <v>0</v>
      </c>
      <c r="K613">
        <v>2</v>
      </c>
      <c r="L613" s="6">
        <v>190</v>
      </c>
      <c r="M613" s="6">
        <v>121.47</v>
      </c>
      <c r="N613" s="6">
        <v>68.53</v>
      </c>
      <c r="O613" s="6">
        <v>14.03</v>
      </c>
      <c r="P613" s="6">
        <v>54.5</v>
      </c>
      <c r="Q613" t="s">
        <v>65</v>
      </c>
      <c r="R613" t="s">
        <v>66</v>
      </c>
      <c r="S613" t="s">
        <v>67</v>
      </c>
    </row>
    <row r="614" spans="1:19" x14ac:dyDescent="0.35">
      <c r="A614" t="s">
        <v>736</v>
      </c>
      <c r="B614" s="5">
        <v>45963</v>
      </c>
      <c r="C614" t="s">
        <v>100</v>
      </c>
      <c r="D614" t="s">
        <v>128</v>
      </c>
      <c r="E614">
        <v>2</v>
      </c>
      <c r="F614" s="6">
        <v>310</v>
      </c>
      <c r="G614" s="7">
        <v>0</v>
      </c>
      <c r="H614" s="6">
        <v>620</v>
      </c>
      <c r="I614">
        <v>0</v>
      </c>
      <c r="J614" s="6">
        <v>0</v>
      </c>
      <c r="K614">
        <v>2</v>
      </c>
      <c r="L614" s="6">
        <v>620</v>
      </c>
      <c r="M614" s="6">
        <v>505.27</v>
      </c>
      <c r="N614" s="6">
        <v>114.73</v>
      </c>
      <c r="O614" s="6">
        <v>36.53</v>
      </c>
      <c r="P614" s="6">
        <v>78.2</v>
      </c>
      <c r="Q614" t="s">
        <v>65</v>
      </c>
      <c r="R614" t="s">
        <v>82</v>
      </c>
      <c r="S614" t="s">
        <v>61</v>
      </c>
    </row>
    <row r="615" spans="1:19" x14ac:dyDescent="0.35">
      <c r="A615" t="s">
        <v>737</v>
      </c>
      <c r="B615" s="5">
        <v>45699</v>
      </c>
      <c r="C615" t="s">
        <v>264</v>
      </c>
      <c r="D615" t="s">
        <v>85</v>
      </c>
      <c r="E615">
        <v>2</v>
      </c>
      <c r="F615" s="6">
        <v>20</v>
      </c>
      <c r="G615" s="7">
        <v>0</v>
      </c>
      <c r="H615" s="6">
        <v>40</v>
      </c>
      <c r="I615">
        <v>0</v>
      </c>
      <c r="J615" s="6">
        <v>0</v>
      </c>
      <c r="K615">
        <v>2</v>
      </c>
      <c r="L615" s="6">
        <v>40</v>
      </c>
      <c r="M615" s="6">
        <v>27.51</v>
      </c>
      <c r="N615" s="6">
        <v>12.49</v>
      </c>
      <c r="O615" s="6">
        <v>4.8099999999999996</v>
      </c>
      <c r="P615" s="6">
        <v>7.68</v>
      </c>
      <c r="Q615" t="s">
        <v>65</v>
      </c>
      <c r="R615" t="s">
        <v>86</v>
      </c>
      <c r="S615" t="s">
        <v>67</v>
      </c>
    </row>
    <row r="616" spans="1:19" x14ac:dyDescent="0.35">
      <c r="A616" t="s">
        <v>738</v>
      </c>
      <c r="B616" s="5">
        <v>45704</v>
      </c>
      <c r="C616" t="s">
        <v>90</v>
      </c>
      <c r="D616" t="s">
        <v>70</v>
      </c>
      <c r="E616">
        <v>2</v>
      </c>
      <c r="F616" s="6">
        <v>38</v>
      </c>
      <c r="G616" s="7">
        <v>0</v>
      </c>
      <c r="H616" s="6">
        <v>76</v>
      </c>
      <c r="I616">
        <v>0</v>
      </c>
      <c r="J616" s="6">
        <v>0</v>
      </c>
      <c r="K616">
        <v>2</v>
      </c>
      <c r="L616" s="6">
        <v>76</v>
      </c>
      <c r="M616" s="6">
        <v>60.98</v>
      </c>
      <c r="N616" s="6">
        <v>15.02</v>
      </c>
      <c r="O616" s="6">
        <v>9.59</v>
      </c>
      <c r="P616" s="6">
        <v>5.43</v>
      </c>
      <c r="Q616" t="s">
        <v>59</v>
      </c>
      <c r="R616" t="s">
        <v>86</v>
      </c>
      <c r="S616" t="s">
        <v>67</v>
      </c>
    </row>
    <row r="617" spans="1:19" x14ac:dyDescent="0.35">
      <c r="A617" t="s">
        <v>739</v>
      </c>
      <c r="B617" s="5">
        <v>45874</v>
      </c>
      <c r="C617" t="s">
        <v>90</v>
      </c>
      <c r="D617" t="s">
        <v>70</v>
      </c>
      <c r="E617">
        <v>2</v>
      </c>
      <c r="F617" s="6">
        <v>38</v>
      </c>
      <c r="G617" s="7">
        <v>0</v>
      </c>
      <c r="H617" s="6">
        <v>76</v>
      </c>
      <c r="I617">
        <v>0</v>
      </c>
      <c r="J617" s="6">
        <v>0</v>
      </c>
      <c r="K617">
        <v>2</v>
      </c>
      <c r="L617" s="6">
        <v>76</v>
      </c>
      <c r="M617" s="6">
        <v>51.26</v>
      </c>
      <c r="N617" s="6">
        <v>24.74</v>
      </c>
      <c r="O617" s="6">
        <v>9.39</v>
      </c>
      <c r="P617" s="6">
        <v>15.35</v>
      </c>
      <c r="Q617" t="s">
        <v>81</v>
      </c>
      <c r="R617" t="s">
        <v>82</v>
      </c>
      <c r="S617" t="s">
        <v>71</v>
      </c>
    </row>
    <row r="618" spans="1:19" x14ac:dyDescent="0.35">
      <c r="A618" t="s">
        <v>740</v>
      </c>
      <c r="B618" s="5">
        <v>45733</v>
      </c>
      <c r="C618" t="s">
        <v>107</v>
      </c>
      <c r="D618" t="s">
        <v>74</v>
      </c>
      <c r="E618">
        <v>3</v>
      </c>
      <c r="F618" s="6">
        <v>125</v>
      </c>
      <c r="G618" s="7">
        <v>0</v>
      </c>
      <c r="H618" s="6">
        <v>375</v>
      </c>
      <c r="I618">
        <v>0</v>
      </c>
      <c r="J618" s="6">
        <v>0</v>
      </c>
      <c r="K618">
        <v>3</v>
      </c>
      <c r="L618" s="6">
        <v>375</v>
      </c>
      <c r="M618" s="6">
        <v>264.14999999999998</v>
      </c>
      <c r="N618" s="6">
        <v>110.85</v>
      </c>
      <c r="O618" s="6">
        <v>35.82</v>
      </c>
      <c r="P618" s="6">
        <v>75.03</v>
      </c>
      <c r="Q618" t="s">
        <v>75</v>
      </c>
      <c r="R618" t="s">
        <v>86</v>
      </c>
      <c r="S618" t="s">
        <v>76</v>
      </c>
    </row>
    <row r="619" spans="1:19" x14ac:dyDescent="0.35">
      <c r="A619" t="s">
        <v>741</v>
      </c>
      <c r="B619" s="5">
        <v>45920</v>
      </c>
      <c r="C619" t="s">
        <v>95</v>
      </c>
      <c r="D619" t="s">
        <v>64</v>
      </c>
      <c r="E619">
        <v>2</v>
      </c>
      <c r="F619" s="6">
        <v>52</v>
      </c>
      <c r="G619" s="7">
        <v>5</v>
      </c>
      <c r="H619" s="6">
        <v>98.8</v>
      </c>
      <c r="I619">
        <v>0</v>
      </c>
      <c r="J619" s="6">
        <v>0</v>
      </c>
      <c r="K619">
        <v>2</v>
      </c>
      <c r="L619" s="6">
        <v>98.8</v>
      </c>
      <c r="M619" s="6">
        <v>69.87</v>
      </c>
      <c r="N619" s="6">
        <v>28.93</v>
      </c>
      <c r="O619" s="6">
        <v>12.38</v>
      </c>
      <c r="P619" s="6">
        <v>16.55</v>
      </c>
      <c r="Q619" t="s">
        <v>81</v>
      </c>
      <c r="R619" t="s">
        <v>82</v>
      </c>
      <c r="S619" t="s">
        <v>61</v>
      </c>
    </row>
    <row r="620" spans="1:19" x14ac:dyDescent="0.35">
      <c r="A620" t="s">
        <v>742</v>
      </c>
      <c r="B620" s="5">
        <v>45857</v>
      </c>
      <c r="C620" t="s">
        <v>117</v>
      </c>
      <c r="D620" t="s">
        <v>74</v>
      </c>
      <c r="E620">
        <v>1</v>
      </c>
      <c r="F620" s="6">
        <v>95</v>
      </c>
      <c r="G620" s="7">
        <v>5</v>
      </c>
      <c r="H620" s="6">
        <v>90.25</v>
      </c>
      <c r="I620">
        <v>1</v>
      </c>
      <c r="J620" s="6">
        <v>90.25</v>
      </c>
      <c r="K620">
        <v>0</v>
      </c>
      <c r="L620" s="6">
        <v>0</v>
      </c>
      <c r="M620" s="6">
        <v>0</v>
      </c>
      <c r="N620" s="6">
        <v>0</v>
      </c>
      <c r="O620" s="6">
        <v>0</v>
      </c>
      <c r="P620" s="6">
        <v>0</v>
      </c>
      <c r="Q620" t="s">
        <v>75</v>
      </c>
      <c r="R620" t="s">
        <v>60</v>
      </c>
      <c r="S620" t="s">
        <v>61</v>
      </c>
    </row>
    <row r="621" spans="1:19" x14ac:dyDescent="0.35">
      <c r="A621" t="s">
        <v>743</v>
      </c>
      <c r="B621" s="5">
        <v>45856</v>
      </c>
      <c r="C621" t="s">
        <v>109</v>
      </c>
      <c r="D621" t="s">
        <v>85</v>
      </c>
      <c r="E621">
        <v>4</v>
      </c>
      <c r="F621" s="6">
        <v>180</v>
      </c>
      <c r="G621" s="7">
        <v>0</v>
      </c>
      <c r="H621" s="6">
        <v>720</v>
      </c>
      <c r="I621">
        <v>0</v>
      </c>
      <c r="J621" s="6">
        <v>0</v>
      </c>
      <c r="K621">
        <v>4</v>
      </c>
      <c r="L621" s="6">
        <v>720</v>
      </c>
      <c r="M621" s="6">
        <v>575.89</v>
      </c>
      <c r="N621" s="6">
        <v>144.11000000000001</v>
      </c>
      <c r="O621" s="6">
        <v>47.75</v>
      </c>
      <c r="P621" s="6">
        <v>96.36</v>
      </c>
      <c r="Q621" t="s">
        <v>75</v>
      </c>
      <c r="R621" t="s">
        <v>82</v>
      </c>
      <c r="S621" t="s">
        <v>67</v>
      </c>
    </row>
    <row r="622" spans="1:19" x14ac:dyDescent="0.35">
      <c r="A622" t="s">
        <v>744</v>
      </c>
      <c r="B622" s="5">
        <v>45765</v>
      </c>
      <c r="C622" t="s">
        <v>90</v>
      </c>
      <c r="D622" t="s">
        <v>70</v>
      </c>
      <c r="E622">
        <v>2</v>
      </c>
      <c r="F622" s="6">
        <v>38</v>
      </c>
      <c r="G622" s="7">
        <v>0</v>
      </c>
      <c r="H622" s="6">
        <v>76</v>
      </c>
      <c r="I622">
        <v>0</v>
      </c>
      <c r="J622" s="6">
        <v>0</v>
      </c>
      <c r="K622">
        <v>2</v>
      </c>
      <c r="L622" s="6">
        <v>76</v>
      </c>
      <c r="M622" s="6">
        <v>56.81</v>
      </c>
      <c r="N622" s="6">
        <v>19.190000000000001</v>
      </c>
      <c r="O622" s="6">
        <v>7.53</v>
      </c>
      <c r="P622" s="6">
        <v>11.66</v>
      </c>
      <c r="Q622" t="s">
        <v>81</v>
      </c>
      <c r="R622" t="s">
        <v>66</v>
      </c>
      <c r="S622" t="s">
        <v>61</v>
      </c>
    </row>
    <row r="623" spans="1:19" x14ac:dyDescent="0.35">
      <c r="A623" t="s">
        <v>745</v>
      </c>
      <c r="B623" s="5">
        <v>45961</v>
      </c>
      <c r="C623" t="s">
        <v>69</v>
      </c>
      <c r="D623" t="s">
        <v>683</v>
      </c>
      <c r="E623">
        <v>3</v>
      </c>
      <c r="F623" s="6">
        <v>210</v>
      </c>
      <c r="G623" s="7">
        <v>2</v>
      </c>
      <c r="H623" s="6">
        <v>617.4</v>
      </c>
      <c r="I623">
        <v>0</v>
      </c>
      <c r="J623" s="6">
        <v>0</v>
      </c>
      <c r="K623">
        <v>3</v>
      </c>
      <c r="L623" s="6">
        <v>617.4</v>
      </c>
      <c r="M623" s="6">
        <v>483.65</v>
      </c>
      <c r="N623" s="6">
        <v>133.75</v>
      </c>
      <c r="O623" s="6">
        <v>56.11</v>
      </c>
      <c r="P623" s="6">
        <v>77.64</v>
      </c>
      <c r="Q623" t="s">
        <v>65</v>
      </c>
      <c r="R623" t="s">
        <v>147</v>
      </c>
      <c r="S623" t="s">
        <v>71</v>
      </c>
    </row>
    <row r="624" spans="1:19" x14ac:dyDescent="0.35">
      <c r="A624" t="s">
        <v>746</v>
      </c>
      <c r="B624" s="5">
        <v>45741</v>
      </c>
      <c r="C624" t="s">
        <v>350</v>
      </c>
      <c r="D624" t="s">
        <v>85</v>
      </c>
      <c r="E624">
        <v>10</v>
      </c>
      <c r="F624" s="6">
        <v>48</v>
      </c>
      <c r="G624" s="7">
        <v>0</v>
      </c>
      <c r="H624" s="6">
        <v>480</v>
      </c>
      <c r="I624">
        <v>0</v>
      </c>
      <c r="J624" s="6">
        <v>0</v>
      </c>
      <c r="K624">
        <v>10</v>
      </c>
      <c r="L624" s="6">
        <v>480</v>
      </c>
      <c r="M624" s="6">
        <v>374.01</v>
      </c>
      <c r="N624" s="6">
        <v>105.99</v>
      </c>
      <c r="O624" s="6">
        <v>45.15</v>
      </c>
      <c r="P624" s="6">
        <v>60.84</v>
      </c>
      <c r="Q624" t="s">
        <v>65</v>
      </c>
      <c r="R624" t="s">
        <v>60</v>
      </c>
      <c r="S624" t="s">
        <v>71</v>
      </c>
    </row>
    <row r="625" spans="1:19" x14ac:dyDescent="0.35">
      <c r="A625" t="s">
        <v>747</v>
      </c>
      <c r="B625" s="5">
        <v>45701</v>
      </c>
      <c r="C625" t="s">
        <v>95</v>
      </c>
      <c r="D625" t="s">
        <v>64</v>
      </c>
      <c r="E625">
        <v>3</v>
      </c>
      <c r="F625" s="6">
        <v>52</v>
      </c>
      <c r="G625" s="7">
        <v>5</v>
      </c>
      <c r="H625" s="6">
        <v>148.19999999999999</v>
      </c>
      <c r="I625">
        <v>0</v>
      </c>
      <c r="J625" s="6">
        <v>0</v>
      </c>
      <c r="K625">
        <v>3</v>
      </c>
      <c r="L625" s="6">
        <v>148.19999999999999</v>
      </c>
      <c r="M625" s="6">
        <v>122.31</v>
      </c>
      <c r="N625" s="6">
        <v>25.89</v>
      </c>
      <c r="O625" s="6">
        <v>11.08</v>
      </c>
      <c r="P625" s="6">
        <v>14.81</v>
      </c>
      <c r="Q625" t="s">
        <v>75</v>
      </c>
      <c r="R625" t="s">
        <v>82</v>
      </c>
      <c r="S625" t="s">
        <v>71</v>
      </c>
    </row>
    <row r="626" spans="1:19" x14ac:dyDescent="0.35">
      <c r="A626" t="s">
        <v>748</v>
      </c>
      <c r="B626" s="5">
        <v>45708</v>
      </c>
      <c r="C626" t="s">
        <v>90</v>
      </c>
      <c r="D626" t="s">
        <v>70</v>
      </c>
      <c r="E626">
        <v>6</v>
      </c>
      <c r="F626" s="6">
        <v>38</v>
      </c>
      <c r="G626" s="7">
        <v>0</v>
      </c>
      <c r="H626" s="6">
        <v>228</v>
      </c>
      <c r="I626">
        <v>0</v>
      </c>
      <c r="J626" s="6">
        <v>0</v>
      </c>
      <c r="K626">
        <v>6</v>
      </c>
      <c r="L626" s="6">
        <v>228</v>
      </c>
      <c r="M626" s="6">
        <v>159.30000000000001</v>
      </c>
      <c r="N626" s="6">
        <v>68.7</v>
      </c>
      <c r="O626" s="6">
        <v>22.29</v>
      </c>
      <c r="P626" s="6">
        <v>46.41</v>
      </c>
      <c r="Q626" t="s">
        <v>65</v>
      </c>
      <c r="R626" t="s">
        <v>60</v>
      </c>
      <c r="S626" t="s">
        <v>61</v>
      </c>
    </row>
    <row r="627" spans="1:19" x14ac:dyDescent="0.35">
      <c r="A627" t="s">
        <v>749</v>
      </c>
      <c r="B627" s="5">
        <v>45726</v>
      </c>
      <c r="C627" t="s">
        <v>557</v>
      </c>
      <c r="D627" t="s">
        <v>74</v>
      </c>
      <c r="E627">
        <v>3</v>
      </c>
      <c r="F627" s="6">
        <v>95</v>
      </c>
      <c r="G627" s="7">
        <v>0</v>
      </c>
      <c r="H627" s="6">
        <v>285</v>
      </c>
      <c r="I627">
        <v>0</v>
      </c>
      <c r="J627" s="6">
        <v>0</v>
      </c>
      <c r="K627">
        <v>3</v>
      </c>
      <c r="L627" s="6">
        <v>285</v>
      </c>
      <c r="M627" s="6">
        <v>234.94</v>
      </c>
      <c r="N627" s="6">
        <v>50.06</v>
      </c>
      <c r="O627" s="6">
        <v>22.37</v>
      </c>
      <c r="P627" s="6">
        <v>27.69</v>
      </c>
      <c r="Q627" t="s">
        <v>59</v>
      </c>
      <c r="R627" t="s">
        <v>60</v>
      </c>
      <c r="S627" t="s">
        <v>61</v>
      </c>
    </row>
    <row r="628" spans="1:19" x14ac:dyDescent="0.35">
      <c r="A628" t="s">
        <v>750</v>
      </c>
      <c r="B628" s="5">
        <v>45674</v>
      </c>
      <c r="C628" t="s">
        <v>95</v>
      </c>
      <c r="D628" t="s">
        <v>64</v>
      </c>
      <c r="E628">
        <v>1</v>
      </c>
      <c r="F628" s="6">
        <v>52</v>
      </c>
      <c r="G628" s="7">
        <v>5</v>
      </c>
      <c r="H628" s="6">
        <v>49.4</v>
      </c>
      <c r="I628">
        <v>0</v>
      </c>
      <c r="J628" s="6">
        <v>0</v>
      </c>
      <c r="K628">
        <v>1</v>
      </c>
      <c r="L628" s="6">
        <v>49.4</v>
      </c>
      <c r="M628" s="6">
        <v>36.979999999999997</v>
      </c>
      <c r="N628" s="6">
        <v>12.42</v>
      </c>
      <c r="O628" s="6">
        <v>3.25</v>
      </c>
      <c r="P628" s="6">
        <v>9.17</v>
      </c>
      <c r="Q628" t="s">
        <v>81</v>
      </c>
      <c r="R628" t="s">
        <v>66</v>
      </c>
      <c r="S628" t="s">
        <v>61</v>
      </c>
    </row>
    <row r="629" spans="1:19" x14ac:dyDescent="0.35">
      <c r="A629" t="s">
        <v>751</v>
      </c>
      <c r="B629" s="5">
        <v>45923</v>
      </c>
      <c r="C629" t="s">
        <v>264</v>
      </c>
      <c r="D629" t="s">
        <v>85</v>
      </c>
      <c r="E629">
        <v>4</v>
      </c>
      <c r="F629" s="6">
        <v>20</v>
      </c>
      <c r="G629" s="7">
        <v>10</v>
      </c>
      <c r="H629" s="6">
        <v>72</v>
      </c>
      <c r="I629">
        <v>0</v>
      </c>
      <c r="J629" s="6">
        <v>0</v>
      </c>
      <c r="K629">
        <v>4</v>
      </c>
      <c r="L629" s="6">
        <v>72</v>
      </c>
      <c r="M629" s="6">
        <v>57.41</v>
      </c>
      <c r="N629" s="6">
        <v>14.59</v>
      </c>
      <c r="O629" s="6">
        <v>5.13</v>
      </c>
      <c r="P629" s="6">
        <v>9.4600000000000009</v>
      </c>
      <c r="Q629" t="s">
        <v>65</v>
      </c>
      <c r="R629" t="s">
        <v>82</v>
      </c>
      <c r="S629" t="s">
        <v>61</v>
      </c>
    </row>
    <row r="630" spans="1:19" x14ac:dyDescent="0.35">
      <c r="A630" t="s">
        <v>752</v>
      </c>
      <c r="B630" s="5">
        <v>45914</v>
      </c>
      <c r="C630" t="s">
        <v>121</v>
      </c>
      <c r="D630" t="s">
        <v>70</v>
      </c>
      <c r="E630">
        <v>3</v>
      </c>
      <c r="F630" s="6">
        <v>110</v>
      </c>
      <c r="G630" s="7">
        <v>5</v>
      </c>
      <c r="H630" s="6">
        <v>313.5</v>
      </c>
      <c r="I630">
        <v>0</v>
      </c>
      <c r="J630" s="6">
        <v>0</v>
      </c>
      <c r="K630">
        <v>3</v>
      </c>
      <c r="L630" s="6">
        <v>313.5</v>
      </c>
      <c r="M630" s="6">
        <v>202</v>
      </c>
      <c r="N630" s="6">
        <v>111.5</v>
      </c>
      <c r="O630" s="6">
        <v>36.03</v>
      </c>
      <c r="P630" s="6">
        <v>75.47</v>
      </c>
      <c r="Q630" t="s">
        <v>65</v>
      </c>
      <c r="R630" t="s">
        <v>60</v>
      </c>
      <c r="S630" t="s">
        <v>61</v>
      </c>
    </row>
    <row r="631" spans="1:19" x14ac:dyDescent="0.35">
      <c r="A631" t="s">
        <v>753</v>
      </c>
      <c r="B631" s="5">
        <v>45787</v>
      </c>
      <c r="C631" t="s">
        <v>84</v>
      </c>
      <c r="D631" t="s">
        <v>85</v>
      </c>
      <c r="E631">
        <v>1</v>
      </c>
      <c r="F631" s="6">
        <v>48</v>
      </c>
      <c r="G631" s="7">
        <v>0</v>
      </c>
      <c r="H631" s="6">
        <v>48</v>
      </c>
      <c r="I631">
        <v>0</v>
      </c>
      <c r="J631" s="6">
        <v>0</v>
      </c>
      <c r="K631">
        <v>1</v>
      </c>
      <c r="L631" s="6">
        <v>48</v>
      </c>
      <c r="M631" s="6">
        <v>36.869999999999997</v>
      </c>
      <c r="N631" s="6">
        <v>11.13</v>
      </c>
      <c r="O631" s="6">
        <v>5.19</v>
      </c>
      <c r="P631" s="6">
        <v>5.94</v>
      </c>
      <c r="Q631" t="s">
        <v>65</v>
      </c>
      <c r="R631" t="s">
        <v>66</v>
      </c>
      <c r="S631" t="s">
        <v>71</v>
      </c>
    </row>
    <row r="632" spans="1:19" x14ac:dyDescent="0.35">
      <c r="A632" t="s">
        <v>754</v>
      </c>
      <c r="B632" s="5">
        <v>45665</v>
      </c>
      <c r="C632" t="s">
        <v>100</v>
      </c>
      <c r="D632" t="s">
        <v>64</v>
      </c>
      <c r="E632" t="s">
        <v>755</v>
      </c>
      <c r="F632" s="6">
        <v>310</v>
      </c>
      <c r="G632" s="7">
        <v>0</v>
      </c>
      <c r="H632" s="6">
        <v>310</v>
      </c>
      <c r="I632">
        <v>1</v>
      </c>
      <c r="J632" s="6">
        <v>310</v>
      </c>
      <c r="K632">
        <v>0</v>
      </c>
      <c r="L632" s="6">
        <v>0</v>
      </c>
      <c r="M632" s="6">
        <v>0</v>
      </c>
      <c r="N632" s="6">
        <v>0</v>
      </c>
      <c r="O632" s="6">
        <v>0</v>
      </c>
      <c r="P632" s="6">
        <v>0</v>
      </c>
      <c r="Q632" t="s">
        <v>81</v>
      </c>
      <c r="R632" t="s">
        <v>60</v>
      </c>
      <c r="S632" t="s">
        <v>61</v>
      </c>
    </row>
    <row r="633" spans="1:19" x14ac:dyDescent="0.35">
      <c r="A633" t="s">
        <v>756</v>
      </c>
      <c r="B633" s="5">
        <v>45671</v>
      </c>
      <c r="C633" t="s">
        <v>63</v>
      </c>
      <c r="D633" t="s">
        <v>64</v>
      </c>
      <c r="E633">
        <v>1</v>
      </c>
      <c r="F633" s="6">
        <v>145</v>
      </c>
      <c r="G633" s="7">
        <v>5</v>
      </c>
      <c r="H633" s="6">
        <v>137.75</v>
      </c>
      <c r="I633">
        <v>0</v>
      </c>
      <c r="J633" s="6">
        <v>0</v>
      </c>
      <c r="K633">
        <v>1</v>
      </c>
      <c r="L633" s="6">
        <v>137.75</v>
      </c>
      <c r="M633" s="6">
        <v>91.55</v>
      </c>
      <c r="N633" s="6">
        <v>46.2</v>
      </c>
      <c r="O633" s="6">
        <v>11.69</v>
      </c>
      <c r="P633" s="6">
        <v>34.51</v>
      </c>
      <c r="Q633" t="s">
        <v>65</v>
      </c>
      <c r="R633" t="s">
        <v>82</v>
      </c>
      <c r="S633" t="s">
        <v>71</v>
      </c>
    </row>
    <row r="634" spans="1:19" x14ac:dyDescent="0.35">
      <c r="A634" t="s">
        <v>757</v>
      </c>
      <c r="B634" s="5">
        <v>45951</v>
      </c>
      <c r="C634" t="s">
        <v>69</v>
      </c>
      <c r="D634" t="s">
        <v>70</v>
      </c>
      <c r="E634">
        <v>2</v>
      </c>
      <c r="F634" s="6">
        <v>210</v>
      </c>
      <c r="G634" s="7">
        <v>10</v>
      </c>
      <c r="H634" s="6">
        <v>378</v>
      </c>
      <c r="I634">
        <v>0</v>
      </c>
      <c r="J634" s="6">
        <v>0</v>
      </c>
      <c r="K634">
        <v>2</v>
      </c>
      <c r="L634" s="6">
        <v>378</v>
      </c>
      <c r="M634" s="6">
        <v>318.06</v>
      </c>
      <c r="N634" s="6">
        <v>59.94</v>
      </c>
      <c r="O634" s="6">
        <v>28.82</v>
      </c>
      <c r="P634" s="6">
        <v>31.12</v>
      </c>
      <c r="Q634" t="s">
        <v>81</v>
      </c>
      <c r="R634" t="s">
        <v>66</v>
      </c>
      <c r="S634" t="s">
        <v>61</v>
      </c>
    </row>
    <row r="635" spans="1:19" x14ac:dyDescent="0.35">
      <c r="A635" t="s">
        <v>758</v>
      </c>
      <c r="B635" s="5">
        <v>45708</v>
      </c>
      <c r="C635" t="s">
        <v>69</v>
      </c>
      <c r="D635" t="s">
        <v>70</v>
      </c>
      <c r="E635">
        <v>6</v>
      </c>
      <c r="F635" s="6">
        <v>210</v>
      </c>
      <c r="G635" s="7">
        <v>0</v>
      </c>
      <c r="H635" s="6">
        <v>1260</v>
      </c>
      <c r="I635">
        <v>0</v>
      </c>
      <c r="J635" s="6">
        <v>0</v>
      </c>
      <c r="K635">
        <v>6</v>
      </c>
      <c r="L635" s="6">
        <v>1260</v>
      </c>
      <c r="M635" s="6">
        <v>796.22</v>
      </c>
      <c r="N635" s="6">
        <v>463.78</v>
      </c>
      <c r="O635" s="6">
        <v>69.36</v>
      </c>
      <c r="P635" s="6">
        <v>394.42</v>
      </c>
      <c r="Q635" t="s">
        <v>81</v>
      </c>
      <c r="R635" t="s">
        <v>86</v>
      </c>
      <c r="S635" t="s">
        <v>61</v>
      </c>
    </row>
    <row r="636" spans="1:19" x14ac:dyDescent="0.35">
      <c r="A636" t="s">
        <v>759</v>
      </c>
      <c r="B636" s="5">
        <v>45970</v>
      </c>
      <c r="C636" t="s">
        <v>109</v>
      </c>
      <c r="D636" t="s">
        <v>85</v>
      </c>
      <c r="E636">
        <v>3</v>
      </c>
      <c r="F636" s="6">
        <v>180</v>
      </c>
      <c r="G636" s="7">
        <v>0</v>
      </c>
      <c r="H636" s="6">
        <v>540</v>
      </c>
      <c r="I636">
        <v>0</v>
      </c>
      <c r="J636" s="6">
        <v>0</v>
      </c>
      <c r="K636">
        <v>3</v>
      </c>
      <c r="L636" s="6">
        <v>540</v>
      </c>
      <c r="M636" s="6">
        <v>397.46</v>
      </c>
      <c r="N636" s="6">
        <v>142.54</v>
      </c>
      <c r="O636" s="6">
        <v>30.24</v>
      </c>
      <c r="P636" s="6">
        <v>112.3</v>
      </c>
      <c r="Q636" t="s">
        <v>65</v>
      </c>
      <c r="R636" t="s">
        <v>86</v>
      </c>
      <c r="S636" t="s">
        <v>61</v>
      </c>
    </row>
    <row r="637" spans="1:19" x14ac:dyDescent="0.35">
      <c r="A637" t="s">
        <v>760</v>
      </c>
      <c r="B637" s="5">
        <v>45682</v>
      </c>
      <c r="C637" t="s">
        <v>117</v>
      </c>
      <c r="D637" t="s">
        <v>74</v>
      </c>
      <c r="E637">
        <v>1</v>
      </c>
      <c r="F637" s="6">
        <v>95</v>
      </c>
      <c r="G637" s="7">
        <v>0</v>
      </c>
      <c r="H637" s="6">
        <v>95</v>
      </c>
      <c r="I637">
        <v>0</v>
      </c>
      <c r="J637" s="6">
        <v>0</v>
      </c>
      <c r="K637">
        <v>1</v>
      </c>
      <c r="L637" s="6">
        <v>95</v>
      </c>
      <c r="M637" s="6">
        <v>77.78</v>
      </c>
      <c r="N637" s="6">
        <v>17.22</v>
      </c>
      <c r="O637" s="6">
        <v>12.21</v>
      </c>
      <c r="P637" s="6">
        <v>5.01</v>
      </c>
      <c r="Q637" t="s">
        <v>59</v>
      </c>
      <c r="R637" t="s">
        <v>60</v>
      </c>
      <c r="S637" t="s">
        <v>71</v>
      </c>
    </row>
    <row r="638" spans="1:19" x14ac:dyDescent="0.35">
      <c r="A638" t="s">
        <v>761</v>
      </c>
      <c r="B638" s="5">
        <v>45915</v>
      </c>
      <c r="C638" t="s">
        <v>104</v>
      </c>
      <c r="D638" t="s">
        <v>105</v>
      </c>
      <c r="E638">
        <v>2</v>
      </c>
      <c r="F638" s="6">
        <v>65</v>
      </c>
      <c r="G638" s="7">
        <v>0</v>
      </c>
      <c r="H638" s="6">
        <v>130</v>
      </c>
      <c r="I638">
        <v>0</v>
      </c>
      <c r="J638" s="6">
        <v>0</v>
      </c>
      <c r="K638">
        <v>2</v>
      </c>
      <c r="L638" s="6">
        <v>130</v>
      </c>
      <c r="M638" s="6">
        <v>103.04</v>
      </c>
      <c r="N638" s="6">
        <v>26.96</v>
      </c>
      <c r="O638" s="6">
        <v>16.32</v>
      </c>
      <c r="P638" s="6">
        <v>10.64</v>
      </c>
      <c r="Q638" t="s">
        <v>81</v>
      </c>
      <c r="R638" t="s">
        <v>60</v>
      </c>
      <c r="S638" t="s">
        <v>67</v>
      </c>
    </row>
    <row r="639" spans="1:19" x14ac:dyDescent="0.35">
      <c r="A639" t="s">
        <v>762</v>
      </c>
      <c r="B639" s="5">
        <v>45745</v>
      </c>
      <c r="C639" t="s">
        <v>125</v>
      </c>
      <c r="D639" t="s">
        <v>85</v>
      </c>
      <c r="E639">
        <v>1</v>
      </c>
      <c r="F639" s="6">
        <v>125</v>
      </c>
      <c r="G639" s="7">
        <v>0</v>
      </c>
      <c r="H639" s="6">
        <v>125</v>
      </c>
      <c r="I639">
        <v>0</v>
      </c>
      <c r="J639" s="6">
        <v>0</v>
      </c>
      <c r="K639">
        <v>1</v>
      </c>
      <c r="L639" s="6">
        <v>125</v>
      </c>
      <c r="M639" s="6">
        <v>94.83</v>
      </c>
      <c r="N639" s="6">
        <v>30.17</v>
      </c>
      <c r="O639" s="6">
        <v>9.57</v>
      </c>
      <c r="P639" s="6">
        <v>20.6</v>
      </c>
      <c r="Q639" t="s">
        <v>65</v>
      </c>
      <c r="R639" t="s">
        <v>66</v>
      </c>
      <c r="S639" t="s">
        <v>71</v>
      </c>
    </row>
    <row r="640" spans="1:19" x14ac:dyDescent="0.35">
      <c r="A640" t="s">
        <v>763</v>
      </c>
      <c r="B640" s="5">
        <v>45818</v>
      </c>
      <c r="C640" t="s">
        <v>69</v>
      </c>
      <c r="D640" t="s">
        <v>70</v>
      </c>
      <c r="E640">
        <v>2</v>
      </c>
      <c r="F640" s="6">
        <v>210</v>
      </c>
      <c r="G640" s="7">
        <v>0</v>
      </c>
      <c r="H640" s="6">
        <v>420</v>
      </c>
      <c r="I640">
        <v>0</v>
      </c>
      <c r="J640" s="6">
        <v>0</v>
      </c>
      <c r="K640">
        <v>2</v>
      </c>
      <c r="L640" s="6">
        <v>420</v>
      </c>
      <c r="M640" s="6">
        <v>360.52</v>
      </c>
      <c r="N640" s="6">
        <v>59.48</v>
      </c>
      <c r="O640" s="6">
        <v>39.97</v>
      </c>
      <c r="P640" s="6">
        <v>19.510000000000002</v>
      </c>
      <c r="Q640" t="s">
        <v>59</v>
      </c>
      <c r="R640" t="s">
        <v>66</v>
      </c>
      <c r="S640" t="s">
        <v>61</v>
      </c>
    </row>
    <row r="641" spans="1:19" x14ac:dyDescent="0.35">
      <c r="A641" t="s">
        <v>764</v>
      </c>
      <c r="B641" s="5">
        <v>45865</v>
      </c>
      <c r="C641" t="s">
        <v>63</v>
      </c>
      <c r="D641" t="s">
        <v>64</v>
      </c>
      <c r="E641">
        <v>5</v>
      </c>
      <c r="F641" s="6">
        <v>145</v>
      </c>
      <c r="G641" s="7">
        <v>2</v>
      </c>
      <c r="H641" s="6">
        <v>710.5</v>
      </c>
      <c r="I641">
        <v>0</v>
      </c>
      <c r="J641" s="6">
        <v>0</v>
      </c>
      <c r="K641">
        <v>5</v>
      </c>
      <c r="L641" s="6">
        <v>710.5</v>
      </c>
      <c r="M641" s="6">
        <v>489.97</v>
      </c>
      <c r="N641" s="6">
        <v>220.53</v>
      </c>
      <c r="O641" s="6">
        <v>50.6</v>
      </c>
      <c r="P641" s="6">
        <v>169.93</v>
      </c>
      <c r="Q641" t="s">
        <v>75</v>
      </c>
      <c r="R641" t="s">
        <v>86</v>
      </c>
      <c r="S641" t="s">
        <v>61</v>
      </c>
    </row>
    <row r="642" spans="1:19" x14ac:dyDescent="0.35">
      <c r="A642" t="s">
        <v>765</v>
      </c>
      <c r="B642" s="5">
        <v>45670</v>
      </c>
      <c r="C642" t="s">
        <v>280</v>
      </c>
      <c r="D642" t="s">
        <v>64</v>
      </c>
      <c r="E642">
        <v>1</v>
      </c>
      <c r="F642" s="6">
        <v>310</v>
      </c>
      <c r="G642" s="7">
        <v>0</v>
      </c>
      <c r="H642" s="6">
        <v>310</v>
      </c>
      <c r="I642">
        <v>0</v>
      </c>
      <c r="J642" s="6">
        <v>0</v>
      </c>
      <c r="K642">
        <v>1</v>
      </c>
      <c r="L642" s="6">
        <v>310</v>
      </c>
      <c r="M642" s="6">
        <v>260.11</v>
      </c>
      <c r="N642" s="6">
        <v>49.89</v>
      </c>
      <c r="O642" s="6">
        <v>29.05</v>
      </c>
      <c r="P642" s="6">
        <v>20.84</v>
      </c>
      <c r="Q642" t="s">
        <v>59</v>
      </c>
      <c r="R642" t="s">
        <v>66</v>
      </c>
      <c r="S642" t="s">
        <v>76</v>
      </c>
    </row>
    <row r="643" spans="1:19" x14ac:dyDescent="0.35">
      <c r="A643" t="s">
        <v>766</v>
      </c>
      <c r="B643" s="5">
        <v>45915</v>
      </c>
      <c r="C643" t="s">
        <v>88</v>
      </c>
      <c r="D643" t="s">
        <v>57</v>
      </c>
      <c r="E643">
        <v>3</v>
      </c>
      <c r="F643" s="6">
        <v>30</v>
      </c>
      <c r="G643" s="7">
        <v>0</v>
      </c>
      <c r="H643" s="6">
        <v>90</v>
      </c>
      <c r="I643">
        <v>3</v>
      </c>
      <c r="J643" s="6">
        <v>90</v>
      </c>
      <c r="K643">
        <v>0</v>
      </c>
      <c r="L643" s="6">
        <v>0</v>
      </c>
      <c r="M643" s="6">
        <v>0</v>
      </c>
      <c r="N643" s="6">
        <v>0</v>
      </c>
      <c r="O643" s="6">
        <v>0</v>
      </c>
      <c r="P643" s="6">
        <v>0</v>
      </c>
      <c r="Q643" t="s">
        <v>59</v>
      </c>
      <c r="R643" t="s">
        <v>66</v>
      </c>
      <c r="S643" t="s">
        <v>76</v>
      </c>
    </row>
    <row r="644" spans="1:19" x14ac:dyDescent="0.35">
      <c r="A644" t="s">
        <v>767</v>
      </c>
      <c r="B644" s="5">
        <v>45662</v>
      </c>
      <c r="C644" t="s">
        <v>69</v>
      </c>
      <c r="D644" t="s">
        <v>70</v>
      </c>
      <c r="E644">
        <v>1</v>
      </c>
      <c r="F644" s="6">
        <v>210</v>
      </c>
      <c r="G644" s="7">
        <v>2</v>
      </c>
      <c r="H644" s="6">
        <v>205.8</v>
      </c>
      <c r="I644">
        <v>0</v>
      </c>
      <c r="J644" s="6">
        <v>0</v>
      </c>
      <c r="K644">
        <v>1</v>
      </c>
      <c r="L644" s="6">
        <v>205.8</v>
      </c>
      <c r="M644" s="6">
        <v>165.45</v>
      </c>
      <c r="N644" s="6">
        <v>40.35</v>
      </c>
      <c r="O644" s="6">
        <v>24.78</v>
      </c>
      <c r="P644" s="6">
        <v>15.57</v>
      </c>
      <c r="Q644" t="s">
        <v>59</v>
      </c>
      <c r="R644" t="s">
        <v>82</v>
      </c>
      <c r="S644" t="s">
        <v>61</v>
      </c>
    </row>
    <row r="645" spans="1:19" x14ac:dyDescent="0.35">
      <c r="A645" t="s">
        <v>768</v>
      </c>
      <c r="B645" s="5">
        <v>46012</v>
      </c>
      <c r="C645" t="s">
        <v>90</v>
      </c>
      <c r="D645" t="s">
        <v>70</v>
      </c>
      <c r="E645">
        <v>2</v>
      </c>
      <c r="F645" s="6">
        <v>38</v>
      </c>
      <c r="G645" s="7">
        <v>0</v>
      </c>
      <c r="H645" s="6">
        <v>76</v>
      </c>
      <c r="I645">
        <v>0</v>
      </c>
      <c r="J645" s="6">
        <v>0</v>
      </c>
      <c r="K645">
        <v>2</v>
      </c>
      <c r="L645" s="6">
        <v>76</v>
      </c>
      <c r="M645" s="6">
        <v>62.53</v>
      </c>
      <c r="N645" s="6">
        <v>13.47</v>
      </c>
      <c r="O645" s="6">
        <v>7.87</v>
      </c>
      <c r="P645" s="6">
        <v>5.6</v>
      </c>
      <c r="Q645" t="s">
        <v>59</v>
      </c>
      <c r="R645" t="s">
        <v>60</v>
      </c>
      <c r="S645" t="s">
        <v>61</v>
      </c>
    </row>
    <row r="646" spans="1:19" x14ac:dyDescent="0.35">
      <c r="A646" t="s">
        <v>769</v>
      </c>
      <c r="B646" s="5">
        <v>45878</v>
      </c>
      <c r="C646" t="s">
        <v>63</v>
      </c>
      <c r="D646" t="s">
        <v>64</v>
      </c>
      <c r="E646">
        <v>5</v>
      </c>
      <c r="F646" s="6">
        <v>145</v>
      </c>
      <c r="G646" s="7">
        <v>0</v>
      </c>
      <c r="H646" s="6">
        <v>725</v>
      </c>
      <c r="I646">
        <v>0</v>
      </c>
      <c r="J646" s="6">
        <v>0</v>
      </c>
      <c r="K646">
        <v>5</v>
      </c>
      <c r="L646" s="6">
        <v>725</v>
      </c>
      <c r="M646" s="6">
        <v>488.79</v>
      </c>
      <c r="N646" s="6">
        <v>236.21</v>
      </c>
      <c r="O646" s="6">
        <v>38.590000000000003</v>
      </c>
      <c r="P646" s="6">
        <v>197.62</v>
      </c>
      <c r="Q646" t="s">
        <v>75</v>
      </c>
      <c r="R646" t="s">
        <v>86</v>
      </c>
      <c r="S646" t="s">
        <v>67</v>
      </c>
    </row>
    <row r="647" spans="1:19" x14ac:dyDescent="0.35">
      <c r="A647" t="s">
        <v>770</v>
      </c>
      <c r="B647" s="5">
        <v>45912</v>
      </c>
      <c r="C647" t="s">
        <v>90</v>
      </c>
      <c r="D647" t="s">
        <v>70</v>
      </c>
      <c r="E647">
        <v>3</v>
      </c>
      <c r="F647" s="6">
        <v>38</v>
      </c>
      <c r="G647" s="7">
        <v>5</v>
      </c>
      <c r="H647" s="6">
        <v>108.3</v>
      </c>
      <c r="I647">
        <v>0</v>
      </c>
      <c r="J647" s="6">
        <v>0</v>
      </c>
      <c r="K647">
        <v>3</v>
      </c>
      <c r="L647" s="6">
        <v>108.3</v>
      </c>
      <c r="M647" s="6">
        <v>72.5</v>
      </c>
      <c r="N647" s="6">
        <v>35.799999999999997</v>
      </c>
      <c r="O647" s="6">
        <v>8.3800000000000008</v>
      </c>
      <c r="P647" s="6">
        <v>27.42</v>
      </c>
      <c r="Q647" t="s">
        <v>65</v>
      </c>
      <c r="R647" t="s">
        <v>86</v>
      </c>
      <c r="S647" t="s">
        <v>61</v>
      </c>
    </row>
    <row r="648" spans="1:19" x14ac:dyDescent="0.35">
      <c r="A648" t="s">
        <v>771</v>
      </c>
      <c r="B648" s="5">
        <v>45669</v>
      </c>
      <c r="C648" t="s">
        <v>84</v>
      </c>
      <c r="D648" t="s">
        <v>85</v>
      </c>
      <c r="E648">
        <v>1</v>
      </c>
      <c r="F648" s="6">
        <v>48</v>
      </c>
      <c r="G648" s="7">
        <v>0</v>
      </c>
      <c r="H648" s="6">
        <v>48</v>
      </c>
      <c r="I648">
        <v>0</v>
      </c>
      <c r="J648" s="6">
        <v>0</v>
      </c>
      <c r="K648">
        <v>1</v>
      </c>
      <c r="L648" s="6">
        <v>48</v>
      </c>
      <c r="M648" s="6">
        <v>39.17</v>
      </c>
      <c r="N648" s="6">
        <v>8.83</v>
      </c>
      <c r="O648" s="6">
        <v>2.73</v>
      </c>
      <c r="P648" s="6">
        <v>6.1</v>
      </c>
      <c r="Q648" t="s">
        <v>75</v>
      </c>
      <c r="R648" t="s">
        <v>82</v>
      </c>
      <c r="S648" t="s">
        <v>61</v>
      </c>
    </row>
    <row r="649" spans="1:19" x14ac:dyDescent="0.35">
      <c r="A649" t="s">
        <v>772</v>
      </c>
      <c r="B649" s="5">
        <v>45735</v>
      </c>
      <c r="C649" t="s">
        <v>95</v>
      </c>
      <c r="D649" t="s">
        <v>64</v>
      </c>
      <c r="E649">
        <v>1</v>
      </c>
      <c r="F649" s="6">
        <v>52</v>
      </c>
      <c r="G649" s="7">
        <v>10</v>
      </c>
      <c r="H649" s="6">
        <v>46.8</v>
      </c>
      <c r="I649">
        <v>0</v>
      </c>
      <c r="J649" s="6">
        <v>0</v>
      </c>
      <c r="K649">
        <v>1</v>
      </c>
      <c r="L649" s="6">
        <v>46.8</v>
      </c>
      <c r="M649" s="6">
        <v>37.46</v>
      </c>
      <c r="N649" s="6">
        <v>9.34</v>
      </c>
      <c r="O649" s="6">
        <v>4.87</v>
      </c>
      <c r="P649" s="6">
        <v>4.47</v>
      </c>
      <c r="Q649" t="s">
        <v>59</v>
      </c>
      <c r="R649" t="s">
        <v>82</v>
      </c>
      <c r="S649" t="s">
        <v>71</v>
      </c>
    </row>
    <row r="650" spans="1:19" x14ac:dyDescent="0.35">
      <c r="A650" t="s">
        <v>773</v>
      </c>
      <c r="B650" s="5">
        <v>45828</v>
      </c>
      <c r="C650" t="s">
        <v>63</v>
      </c>
      <c r="D650" t="s">
        <v>64</v>
      </c>
      <c r="E650">
        <v>4</v>
      </c>
      <c r="F650" s="6">
        <v>145</v>
      </c>
      <c r="G650" s="7">
        <v>0</v>
      </c>
      <c r="H650" s="6">
        <v>580</v>
      </c>
      <c r="I650">
        <v>0</v>
      </c>
      <c r="J650" s="6">
        <v>0</v>
      </c>
      <c r="K650">
        <v>4</v>
      </c>
      <c r="L650" s="6">
        <v>580</v>
      </c>
      <c r="M650" s="6">
        <v>446.94</v>
      </c>
      <c r="N650" s="6">
        <v>133.06</v>
      </c>
      <c r="O650" s="6">
        <v>75.28</v>
      </c>
      <c r="P650" s="6">
        <v>57.78</v>
      </c>
      <c r="Q650" t="s">
        <v>75</v>
      </c>
      <c r="R650" t="s">
        <v>60</v>
      </c>
      <c r="S650" t="s">
        <v>71</v>
      </c>
    </row>
    <row r="651" spans="1:19" x14ac:dyDescent="0.35">
      <c r="A651" t="s">
        <v>774</v>
      </c>
      <c r="B651" s="5">
        <v>45993</v>
      </c>
      <c r="C651" t="s">
        <v>73</v>
      </c>
      <c r="D651" t="s">
        <v>74</v>
      </c>
      <c r="E651">
        <v>1</v>
      </c>
      <c r="F651" s="6">
        <v>280</v>
      </c>
      <c r="G651" s="7">
        <v>0</v>
      </c>
      <c r="H651" s="6">
        <v>280</v>
      </c>
      <c r="I651">
        <v>0</v>
      </c>
      <c r="J651" s="6">
        <v>0</v>
      </c>
      <c r="K651">
        <v>1</v>
      </c>
      <c r="L651" s="6">
        <v>280</v>
      </c>
      <c r="M651" s="6">
        <v>192.6</v>
      </c>
      <c r="N651" s="6">
        <v>87.4</v>
      </c>
      <c r="O651" s="6">
        <v>36.020000000000003</v>
      </c>
      <c r="P651" s="6">
        <v>51.38</v>
      </c>
      <c r="Q651" t="s">
        <v>65</v>
      </c>
      <c r="R651" t="s">
        <v>86</v>
      </c>
      <c r="S651" t="s">
        <v>67</v>
      </c>
    </row>
    <row r="652" spans="1:19" x14ac:dyDescent="0.35">
      <c r="A652" t="s">
        <v>775</v>
      </c>
      <c r="B652" s="5">
        <v>45720</v>
      </c>
      <c r="C652" t="s">
        <v>69</v>
      </c>
      <c r="D652" t="s">
        <v>70</v>
      </c>
      <c r="E652">
        <v>2</v>
      </c>
      <c r="F652" s="6">
        <v>210</v>
      </c>
      <c r="G652" s="7">
        <v>2</v>
      </c>
      <c r="H652" s="6">
        <v>411.6</v>
      </c>
      <c r="I652">
        <v>0</v>
      </c>
      <c r="J652" s="6">
        <v>0</v>
      </c>
      <c r="K652">
        <v>2</v>
      </c>
      <c r="L652" s="6">
        <v>411.6</v>
      </c>
      <c r="M652" s="6">
        <v>318.45</v>
      </c>
      <c r="N652" s="6">
        <v>93.15</v>
      </c>
      <c r="O652" s="6">
        <v>44.98</v>
      </c>
      <c r="P652" s="6">
        <v>48.17</v>
      </c>
      <c r="Q652" t="s">
        <v>75</v>
      </c>
      <c r="R652" t="s">
        <v>60</v>
      </c>
      <c r="S652" t="s">
        <v>71</v>
      </c>
    </row>
    <row r="653" spans="1:19" x14ac:dyDescent="0.35">
      <c r="A653" t="s">
        <v>776</v>
      </c>
      <c r="B653" s="5">
        <v>45993</v>
      </c>
      <c r="C653" t="s">
        <v>97</v>
      </c>
      <c r="D653" t="s">
        <v>57</v>
      </c>
      <c r="E653">
        <v>3</v>
      </c>
      <c r="F653" s="6">
        <v>55</v>
      </c>
      <c r="G653" s="7">
        <v>0</v>
      </c>
      <c r="H653" s="6">
        <v>165</v>
      </c>
      <c r="I653">
        <v>0</v>
      </c>
      <c r="J653" s="6">
        <v>0</v>
      </c>
      <c r="K653">
        <v>3</v>
      </c>
      <c r="L653" s="6">
        <v>165</v>
      </c>
      <c r="M653" s="6">
        <v>107.58</v>
      </c>
      <c r="N653" s="6">
        <v>57.42</v>
      </c>
      <c r="O653" s="6">
        <v>12.1</v>
      </c>
      <c r="P653" s="6">
        <v>45.32</v>
      </c>
      <c r="Q653" t="s">
        <v>65</v>
      </c>
      <c r="S653" t="s">
        <v>67</v>
      </c>
    </row>
    <row r="654" spans="1:19" x14ac:dyDescent="0.35">
      <c r="A654" t="s">
        <v>777</v>
      </c>
      <c r="B654" s="5">
        <v>45831</v>
      </c>
      <c r="C654" t="s">
        <v>100</v>
      </c>
      <c r="D654" t="s">
        <v>64</v>
      </c>
      <c r="E654">
        <v>3</v>
      </c>
      <c r="F654" s="6">
        <v>310</v>
      </c>
      <c r="G654" s="7">
        <v>0</v>
      </c>
      <c r="H654" s="6">
        <v>930</v>
      </c>
      <c r="I654">
        <v>0</v>
      </c>
      <c r="J654" s="6">
        <v>0</v>
      </c>
      <c r="K654">
        <v>3</v>
      </c>
      <c r="L654" s="6">
        <v>930</v>
      </c>
      <c r="M654" s="6">
        <v>655.79</v>
      </c>
      <c r="N654" s="6">
        <v>274.20999999999998</v>
      </c>
      <c r="O654" s="6">
        <v>50.77</v>
      </c>
      <c r="P654" s="6">
        <v>223.44</v>
      </c>
      <c r="Q654" t="s">
        <v>81</v>
      </c>
      <c r="R654" t="s">
        <v>82</v>
      </c>
      <c r="S654" t="s">
        <v>76</v>
      </c>
    </row>
    <row r="655" spans="1:19" x14ac:dyDescent="0.35">
      <c r="A655" t="s">
        <v>778</v>
      </c>
      <c r="B655" s="5">
        <v>45872</v>
      </c>
      <c r="C655" t="s">
        <v>107</v>
      </c>
      <c r="D655" t="s">
        <v>74</v>
      </c>
      <c r="E655">
        <v>2</v>
      </c>
      <c r="F655" s="6">
        <v>125</v>
      </c>
      <c r="G655" s="7">
        <v>5</v>
      </c>
      <c r="H655" s="6">
        <v>237.5</v>
      </c>
      <c r="I655">
        <v>0</v>
      </c>
      <c r="J655" s="6">
        <v>0</v>
      </c>
      <c r="K655">
        <v>2</v>
      </c>
      <c r="L655" s="6">
        <v>237.5</v>
      </c>
      <c r="M655" s="6">
        <v>151.66999999999999</v>
      </c>
      <c r="N655" s="6">
        <v>85.83</v>
      </c>
      <c r="O655" s="6">
        <v>23</v>
      </c>
      <c r="P655" s="6">
        <v>62.83</v>
      </c>
      <c r="Q655" t="s">
        <v>81</v>
      </c>
      <c r="R655" t="s">
        <v>66</v>
      </c>
      <c r="S655" t="s">
        <v>61</v>
      </c>
    </row>
    <row r="656" spans="1:19" x14ac:dyDescent="0.35">
      <c r="A656" t="s">
        <v>779</v>
      </c>
      <c r="B656" s="5">
        <v>45755</v>
      </c>
      <c r="C656" t="s">
        <v>88</v>
      </c>
      <c r="D656" t="s">
        <v>57</v>
      </c>
      <c r="E656">
        <v>4</v>
      </c>
      <c r="F656" s="6">
        <v>30</v>
      </c>
      <c r="G656" s="7">
        <v>0</v>
      </c>
      <c r="H656" s="6">
        <v>120</v>
      </c>
      <c r="I656">
        <v>0</v>
      </c>
      <c r="J656" s="6">
        <v>0</v>
      </c>
      <c r="K656">
        <v>4</v>
      </c>
      <c r="L656" s="6">
        <v>120</v>
      </c>
      <c r="M656" s="6">
        <v>85.01</v>
      </c>
      <c r="N656" s="6">
        <v>34.99</v>
      </c>
      <c r="O656" s="6">
        <v>10.039999999999999</v>
      </c>
      <c r="P656" s="6">
        <v>24.95</v>
      </c>
      <c r="Q656" t="s">
        <v>59</v>
      </c>
      <c r="R656" t="s">
        <v>86</v>
      </c>
      <c r="S656" t="s">
        <v>67</v>
      </c>
    </row>
    <row r="657" spans="1:19" x14ac:dyDescent="0.35">
      <c r="A657" t="s">
        <v>780</v>
      </c>
      <c r="B657" s="5">
        <v>45852</v>
      </c>
      <c r="C657" t="s">
        <v>117</v>
      </c>
      <c r="D657" t="s">
        <v>74</v>
      </c>
      <c r="E657">
        <v>3</v>
      </c>
      <c r="F657" s="6">
        <v>95</v>
      </c>
      <c r="G657" s="7">
        <v>5</v>
      </c>
      <c r="H657" s="6">
        <v>270.75</v>
      </c>
      <c r="I657">
        <v>0</v>
      </c>
      <c r="J657" s="6">
        <v>0</v>
      </c>
      <c r="K657">
        <v>3</v>
      </c>
      <c r="L657" s="6">
        <v>270.75</v>
      </c>
      <c r="M657" s="6">
        <v>196.69</v>
      </c>
      <c r="N657" s="6">
        <v>74.06</v>
      </c>
      <c r="O657" s="6">
        <v>19.93</v>
      </c>
      <c r="P657" s="6">
        <v>54.13</v>
      </c>
      <c r="Q657" t="s">
        <v>81</v>
      </c>
      <c r="R657" t="s">
        <v>66</v>
      </c>
      <c r="S657" t="s">
        <v>71</v>
      </c>
    </row>
    <row r="658" spans="1:19" x14ac:dyDescent="0.35">
      <c r="A658" t="s">
        <v>781</v>
      </c>
      <c r="B658" s="5">
        <v>46008</v>
      </c>
      <c r="C658" t="s">
        <v>78</v>
      </c>
      <c r="D658" t="s">
        <v>79</v>
      </c>
      <c r="E658">
        <v>6</v>
      </c>
      <c r="F658" s="6">
        <v>120</v>
      </c>
      <c r="G658" s="7">
        <v>0</v>
      </c>
      <c r="H658" s="6">
        <v>720</v>
      </c>
      <c r="I658">
        <v>0</v>
      </c>
      <c r="J658" s="6">
        <v>0</v>
      </c>
      <c r="K658">
        <v>6</v>
      </c>
      <c r="L658" s="6">
        <v>720</v>
      </c>
      <c r="M658" s="6">
        <v>458.28</v>
      </c>
      <c r="N658" s="6">
        <v>261.72000000000003</v>
      </c>
      <c r="O658" s="6">
        <v>60.03</v>
      </c>
      <c r="P658" s="6">
        <v>201.69</v>
      </c>
      <c r="Q658" t="s">
        <v>65</v>
      </c>
      <c r="R658" t="s">
        <v>60</v>
      </c>
      <c r="S658" t="s">
        <v>71</v>
      </c>
    </row>
    <row r="659" spans="1:19" x14ac:dyDescent="0.35">
      <c r="A659" t="s">
        <v>782</v>
      </c>
      <c r="B659" s="5">
        <v>45990</v>
      </c>
      <c r="C659" t="s">
        <v>104</v>
      </c>
      <c r="D659" t="s">
        <v>105</v>
      </c>
      <c r="E659">
        <v>1</v>
      </c>
      <c r="F659" s="6">
        <v>65</v>
      </c>
      <c r="G659" s="7">
        <v>15</v>
      </c>
      <c r="H659" s="6">
        <v>55.25</v>
      </c>
      <c r="I659">
        <v>0</v>
      </c>
      <c r="J659" s="6">
        <v>0</v>
      </c>
      <c r="K659">
        <v>1</v>
      </c>
      <c r="L659" s="6">
        <v>55.25</v>
      </c>
      <c r="M659" s="6">
        <v>41.05</v>
      </c>
      <c r="N659" s="6">
        <v>14.2</v>
      </c>
      <c r="O659" s="6">
        <v>4.84</v>
      </c>
      <c r="P659" s="6">
        <v>9.36</v>
      </c>
      <c r="Q659" t="s">
        <v>59</v>
      </c>
      <c r="R659" t="s">
        <v>82</v>
      </c>
      <c r="S659" t="s">
        <v>67</v>
      </c>
    </row>
    <row r="660" spans="1:19" x14ac:dyDescent="0.35">
      <c r="A660" t="s">
        <v>783</v>
      </c>
      <c r="B660" s="5">
        <v>45906</v>
      </c>
      <c r="C660" t="s">
        <v>78</v>
      </c>
      <c r="D660" t="s">
        <v>79</v>
      </c>
      <c r="E660">
        <v>1</v>
      </c>
      <c r="F660" s="6">
        <v>120</v>
      </c>
      <c r="G660" s="7">
        <v>0</v>
      </c>
      <c r="H660" s="6">
        <v>120</v>
      </c>
      <c r="I660">
        <v>0</v>
      </c>
      <c r="J660" s="6">
        <v>0</v>
      </c>
      <c r="K660">
        <v>1</v>
      </c>
      <c r="L660" s="6">
        <v>120</v>
      </c>
      <c r="M660" s="6">
        <v>95</v>
      </c>
      <c r="N660" s="6">
        <v>25</v>
      </c>
      <c r="O660" s="6">
        <v>7.93</v>
      </c>
      <c r="P660" s="6">
        <v>17.07</v>
      </c>
      <c r="Q660" t="s">
        <v>65</v>
      </c>
      <c r="R660" t="s">
        <v>66</v>
      </c>
      <c r="S660" t="s">
        <v>61</v>
      </c>
    </row>
    <row r="661" spans="1:19" x14ac:dyDescent="0.35">
      <c r="A661" t="s">
        <v>784</v>
      </c>
      <c r="B661" s="5">
        <v>45667</v>
      </c>
      <c r="C661" t="s">
        <v>100</v>
      </c>
      <c r="D661" t="s">
        <v>128</v>
      </c>
      <c r="E661">
        <v>5</v>
      </c>
      <c r="F661" s="6">
        <v>310</v>
      </c>
      <c r="G661" s="7">
        <v>0</v>
      </c>
      <c r="H661" s="6">
        <v>1550</v>
      </c>
      <c r="I661">
        <v>0</v>
      </c>
      <c r="J661" s="6">
        <v>0</v>
      </c>
      <c r="K661">
        <v>5</v>
      </c>
      <c r="L661" s="6">
        <v>1550</v>
      </c>
      <c r="M661" s="6">
        <v>1130.9000000000001</v>
      </c>
      <c r="N661" s="6">
        <v>419.1</v>
      </c>
      <c r="O661" s="6">
        <v>84.01</v>
      </c>
      <c r="P661" s="6">
        <v>335.09</v>
      </c>
      <c r="Q661" t="s">
        <v>81</v>
      </c>
      <c r="R661" t="s">
        <v>60</v>
      </c>
      <c r="S661" t="s">
        <v>61</v>
      </c>
    </row>
    <row r="662" spans="1:19" x14ac:dyDescent="0.35">
      <c r="A662" t="s">
        <v>785</v>
      </c>
      <c r="B662" s="5">
        <v>45706</v>
      </c>
      <c r="C662" t="s">
        <v>92</v>
      </c>
      <c r="D662" t="s">
        <v>79</v>
      </c>
      <c r="E662">
        <v>3</v>
      </c>
      <c r="F662" s="6">
        <v>85</v>
      </c>
      <c r="G662" s="7">
        <v>0</v>
      </c>
      <c r="H662" s="6">
        <v>255</v>
      </c>
      <c r="I662">
        <v>0</v>
      </c>
      <c r="J662" s="6">
        <v>0</v>
      </c>
      <c r="K662">
        <v>3</v>
      </c>
      <c r="L662" s="6">
        <v>255</v>
      </c>
      <c r="M662" s="6">
        <v>216.94</v>
      </c>
      <c r="N662" s="6">
        <v>38.06</v>
      </c>
      <c r="O662" s="6">
        <v>28.37</v>
      </c>
      <c r="P662" s="6">
        <v>9.69</v>
      </c>
      <c r="Q662" t="s">
        <v>75</v>
      </c>
      <c r="R662" t="s">
        <v>66</v>
      </c>
      <c r="S662" t="s">
        <v>67</v>
      </c>
    </row>
    <row r="663" spans="1:19" x14ac:dyDescent="0.35">
      <c r="A663" t="s">
        <v>786</v>
      </c>
      <c r="B663" s="5">
        <v>45991</v>
      </c>
      <c r="C663" t="s">
        <v>104</v>
      </c>
      <c r="D663" t="s">
        <v>105</v>
      </c>
      <c r="E663">
        <v>3</v>
      </c>
      <c r="F663" s="6">
        <v>65</v>
      </c>
      <c r="G663" s="7">
        <v>0</v>
      </c>
      <c r="H663" s="6">
        <v>195</v>
      </c>
      <c r="I663">
        <v>0</v>
      </c>
      <c r="J663" s="6">
        <v>0</v>
      </c>
      <c r="K663">
        <v>3</v>
      </c>
      <c r="L663" s="6">
        <v>195</v>
      </c>
      <c r="M663" s="6">
        <v>122.17</v>
      </c>
      <c r="N663" s="6">
        <v>72.83</v>
      </c>
      <c r="O663" s="6">
        <v>9.91</v>
      </c>
      <c r="P663" s="6">
        <v>62.92</v>
      </c>
      <c r="Q663" t="s">
        <v>65</v>
      </c>
      <c r="R663" t="s">
        <v>66</v>
      </c>
      <c r="S663" t="s">
        <v>71</v>
      </c>
    </row>
    <row r="664" spans="1:19" x14ac:dyDescent="0.35">
      <c r="A664" t="s">
        <v>787</v>
      </c>
      <c r="B664" s="5">
        <v>45876</v>
      </c>
      <c r="C664" t="s">
        <v>264</v>
      </c>
      <c r="D664" t="s">
        <v>85</v>
      </c>
      <c r="E664">
        <v>3</v>
      </c>
      <c r="F664" s="6">
        <v>20</v>
      </c>
      <c r="G664" s="7">
        <v>0</v>
      </c>
      <c r="H664" s="6">
        <v>60</v>
      </c>
      <c r="I664">
        <v>0</v>
      </c>
      <c r="J664" s="6">
        <v>0</v>
      </c>
      <c r="K664">
        <v>3</v>
      </c>
      <c r="L664" s="6">
        <v>60</v>
      </c>
      <c r="M664" s="6">
        <v>42.8</v>
      </c>
      <c r="N664" s="6">
        <v>17.2</v>
      </c>
      <c r="O664" s="6">
        <v>7.29</v>
      </c>
      <c r="P664" s="6">
        <v>9.91</v>
      </c>
      <c r="Q664" t="s">
        <v>75</v>
      </c>
      <c r="R664" t="s">
        <v>86</v>
      </c>
      <c r="S664" t="s">
        <v>76</v>
      </c>
    </row>
    <row r="665" spans="1:19" x14ac:dyDescent="0.35">
      <c r="A665" t="s">
        <v>788</v>
      </c>
      <c r="B665" s="5">
        <v>45777</v>
      </c>
      <c r="C665" t="s">
        <v>117</v>
      </c>
      <c r="D665" t="s">
        <v>74</v>
      </c>
      <c r="E665">
        <v>8</v>
      </c>
      <c r="F665" s="6">
        <v>95</v>
      </c>
      <c r="G665" s="7">
        <v>0</v>
      </c>
      <c r="H665" s="6">
        <v>760</v>
      </c>
      <c r="I665">
        <v>0</v>
      </c>
      <c r="J665" s="6">
        <v>0</v>
      </c>
      <c r="K665">
        <v>8</v>
      </c>
      <c r="L665" s="6">
        <v>760</v>
      </c>
      <c r="M665" s="6">
        <v>553.79999999999995</v>
      </c>
      <c r="N665" s="6">
        <v>206.2</v>
      </c>
      <c r="O665" s="6">
        <v>96.3</v>
      </c>
      <c r="P665" s="6">
        <v>109.9</v>
      </c>
      <c r="Q665" t="s">
        <v>75</v>
      </c>
      <c r="R665" t="s">
        <v>82</v>
      </c>
      <c r="S665" t="s">
        <v>76</v>
      </c>
    </row>
    <row r="666" spans="1:19" x14ac:dyDescent="0.35">
      <c r="A666" t="s">
        <v>789</v>
      </c>
      <c r="B666" s="5">
        <v>45884</v>
      </c>
      <c r="C666" t="s">
        <v>109</v>
      </c>
      <c r="D666" t="s">
        <v>85</v>
      </c>
      <c r="E666" t="s">
        <v>790</v>
      </c>
      <c r="F666" s="6">
        <v>180</v>
      </c>
      <c r="G666" s="7">
        <v>5</v>
      </c>
      <c r="H666" s="6">
        <v>1368</v>
      </c>
      <c r="I666">
        <v>0</v>
      </c>
      <c r="J666" s="6">
        <v>0</v>
      </c>
      <c r="K666">
        <v>8</v>
      </c>
      <c r="L666" s="6">
        <v>1368</v>
      </c>
      <c r="M666" s="6">
        <v>1080.94</v>
      </c>
      <c r="N666" s="6">
        <v>287.06</v>
      </c>
      <c r="O666" s="6">
        <v>158.21</v>
      </c>
      <c r="P666" s="6">
        <v>128.85</v>
      </c>
      <c r="Q666" t="s">
        <v>75</v>
      </c>
      <c r="R666" t="s">
        <v>86</v>
      </c>
      <c r="S666" t="s">
        <v>76</v>
      </c>
    </row>
    <row r="667" spans="1:19" x14ac:dyDescent="0.35">
      <c r="A667" t="s">
        <v>791</v>
      </c>
      <c r="B667" s="5">
        <v>45855</v>
      </c>
      <c r="C667" t="s">
        <v>90</v>
      </c>
      <c r="D667" t="s">
        <v>70</v>
      </c>
      <c r="E667">
        <v>3</v>
      </c>
      <c r="F667" s="6">
        <v>38</v>
      </c>
      <c r="G667" s="7">
        <v>0</v>
      </c>
      <c r="H667" s="6">
        <v>114</v>
      </c>
      <c r="I667">
        <v>0</v>
      </c>
      <c r="J667" s="6">
        <v>0</v>
      </c>
      <c r="K667">
        <v>3</v>
      </c>
      <c r="L667" s="6">
        <v>114</v>
      </c>
      <c r="M667" s="6">
        <v>79.34</v>
      </c>
      <c r="N667" s="6">
        <v>34.659999999999997</v>
      </c>
      <c r="O667" s="6">
        <v>8.4700000000000006</v>
      </c>
      <c r="P667" s="6">
        <v>26.19</v>
      </c>
      <c r="Q667" t="s">
        <v>59</v>
      </c>
      <c r="R667" t="s">
        <v>66</v>
      </c>
      <c r="S667" t="s">
        <v>67</v>
      </c>
    </row>
    <row r="668" spans="1:19" x14ac:dyDescent="0.35">
      <c r="A668" t="s">
        <v>792</v>
      </c>
      <c r="B668" s="5">
        <v>45848</v>
      </c>
      <c r="C668" t="s">
        <v>107</v>
      </c>
      <c r="D668" t="s">
        <v>74</v>
      </c>
      <c r="E668">
        <v>6</v>
      </c>
      <c r="F668" s="6">
        <v>125</v>
      </c>
      <c r="G668" s="7">
        <v>0</v>
      </c>
      <c r="H668" s="6">
        <v>750</v>
      </c>
      <c r="I668">
        <v>0</v>
      </c>
      <c r="J668" s="6">
        <v>0</v>
      </c>
      <c r="K668">
        <v>6</v>
      </c>
      <c r="L668" s="6">
        <v>750</v>
      </c>
      <c r="M668" s="6">
        <v>610.91999999999996</v>
      </c>
      <c r="N668" s="6">
        <v>139.08000000000001</v>
      </c>
      <c r="O668" s="6">
        <v>42.98</v>
      </c>
      <c r="P668" s="6">
        <v>96.1</v>
      </c>
      <c r="Q668" t="s">
        <v>81</v>
      </c>
      <c r="R668" t="s">
        <v>82</v>
      </c>
      <c r="S668" t="s">
        <v>76</v>
      </c>
    </row>
    <row r="669" spans="1:19" x14ac:dyDescent="0.35">
      <c r="A669" t="s">
        <v>793</v>
      </c>
      <c r="B669" s="5">
        <v>45982</v>
      </c>
      <c r="C669" t="s">
        <v>104</v>
      </c>
      <c r="D669" t="s">
        <v>105</v>
      </c>
      <c r="E669">
        <v>5</v>
      </c>
      <c r="F669" s="6">
        <v>65</v>
      </c>
      <c r="G669" s="7">
        <v>0</v>
      </c>
      <c r="H669" s="6">
        <v>325</v>
      </c>
      <c r="I669">
        <v>0</v>
      </c>
      <c r="J669" s="6">
        <v>0</v>
      </c>
      <c r="K669">
        <v>5</v>
      </c>
      <c r="L669" s="6">
        <v>325</v>
      </c>
      <c r="M669" s="6">
        <v>243.16</v>
      </c>
      <c r="N669" s="6">
        <v>81.84</v>
      </c>
      <c r="O669" s="6">
        <v>35.72</v>
      </c>
      <c r="P669" s="6">
        <v>46.12</v>
      </c>
      <c r="Q669" t="s">
        <v>59</v>
      </c>
      <c r="R669" t="s">
        <v>82</v>
      </c>
      <c r="S669" t="s">
        <v>67</v>
      </c>
    </row>
    <row r="670" spans="1:19" x14ac:dyDescent="0.35">
      <c r="A670" t="s">
        <v>794</v>
      </c>
      <c r="B670" s="5">
        <v>45861</v>
      </c>
      <c r="C670" t="s">
        <v>56</v>
      </c>
      <c r="D670" t="s">
        <v>153</v>
      </c>
      <c r="E670">
        <v>3</v>
      </c>
      <c r="F670" s="6">
        <v>40</v>
      </c>
      <c r="G670" s="7">
        <v>0</v>
      </c>
      <c r="H670" s="6">
        <v>120</v>
      </c>
      <c r="I670">
        <v>0</v>
      </c>
      <c r="J670" s="6">
        <v>0</v>
      </c>
      <c r="K670">
        <v>3</v>
      </c>
      <c r="L670" s="6">
        <v>120</v>
      </c>
      <c r="M670" s="6">
        <v>79.27</v>
      </c>
      <c r="N670" s="6">
        <v>40.729999999999997</v>
      </c>
      <c r="O670" s="6">
        <v>14.19</v>
      </c>
      <c r="P670" s="6">
        <v>26.54</v>
      </c>
      <c r="Q670" t="s">
        <v>65</v>
      </c>
      <c r="R670" t="s">
        <v>86</v>
      </c>
      <c r="S670" t="s">
        <v>67</v>
      </c>
    </row>
    <row r="671" spans="1:19" x14ac:dyDescent="0.35">
      <c r="A671" t="s">
        <v>795</v>
      </c>
      <c r="B671" s="5">
        <v>45867</v>
      </c>
      <c r="C671" t="s">
        <v>97</v>
      </c>
      <c r="D671" t="s">
        <v>57</v>
      </c>
      <c r="E671">
        <v>2</v>
      </c>
      <c r="F671" s="6">
        <v>55</v>
      </c>
      <c r="G671" s="7">
        <v>0</v>
      </c>
      <c r="H671" s="6">
        <v>110</v>
      </c>
      <c r="I671">
        <v>0</v>
      </c>
      <c r="J671" s="6">
        <v>0</v>
      </c>
      <c r="K671">
        <v>2</v>
      </c>
      <c r="L671" s="6">
        <v>110</v>
      </c>
      <c r="M671" s="6">
        <v>76</v>
      </c>
      <c r="N671" s="6">
        <v>34</v>
      </c>
      <c r="O671" s="6">
        <v>11.38</v>
      </c>
      <c r="P671" s="6">
        <v>22.62</v>
      </c>
      <c r="Q671" t="s">
        <v>75</v>
      </c>
      <c r="R671" t="s">
        <v>82</v>
      </c>
      <c r="S671" t="s">
        <v>61</v>
      </c>
    </row>
    <row r="672" spans="1:19" x14ac:dyDescent="0.35">
      <c r="A672" t="s">
        <v>796</v>
      </c>
      <c r="B672" s="5">
        <v>45845</v>
      </c>
      <c r="C672" t="s">
        <v>264</v>
      </c>
      <c r="D672" t="s">
        <v>85</v>
      </c>
      <c r="E672">
        <v>1</v>
      </c>
      <c r="F672" s="6">
        <v>20</v>
      </c>
      <c r="G672" s="7">
        <v>0</v>
      </c>
      <c r="H672" s="6">
        <v>20</v>
      </c>
      <c r="I672">
        <v>0</v>
      </c>
      <c r="J672" s="6">
        <v>0</v>
      </c>
      <c r="K672">
        <v>1</v>
      </c>
      <c r="L672" s="6">
        <v>20</v>
      </c>
      <c r="M672" s="6">
        <v>14.07</v>
      </c>
      <c r="N672" s="6">
        <v>5.93</v>
      </c>
      <c r="O672" s="6">
        <v>2.25</v>
      </c>
      <c r="P672" s="6">
        <v>3.68</v>
      </c>
      <c r="Q672" t="s">
        <v>75</v>
      </c>
      <c r="R672" t="s">
        <v>60</v>
      </c>
      <c r="S672" t="s">
        <v>71</v>
      </c>
    </row>
    <row r="673" spans="1:19" x14ac:dyDescent="0.35">
      <c r="A673" t="s">
        <v>797</v>
      </c>
      <c r="B673" s="5">
        <v>45972</v>
      </c>
      <c r="C673" t="s">
        <v>92</v>
      </c>
      <c r="D673" t="s">
        <v>79</v>
      </c>
      <c r="E673">
        <v>2</v>
      </c>
      <c r="F673" s="6">
        <v>85</v>
      </c>
      <c r="G673" s="7">
        <v>5</v>
      </c>
      <c r="H673" s="6">
        <v>161.5</v>
      </c>
      <c r="I673">
        <v>0</v>
      </c>
      <c r="J673" s="6">
        <v>0</v>
      </c>
      <c r="K673">
        <v>2</v>
      </c>
      <c r="L673" s="6">
        <v>161.5</v>
      </c>
      <c r="M673" s="6">
        <v>107.4</v>
      </c>
      <c r="N673" s="6">
        <v>54.1</v>
      </c>
      <c r="O673" s="6">
        <v>11.12</v>
      </c>
      <c r="P673" s="6">
        <v>42.98</v>
      </c>
      <c r="Q673" t="s">
        <v>65</v>
      </c>
      <c r="R673" t="s">
        <v>82</v>
      </c>
      <c r="S673" t="s">
        <v>76</v>
      </c>
    </row>
    <row r="674" spans="1:19" x14ac:dyDescent="0.35">
      <c r="A674" t="s">
        <v>798</v>
      </c>
      <c r="B674" s="5">
        <v>45739</v>
      </c>
      <c r="C674" t="s">
        <v>78</v>
      </c>
      <c r="D674" t="s">
        <v>79</v>
      </c>
      <c r="E674">
        <v>5</v>
      </c>
      <c r="F674" s="6">
        <v>120</v>
      </c>
      <c r="G674" s="7">
        <v>0</v>
      </c>
      <c r="H674" s="6">
        <v>600</v>
      </c>
      <c r="I674">
        <v>0</v>
      </c>
      <c r="J674" s="6">
        <v>0</v>
      </c>
      <c r="K674">
        <v>5</v>
      </c>
      <c r="L674" s="6">
        <v>600</v>
      </c>
      <c r="M674" s="6">
        <v>473.8</v>
      </c>
      <c r="N674" s="6">
        <v>126.2</v>
      </c>
      <c r="O674" s="6">
        <v>71.88</v>
      </c>
      <c r="P674" s="6">
        <v>54.32</v>
      </c>
      <c r="Q674" t="s">
        <v>65</v>
      </c>
      <c r="R674" t="s">
        <v>86</v>
      </c>
    </row>
    <row r="675" spans="1:19" x14ac:dyDescent="0.35">
      <c r="A675" t="s">
        <v>799</v>
      </c>
      <c r="B675" s="5">
        <v>45857</v>
      </c>
      <c r="C675" t="s">
        <v>100</v>
      </c>
      <c r="D675" t="s">
        <v>64</v>
      </c>
      <c r="E675">
        <v>2</v>
      </c>
      <c r="F675" s="6">
        <v>310</v>
      </c>
      <c r="G675" s="7">
        <v>0</v>
      </c>
      <c r="H675" s="6">
        <v>620</v>
      </c>
      <c r="I675">
        <v>0</v>
      </c>
      <c r="J675" s="6">
        <v>0</v>
      </c>
      <c r="K675">
        <v>2</v>
      </c>
      <c r="L675" s="6">
        <v>620</v>
      </c>
      <c r="M675" s="6">
        <v>452.54</v>
      </c>
      <c r="N675" s="6">
        <v>167.46</v>
      </c>
      <c r="O675" s="6">
        <v>74.010000000000005</v>
      </c>
      <c r="P675" s="6">
        <v>93.45</v>
      </c>
      <c r="Q675" t="s">
        <v>59</v>
      </c>
      <c r="R675" t="s">
        <v>60</v>
      </c>
      <c r="S675" t="s">
        <v>76</v>
      </c>
    </row>
    <row r="676" spans="1:19" x14ac:dyDescent="0.35">
      <c r="A676" t="s">
        <v>800</v>
      </c>
      <c r="B676" s="5">
        <v>45861</v>
      </c>
      <c r="C676" t="s">
        <v>78</v>
      </c>
      <c r="D676" t="s">
        <v>79</v>
      </c>
      <c r="E676">
        <v>2</v>
      </c>
      <c r="F676" s="6">
        <v>120</v>
      </c>
      <c r="G676" s="7">
        <v>0</v>
      </c>
      <c r="H676" s="6">
        <v>240</v>
      </c>
      <c r="I676">
        <v>0</v>
      </c>
      <c r="J676" s="6">
        <v>0</v>
      </c>
      <c r="K676">
        <v>2</v>
      </c>
      <c r="L676" s="6">
        <v>240</v>
      </c>
      <c r="M676" s="6">
        <v>200.38</v>
      </c>
      <c r="N676" s="6">
        <v>39.619999999999997</v>
      </c>
      <c r="O676" s="6">
        <v>20.51</v>
      </c>
      <c r="P676" s="6">
        <v>19.11</v>
      </c>
      <c r="Q676" t="s">
        <v>81</v>
      </c>
      <c r="R676" t="s">
        <v>60</v>
      </c>
      <c r="S676" t="s">
        <v>71</v>
      </c>
    </row>
    <row r="677" spans="1:19" x14ac:dyDescent="0.35">
      <c r="A677" t="s">
        <v>801</v>
      </c>
      <c r="B677" s="5">
        <v>45842</v>
      </c>
      <c r="C677" t="s">
        <v>117</v>
      </c>
      <c r="D677" t="s">
        <v>74</v>
      </c>
      <c r="E677">
        <v>4</v>
      </c>
      <c r="F677" s="6">
        <v>95</v>
      </c>
      <c r="G677" s="7">
        <v>0</v>
      </c>
      <c r="H677" s="6">
        <v>380</v>
      </c>
      <c r="I677">
        <v>0</v>
      </c>
      <c r="J677" s="6">
        <v>0</v>
      </c>
      <c r="K677">
        <v>4</v>
      </c>
      <c r="L677" s="6">
        <v>380</v>
      </c>
      <c r="M677" s="6">
        <v>240.1</v>
      </c>
      <c r="N677" s="6">
        <v>139.9</v>
      </c>
      <c r="O677" s="6">
        <v>29.75</v>
      </c>
      <c r="P677" s="6">
        <v>110.15</v>
      </c>
      <c r="Q677" t="s">
        <v>59</v>
      </c>
      <c r="R677" t="s">
        <v>86</v>
      </c>
      <c r="S677" t="s">
        <v>71</v>
      </c>
    </row>
    <row r="678" spans="1:19" x14ac:dyDescent="0.35">
      <c r="A678" t="s">
        <v>802</v>
      </c>
      <c r="B678" s="5">
        <v>45765</v>
      </c>
      <c r="C678" t="s">
        <v>125</v>
      </c>
      <c r="D678" t="s">
        <v>85</v>
      </c>
      <c r="E678">
        <v>4</v>
      </c>
      <c r="F678" s="6">
        <v>125</v>
      </c>
      <c r="G678" s="7">
        <v>0</v>
      </c>
      <c r="H678" s="6">
        <v>500</v>
      </c>
      <c r="I678">
        <v>0</v>
      </c>
      <c r="J678" s="6">
        <v>0</v>
      </c>
      <c r="K678">
        <v>4</v>
      </c>
      <c r="L678" s="6">
        <v>500</v>
      </c>
      <c r="M678" s="6">
        <v>401.66</v>
      </c>
      <c r="N678" s="6">
        <v>98.34</v>
      </c>
      <c r="O678" s="6">
        <v>56.17</v>
      </c>
      <c r="P678" s="6">
        <v>42.17</v>
      </c>
      <c r="Q678" t="s">
        <v>81</v>
      </c>
      <c r="R678" t="s">
        <v>66</v>
      </c>
      <c r="S678" t="s">
        <v>61</v>
      </c>
    </row>
    <row r="679" spans="1:19" x14ac:dyDescent="0.35">
      <c r="A679" t="s">
        <v>803</v>
      </c>
      <c r="B679" s="5">
        <v>45855</v>
      </c>
      <c r="C679" t="s">
        <v>56</v>
      </c>
      <c r="D679" t="s">
        <v>57</v>
      </c>
      <c r="E679">
        <v>4</v>
      </c>
      <c r="F679" s="6">
        <v>40</v>
      </c>
      <c r="G679" s="7">
        <v>5</v>
      </c>
      <c r="H679" s="6">
        <v>152</v>
      </c>
      <c r="I679">
        <v>0</v>
      </c>
      <c r="J679" s="6">
        <v>0</v>
      </c>
      <c r="K679">
        <v>4</v>
      </c>
      <c r="L679" s="6">
        <v>152</v>
      </c>
      <c r="M679" s="6">
        <v>116.4</v>
      </c>
      <c r="N679" s="6">
        <v>35.6</v>
      </c>
      <c r="O679" s="6">
        <v>15.83</v>
      </c>
      <c r="P679" s="6">
        <v>19.77</v>
      </c>
      <c r="Q679" t="s">
        <v>81</v>
      </c>
      <c r="R679" t="s">
        <v>82</v>
      </c>
      <c r="S679" t="s">
        <v>67</v>
      </c>
    </row>
    <row r="680" spans="1:19" x14ac:dyDescent="0.35">
      <c r="A680" t="s">
        <v>804</v>
      </c>
      <c r="B680" s="5">
        <v>45660</v>
      </c>
      <c r="C680" t="s">
        <v>92</v>
      </c>
      <c r="D680" t="s">
        <v>79</v>
      </c>
      <c r="E680">
        <v>1</v>
      </c>
      <c r="F680" s="6">
        <v>85</v>
      </c>
      <c r="G680" s="7">
        <v>5</v>
      </c>
      <c r="H680" s="6">
        <v>80.75</v>
      </c>
      <c r="I680">
        <v>0</v>
      </c>
      <c r="J680" s="6">
        <v>0</v>
      </c>
      <c r="K680">
        <v>1</v>
      </c>
      <c r="L680" s="6">
        <v>80.75</v>
      </c>
      <c r="M680" s="6">
        <v>50.65</v>
      </c>
      <c r="N680" s="6">
        <v>30.1</v>
      </c>
      <c r="O680" s="6">
        <v>7.01</v>
      </c>
      <c r="P680" s="6">
        <v>23.09</v>
      </c>
      <c r="Q680" t="s">
        <v>81</v>
      </c>
      <c r="R680" t="s">
        <v>82</v>
      </c>
      <c r="S680" t="s">
        <v>71</v>
      </c>
    </row>
    <row r="681" spans="1:19" x14ac:dyDescent="0.35">
      <c r="A681" t="s">
        <v>805</v>
      </c>
      <c r="B681" s="5">
        <v>45661</v>
      </c>
      <c r="C681" t="s">
        <v>92</v>
      </c>
      <c r="D681" t="s">
        <v>79</v>
      </c>
      <c r="E681">
        <v>1</v>
      </c>
      <c r="F681" s="6">
        <v>85</v>
      </c>
      <c r="G681" s="7">
        <v>0</v>
      </c>
      <c r="H681" s="6">
        <v>85</v>
      </c>
      <c r="I681">
        <v>0</v>
      </c>
      <c r="J681" s="6">
        <v>0</v>
      </c>
      <c r="K681">
        <v>1</v>
      </c>
      <c r="L681" s="6">
        <v>85</v>
      </c>
      <c r="M681" s="6">
        <v>59.8</v>
      </c>
      <c r="N681" s="6">
        <v>25.2</v>
      </c>
      <c r="O681" s="6">
        <v>7.95</v>
      </c>
      <c r="P681" s="6">
        <v>17.25</v>
      </c>
      <c r="Q681" t="s">
        <v>81</v>
      </c>
      <c r="R681" t="s">
        <v>60</v>
      </c>
      <c r="S681" t="s">
        <v>61</v>
      </c>
    </row>
    <row r="682" spans="1:19" x14ac:dyDescent="0.35">
      <c r="A682" t="s">
        <v>806</v>
      </c>
      <c r="B682" s="5">
        <v>45681</v>
      </c>
      <c r="C682" t="s">
        <v>107</v>
      </c>
      <c r="D682" t="s">
        <v>74</v>
      </c>
      <c r="E682">
        <v>2</v>
      </c>
      <c r="F682" s="6">
        <v>125</v>
      </c>
      <c r="G682" s="7">
        <v>5</v>
      </c>
      <c r="H682" s="6">
        <v>237.5</v>
      </c>
      <c r="I682">
        <v>1</v>
      </c>
      <c r="J682" s="6">
        <v>118.75</v>
      </c>
      <c r="K682">
        <v>1</v>
      </c>
      <c r="L682" s="6">
        <v>118.75</v>
      </c>
      <c r="M682" s="6">
        <v>94.22</v>
      </c>
      <c r="N682" s="6">
        <v>24.53</v>
      </c>
      <c r="O682" s="6">
        <v>9.42</v>
      </c>
      <c r="P682" s="6">
        <v>15.11</v>
      </c>
      <c r="Q682" t="s">
        <v>81</v>
      </c>
      <c r="R682" t="s">
        <v>86</v>
      </c>
      <c r="S682" t="s">
        <v>61</v>
      </c>
    </row>
    <row r="683" spans="1:19" x14ac:dyDescent="0.35">
      <c r="A683" t="s">
        <v>807</v>
      </c>
      <c r="B683" s="5">
        <v>45765</v>
      </c>
      <c r="C683" t="s">
        <v>95</v>
      </c>
      <c r="D683" t="s">
        <v>64</v>
      </c>
      <c r="E683" t="s">
        <v>58</v>
      </c>
      <c r="F683" s="6">
        <v>52</v>
      </c>
      <c r="G683" s="7">
        <v>0</v>
      </c>
      <c r="H683" s="6">
        <v>260</v>
      </c>
      <c r="I683">
        <v>0</v>
      </c>
      <c r="J683" s="6">
        <v>0</v>
      </c>
      <c r="K683">
        <v>5</v>
      </c>
      <c r="L683" s="6">
        <v>260</v>
      </c>
      <c r="M683" s="6">
        <v>165.45</v>
      </c>
      <c r="N683" s="6">
        <v>94.55</v>
      </c>
      <c r="O683" s="6">
        <v>18.55</v>
      </c>
      <c r="P683" s="6">
        <v>76</v>
      </c>
      <c r="Q683" t="s">
        <v>75</v>
      </c>
      <c r="R683" t="s">
        <v>147</v>
      </c>
      <c r="S683" t="s">
        <v>67</v>
      </c>
    </row>
    <row r="684" spans="1:19" x14ac:dyDescent="0.35">
      <c r="A684" t="s">
        <v>808</v>
      </c>
      <c r="B684" s="5">
        <v>45994</v>
      </c>
      <c r="C684" t="s">
        <v>63</v>
      </c>
      <c r="D684" t="s">
        <v>64</v>
      </c>
      <c r="E684">
        <v>4</v>
      </c>
      <c r="F684" s="6">
        <v>145</v>
      </c>
      <c r="G684" s="7">
        <v>0</v>
      </c>
      <c r="H684" s="6">
        <v>580</v>
      </c>
      <c r="I684">
        <v>0</v>
      </c>
      <c r="J684" s="6">
        <v>0</v>
      </c>
      <c r="K684">
        <v>4</v>
      </c>
      <c r="L684" s="6">
        <v>580</v>
      </c>
      <c r="M684" s="6">
        <v>449.31</v>
      </c>
      <c r="N684" s="6">
        <v>130.69</v>
      </c>
      <c r="O684" s="6">
        <v>39.78</v>
      </c>
      <c r="P684" s="6">
        <v>90.91</v>
      </c>
      <c r="Q684" t="s">
        <v>75</v>
      </c>
      <c r="R684" t="s">
        <v>82</v>
      </c>
      <c r="S684" t="s">
        <v>67</v>
      </c>
    </row>
    <row r="685" spans="1:19" x14ac:dyDescent="0.35">
      <c r="A685" t="s">
        <v>809</v>
      </c>
      <c r="B685" s="5">
        <v>45980</v>
      </c>
      <c r="C685" t="s">
        <v>90</v>
      </c>
      <c r="D685" t="s">
        <v>70</v>
      </c>
      <c r="E685">
        <v>2</v>
      </c>
      <c r="F685" s="6">
        <v>38</v>
      </c>
      <c r="G685" s="7">
        <v>0</v>
      </c>
      <c r="H685" s="6">
        <v>76</v>
      </c>
      <c r="I685">
        <v>0</v>
      </c>
      <c r="J685" s="6">
        <v>0</v>
      </c>
      <c r="K685">
        <v>2</v>
      </c>
      <c r="L685" s="6">
        <v>76</v>
      </c>
      <c r="M685" s="6">
        <v>59.77</v>
      </c>
      <c r="N685" s="6">
        <v>16.23</v>
      </c>
      <c r="O685" s="6">
        <v>5.65</v>
      </c>
      <c r="P685" s="6">
        <v>10.58</v>
      </c>
      <c r="Q685" t="s">
        <v>59</v>
      </c>
      <c r="R685" t="s">
        <v>86</v>
      </c>
      <c r="S685" t="s">
        <v>71</v>
      </c>
    </row>
    <row r="686" spans="1:19" x14ac:dyDescent="0.35">
      <c r="A686" t="s">
        <v>810</v>
      </c>
      <c r="B686" s="5">
        <v>45925</v>
      </c>
      <c r="C686" t="s">
        <v>69</v>
      </c>
      <c r="D686" t="s">
        <v>70</v>
      </c>
      <c r="E686">
        <v>4</v>
      </c>
      <c r="F686" s="6">
        <v>210</v>
      </c>
      <c r="G686" s="7">
        <v>2</v>
      </c>
      <c r="H686" s="6">
        <v>823.2</v>
      </c>
      <c r="I686">
        <v>0</v>
      </c>
      <c r="J686" s="6">
        <v>0</v>
      </c>
      <c r="K686">
        <v>4</v>
      </c>
      <c r="L686" s="6">
        <v>823.2</v>
      </c>
      <c r="M686" s="6">
        <v>705.46</v>
      </c>
      <c r="N686" s="6">
        <v>117.74</v>
      </c>
      <c r="O686" s="6">
        <v>84.78</v>
      </c>
      <c r="P686" s="6">
        <v>32.96</v>
      </c>
      <c r="Q686" t="s">
        <v>75</v>
      </c>
      <c r="R686" t="s">
        <v>86</v>
      </c>
      <c r="S686" t="s">
        <v>71</v>
      </c>
    </row>
    <row r="687" spans="1:19" x14ac:dyDescent="0.35">
      <c r="A687" t="s">
        <v>811</v>
      </c>
      <c r="B687" s="5">
        <v>45668</v>
      </c>
      <c r="C687" t="s">
        <v>114</v>
      </c>
      <c r="D687" t="s">
        <v>64</v>
      </c>
      <c r="E687">
        <v>2</v>
      </c>
      <c r="F687" s="6">
        <v>420</v>
      </c>
      <c r="G687" s="7">
        <v>0</v>
      </c>
      <c r="H687" s="6">
        <v>840</v>
      </c>
      <c r="I687">
        <v>2</v>
      </c>
      <c r="J687" s="6">
        <v>840</v>
      </c>
      <c r="K687">
        <v>0</v>
      </c>
      <c r="L687" s="6">
        <v>0</v>
      </c>
      <c r="M687" s="6">
        <v>0</v>
      </c>
      <c r="N687" s="6">
        <v>0</v>
      </c>
      <c r="O687" s="6">
        <v>0</v>
      </c>
      <c r="P687" s="6">
        <v>0</v>
      </c>
      <c r="Q687" t="s">
        <v>81</v>
      </c>
      <c r="R687" t="s">
        <v>60</v>
      </c>
      <c r="S687" t="s">
        <v>67</v>
      </c>
    </row>
    <row r="688" spans="1:19" x14ac:dyDescent="0.35">
      <c r="A688" t="s">
        <v>812</v>
      </c>
      <c r="B688" s="5">
        <v>45723</v>
      </c>
      <c r="C688" t="s">
        <v>350</v>
      </c>
      <c r="D688" t="s">
        <v>85</v>
      </c>
      <c r="E688">
        <v>4</v>
      </c>
      <c r="F688" s="6">
        <v>48</v>
      </c>
      <c r="G688" s="7">
        <v>0</v>
      </c>
      <c r="H688" s="6">
        <v>192</v>
      </c>
      <c r="I688">
        <v>0</v>
      </c>
      <c r="J688" s="6">
        <v>0</v>
      </c>
      <c r="K688">
        <v>4</v>
      </c>
      <c r="L688" s="6">
        <v>192</v>
      </c>
      <c r="M688" s="6">
        <v>121.4</v>
      </c>
      <c r="N688" s="6">
        <v>70.599999999999994</v>
      </c>
      <c r="O688" s="6">
        <v>17.16</v>
      </c>
      <c r="P688" s="6">
        <v>53.44</v>
      </c>
      <c r="Q688" t="s">
        <v>81</v>
      </c>
      <c r="R688" t="s">
        <v>66</v>
      </c>
      <c r="S688" t="s">
        <v>76</v>
      </c>
    </row>
    <row r="689" spans="1:19" x14ac:dyDescent="0.35">
      <c r="A689" t="s">
        <v>813</v>
      </c>
      <c r="B689" s="5">
        <v>45983</v>
      </c>
      <c r="C689" t="s">
        <v>104</v>
      </c>
      <c r="D689" t="s">
        <v>105</v>
      </c>
      <c r="E689">
        <v>2</v>
      </c>
      <c r="F689" s="6">
        <v>65</v>
      </c>
      <c r="G689" s="7">
        <v>0</v>
      </c>
      <c r="H689" s="6">
        <v>130</v>
      </c>
      <c r="I689">
        <v>0</v>
      </c>
      <c r="J689" s="6">
        <v>0</v>
      </c>
      <c r="K689">
        <v>2</v>
      </c>
      <c r="L689" s="6">
        <v>130</v>
      </c>
      <c r="M689" s="6">
        <v>95.08</v>
      </c>
      <c r="N689" s="6">
        <v>34.92</v>
      </c>
      <c r="O689" s="6">
        <v>16.149999999999999</v>
      </c>
      <c r="P689" s="6">
        <v>18.77</v>
      </c>
      <c r="Q689" t="s">
        <v>75</v>
      </c>
      <c r="R689" t="s">
        <v>60</v>
      </c>
      <c r="S689" t="s">
        <v>76</v>
      </c>
    </row>
    <row r="690" spans="1:19" x14ac:dyDescent="0.35">
      <c r="A690" t="s">
        <v>814</v>
      </c>
      <c r="B690" s="5">
        <v>46006</v>
      </c>
      <c r="C690" t="s">
        <v>121</v>
      </c>
      <c r="D690" t="s">
        <v>70</v>
      </c>
      <c r="E690">
        <v>5</v>
      </c>
      <c r="F690" s="6">
        <v>110</v>
      </c>
      <c r="G690" s="7">
        <v>5</v>
      </c>
      <c r="H690" s="6">
        <v>522.5</v>
      </c>
      <c r="I690">
        <v>0</v>
      </c>
      <c r="J690" s="6">
        <v>0</v>
      </c>
      <c r="K690">
        <v>5</v>
      </c>
      <c r="L690" s="6">
        <v>522.5</v>
      </c>
      <c r="M690" s="6">
        <v>420.23</v>
      </c>
      <c r="N690" s="6">
        <v>102.27</v>
      </c>
      <c r="O690" s="6">
        <v>53.04</v>
      </c>
      <c r="P690" s="6">
        <v>49.23</v>
      </c>
      <c r="Q690" t="s">
        <v>65</v>
      </c>
      <c r="R690" t="s">
        <v>66</v>
      </c>
      <c r="S690" t="s">
        <v>67</v>
      </c>
    </row>
    <row r="691" spans="1:19" x14ac:dyDescent="0.35">
      <c r="A691" t="s">
        <v>815</v>
      </c>
      <c r="B691" s="5">
        <v>45950</v>
      </c>
      <c r="C691" t="s">
        <v>104</v>
      </c>
      <c r="D691" t="s">
        <v>105</v>
      </c>
      <c r="E691">
        <v>2</v>
      </c>
      <c r="F691" s="6">
        <v>65</v>
      </c>
      <c r="G691" s="7">
        <v>5</v>
      </c>
      <c r="H691" s="6">
        <v>123.5</v>
      </c>
      <c r="I691">
        <v>0</v>
      </c>
      <c r="J691" s="6">
        <v>0</v>
      </c>
      <c r="K691">
        <v>2</v>
      </c>
      <c r="L691" s="6">
        <v>123.5</v>
      </c>
      <c r="M691" s="6">
        <v>84.03</v>
      </c>
      <c r="N691" s="6">
        <v>39.47</v>
      </c>
      <c r="O691" s="6">
        <v>7.02</v>
      </c>
      <c r="P691" s="6">
        <v>32.450000000000003</v>
      </c>
      <c r="Q691" t="s">
        <v>81</v>
      </c>
      <c r="R691" t="s">
        <v>60</v>
      </c>
      <c r="S691" t="s">
        <v>76</v>
      </c>
    </row>
    <row r="692" spans="1:19" x14ac:dyDescent="0.35">
      <c r="A692" t="s">
        <v>816</v>
      </c>
      <c r="B692" s="5">
        <v>46015</v>
      </c>
      <c r="C692" t="s">
        <v>350</v>
      </c>
      <c r="D692" t="s">
        <v>85</v>
      </c>
      <c r="E692">
        <v>2</v>
      </c>
      <c r="F692" s="6">
        <v>48</v>
      </c>
      <c r="G692" s="7">
        <v>0</v>
      </c>
      <c r="H692" s="6">
        <v>96</v>
      </c>
      <c r="I692">
        <v>0</v>
      </c>
      <c r="J692" s="6">
        <v>0</v>
      </c>
      <c r="K692">
        <v>2</v>
      </c>
      <c r="L692" s="6">
        <v>96</v>
      </c>
      <c r="M692" s="6">
        <v>82.54</v>
      </c>
      <c r="N692" s="6">
        <v>13.46</v>
      </c>
      <c r="O692" s="6">
        <v>5.59</v>
      </c>
      <c r="P692" s="6">
        <v>7.87</v>
      </c>
      <c r="Q692" t="s">
        <v>59</v>
      </c>
      <c r="R692" t="s">
        <v>176</v>
      </c>
      <c r="S692" t="s">
        <v>61</v>
      </c>
    </row>
    <row r="693" spans="1:19" x14ac:dyDescent="0.35">
      <c r="A693" t="s">
        <v>817</v>
      </c>
      <c r="B693" s="5">
        <v>45958</v>
      </c>
      <c r="C693" t="s">
        <v>100</v>
      </c>
      <c r="D693" t="s">
        <v>64</v>
      </c>
      <c r="E693">
        <v>3</v>
      </c>
      <c r="F693" s="6">
        <v>310</v>
      </c>
      <c r="G693" s="7">
        <v>0</v>
      </c>
      <c r="H693" s="6">
        <v>930</v>
      </c>
      <c r="I693">
        <v>0</v>
      </c>
      <c r="J693" s="6">
        <v>0</v>
      </c>
      <c r="K693">
        <v>3</v>
      </c>
      <c r="L693" s="6">
        <v>930</v>
      </c>
      <c r="M693" s="6">
        <v>600.41999999999996</v>
      </c>
      <c r="N693" s="6">
        <v>329.58</v>
      </c>
      <c r="O693" s="6">
        <v>111.08</v>
      </c>
      <c r="P693" s="6">
        <v>218.5</v>
      </c>
      <c r="Q693" t="s">
        <v>65</v>
      </c>
      <c r="R693" t="s">
        <v>86</v>
      </c>
      <c r="S693" t="s">
        <v>67</v>
      </c>
    </row>
    <row r="694" spans="1:19" x14ac:dyDescent="0.35">
      <c r="A694" t="s">
        <v>818</v>
      </c>
      <c r="B694" s="5">
        <v>45883</v>
      </c>
      <c r="C694" t="s">
        <v>90</v>
      </c>
      <c r="D694" t="s">
        <v>70</v>
      </c>
      <c r="E694">
        <v>1</v>
      </c>
      <c r="F694" s="6">
        <v>38</v>
      </c>
      <c r="G694" s="7">
        <v>0</v>
      </c>
      <c r="H694" s="6">
        <v>38</v>
      </c>
      <c r="I694">
        <v>0</v>
      </c>
      <c r="J694" s="6">
        <v>0</v>
      </c>
      <c r="K694">
        <v>1</v>
      </c>
      <c r="L694" s="6">
        <v>38</v>
      </c>
      <c r="M694" s="6">
        <v>24.8</v>
      </c>
      <c r="N694" s="6">
        <v>13.2</v>
      </c>
      <c r="O694" s="6">
        <v>3.07</v>
      </c>
      <c r="P694" s="6">
        <v>10.130000000000001</v>
      </c>
      <c r="Q694" t="s">
        <v>75</v>
      </c>
      <c r="R694" t="s">
        <v>60</v>
      </c>
      <c r="S694" t="s">
        <v>61</v>
      </c>
    </row>
    <row r="695" spans="1:19" x14ac:dyDescent="0.35">
      <c r="A695" t="s">
        <v>819</v>
      </c>
      <c r="B695" s="5">
        <v>45917</v>
      </c>
      <c r="C695" t="s">
        <v>117</v>
      </c>
      <c r="D695" t="s">
        <v>74</v>
      </c>
      <c r="E695">
        <v>1</v>
      </c>
      <c r="F695" s="6">
        <v>95</v>
      </c>
      <c r="G695" s="7">
        <v>5</v>
      </c>
      <c r="H695" s="6">
        <v>90.25</v>
      </c>
      <c r="I695">
        <v>0</v>
      </c>
      <c r="J695" s="6">
        <v>0</v>
      </c>
      <c r="K695">
        <v>1</v>
      </c>
      <c r="L695" s="6">
        <v>90.25</v>
      </c>
      <c r="M695" s="6">
        <v>61.91</v>
      </c>
      <c r="N695" s="6">
        <v>28.34</v>
      </c>
      <c r="O695" s="6">
        <v>6.97</v>
      </c>
      <c r="P695" s="6">
        <v>21.37</v>
      </c>
      <c r="Q695" t="s">
        <v>81</v>
      </c>
      <c r="R695" t="s">
        <v>60</v>
      </c>
      <c r="S695" t="s">
        <v>61</v>
      </c>
    </row>
    <row r="696" spans="1:19" x14ac:dyDescent="0.35">
      <c r="A696" t="s">
        <v>820</v>
      </c>
      <c r="B696" s="5">
        <v>45759</v>
      </c>
      <c r="C696" t="s">
        <v>104</v>
      </c>
      <c r="D696" t="s">
        <v>105</v>
      </c>
      <c r="E696">
        <v>4</v>
      </c>
      <c r="F696" s="6">
        <v>65</v>
      </c>
      <c r="G696" s="7">
        <v>15</v>
      </c>
      <c r="H696" s="6">
        <v>221</v>
      </c>
      <c r="I696">
        <v>0</v>
      </c>
      <c r="J696" s="6">
        <v>0</v>
      </c>
      <c r="K696">
        <v>4</v>
      </c>
      <c r="L696" s="6">
        <v>221</v>
      </c>
      <c r="M696" s="6">
        <v>141</v>
      </c>
      <c r="N696" s="6">
        <v>80</v>
      </c>
      <c r="O696" s="6">
        <v>18.260000000000002</v>
      </c>
      <c r="P696" s="6">
        <v>61.74</v>
      </c>
      <c r="Q696" t="s">
        <v>81</v>
      </c>
      <c r="R696" t="s">
        <v>82</v>
      </c>
      <c r="S696" t="s">
        <v>76</v>
      </c>
    </row>
    <row r="697" spans="1:19" x14ac:dyDescent="0.35">
      <c r="A697" t="s">
        <v>821</v>
      </c>
      <c r="B697" s="5">
        <v>45760</v>
      </c>
      <c r="C697" t="s">
        <v>63</v>
      </c>
      <c r="D697" t="s">
        <v>128</v>
      </c>
      <c r="E697">
        <v>5</v>
      </c>
      <c r="F697" s="6">
        <v>145</v>
      </c>
      <c r="G697" s="7">
        <v>2</v>
      </c>
      <c r="H697" s="6">
        <v>710.5</v>
      </c>
      <c r="I697">
        <v>0</v>
      </c>
      <c r="J697" s="6">
        <v>0</v>
      </c>
      <c r="K697">
        <v>5</v>
      </c>
      <c r="L697" s="6">
        <v>710.5</v>
      </c>
      <c r="M697" s="6">
        <v>550.89</v>
      </c>
      <c r="N697" s="6">
        <v>159.61000000000001</v>
      </c>
      <c r="O697" s="6">
        <v>72.48</v>
      </c>
      <c r="P697" s="6">
        <v>87.13</v>
      </c>
      <c r="Q697" t="s">
        <v>75</v>
      </c>
      <c r="R697" t="s">
        <v>66</v>
      </c>
      <c r="S697" t="s">
        <v>76</v>
      </c>
    </row>
    <row r="698" spans="1:19" x14ac:dyDescent="0.35">
      <c r="A698" t="s">
        <v>822</v>
      </c>
      <c r="B698" s="5">
        <v>45726</v>
      </c>
      <c r="C698" t="s">
        <v>109</v>
      </c>
      <c r="D698" t="s">
        <v>85</v>
      </c>
      <c r="E698">
        <v>3</v>
      </c>
      <c r="F698" s="6">
        <v>180</v>
      </c>
      <c r="G698" s="7">
        <v>0</v>
      </c>
      <c r="H698" s="6">
        <v>540</v>
      </c>
      <c r="I698">
        <v>0</v>
      </c>
      <c r="J698" s="6">
        <v>0</v>
      </c>
      <c r="K698">
        <v>3</v>
      </c>
      <c r="L698" s="6">
        <v>540</v>
      </c>
      <c r="M698" s="6">
        <v>347.37</v>
      </c>
      <c r="N698" s="6">
        <v>192.63</v>
      </c>
      <c r="O698" s="6">
        <v>52.6</v>
      </c>
      <c r="P698" s="6">
        <v>140.03</v>
      </c>
      <c r="Q698" t="s">
        <v>75</v>
      </c>
      <c r="R698" t="s">
        <v>82</v>
      </c>
      <c r="S698" t="s">
        <v>71</v>
      </c>
    </row>
    <row r="699" spans="1:19" x14ac:dyDescent="0.35">
      <c r="A699" t="s">
        <v>823</v>
      </c>
      <c r="B699" s="5">
        <v>45983</v>
      </c>
      <c r="C699" t="s">
        <v>109</v>
      </c>
      <c r="D699" t="s">
        <v>85</v>
      </c>
      <c r="E699">
        <v>8</v>
      </c>
      <c r="F699" s="6">
        <v>180</v>
      </c>
      <c r="G699" s="7">
        <v>2</v>
      </c>
      <c r="H699" s="6">
        <v>1411.2</v>
      </c>
      <c r="I699">
        <v>0</v>
      </c>
      <c r="J699" s="6">
        <v>0</v>
      </c>
      <c r="K699">
        <v>8</v>
      </c>
      <c r="L699" s="6">
        <v>1411.2</v>
      </c>
      <c r="M699" s="6">
        <v>980.5</v>
      </c>
      <c r="N699" s="6">
        <v>430.7</v>
      </c>
      <c r="O699" s="6">
        <v>78.02</v>
      </c>
      <c r="P699" s="6">
        <v>352.68</v>
      </c>
      <c r="Q699" t="s">
        <v>65</v>
      </c>
      <c r="R699" t="s">
        <v>66</v>
      </c>
      <c r="S699" t="s">
        <v>76</v>
      </c>
    </row>
    <row r="700" spans="1:19" x14ac:dyDescent="0.35">
      <c r="A700" t="s">
        <v>824</v>
      </c>
      <c r="B700" s="5">
        <v>45683</v>
      </c>
      <c r="C700" t="s">
        <v>84</v>
      </c>
      <c r="D700" t="s">
        <v>85</v>
      </c>
      <c r="E700">
        <v>4</v>
      </c>
      <c r="F700" s="6">
        <v>48</v>
      </c>
      <c r="G700" s="7">
        <v>5</v>
      </c>
      <c r="H700" s="6">
        <v>182.4</v>
      </c>
      <c r="I700">
        <v>0</v>
      </c>
      <c r="J700" s="6">
        <v>0</v>
      </c>
      <c r="K700">
        <v>4</v>
      </c>
      <c r="L700" s="6">
        <v>182.4</v>
      </c>
      <c r="M700" s="6">
        <v>145.9</v>
      </c>
      <c r="N700" s="6">
        <v>36.5</v>
      </c>
      <c r="O700" s="6">
        <v>13.6</v>
      </c>
      <c r="P700" s="6">
        <v>22.9</v>
      </c>
      <c r="Q700" t="s">
        <v>65</v>
      </c>
      <c r="R700" t="s">
        <v>66</v>
      </c>
      <c r="S700" t="s">
        <v>71</v>
      </c>
    </row>
    <row r="701" spans="1:19" x14ac:dyDescent="0.35">
      <c r="A701" t="s">
        <v>825</v>
      </c>
      <c r="B701" s="5">
        <v>45865</v>
      </c>
      <c r="C701" t="s">
        <v>73</v>
      </c>
      <c r="D701" t="s">
        <v>74</v>
      </c>
      <c r="E701">
        <v>4</v>
      </c>
      <c r="F701" s="6">
        <v>280</v>
      </c>
      <c r="G701" s="7">
        <v>0</v>
      </c>
      <c r="H701" s="6">
        <v>1120</v>
      </c>
      <c r="I701">
        <v>0</v>
      </c>
      <c r="J701" s="6">
        <v>0</v>
      </c>
      <c r="K701">
        <v>4</v>
      </c>
      <c r="L701" s="6">
        <v>1120</v>
      </c>
      <c r="M701" s="6">
        <v>855.06</v>
      </c>
      <c r="N701" s="6">
        <v>264.94</v>
      </c>
      <c r="O701" s="6">
        <v>135.82</v>
      </c>
      <c r="P701" s="6">
        <v>129.12</v>
      </c>
      <c r="Q701" t="s">
        <v>59</v>
      </c>
      <c r="R701" t="s">
        <v>60</v>
      </c>
      <c r="S701" t="s">
        <v>67</v>
      </c>
    </row>
    <row r="702" spans="1:19" x14ac:dyDescent="0.35">
      <c r="A702" t="s">
        <v>826</v>
      </c>
      <c r="B702" s="5">
        <v>45921</v>
      </c>
      <c r="C702" t="s">
        <v>100</v>
      </c>
      <c r="D702" t="s">
        <v>64</v>
      </c>
      <c r="E702">
        <v>4</v>
      </c>
      <c r="F702" s="6">
        <v>310</v>
      </c>
      <c r="G702" s="7">
        <v>5</v>
      </c>
      <c r="H702" s="6">
        <v>1178</v>
      </c>
      <c r="I702">
        <v>0</v>
      </c>
      <c r="J702" s="6">
        <v>0</v>
      </c>
      <c r="K702">
        <v>4</v>
      </c>
      <c r="L702" s="6">
        <v>1178</v>
      </c>
      <c r="M702" s="6">
        <v>799.53</v>
      </c>
      <c r="N702" s="6">
        <v>378.47</v>
      </c>
      <c r="O702" s="6">
        <v>137.94999999999999</v>
      </c>
      <c r="P702" s="6">
        <v>240.52</v>
      </c>
      <c r="Q702" t="s">
        <v>75</v>
      </c>
      <c r="R702" t="s">
        <v>66</v>
      </c>
      <c r="S702" t="s">
        <v>76</v>
      </c>
    </row>
    <row r="703" spans="1:19" x14ac:dyDescent="0.35">
      <c r="A703" t="s">
        <v>827</v>
      </c>
      <c r="B703" s="5">
        <v>45715</v>
      </c>
      <c r="C703" t="s">
        <v>293</v>
      </c>
      <c r="D703" t="s">
        <v>85</v>
      </c>
      <c r="E703">
        <v>1</v>
      </c>
      <c r="F703" s="6">
        <v>180</v>
      </c>
      <c r="G703" s="7">
        <v>10</v>
      </c>
      <c r="H703" s="6">
        <v>162</v>
      </c>
      <c r="I703">
        <v>0</v>
      </c>
      <c r="J703" s="6">
        <v>0</v>
      </c>
      <c r="K703">
        <v>1</v>
      </c>
      <c r="L703" s="6">
        <v>162</v>
      </c>
      <c r="M703" s="6">
        <v>132.34</v>
      </c>
      <c r="N703" s="6">
        <v>29.66</v>
      </c>
      <c r="O703" s="6">
        <v>8.73</v>
      </c>
      <c r="P703" s="6">
        <v>20.93</v>
      </c>
      <c r="Q703" t="s">
        <v>81</v>
      </c>
      <c r="R703" t="s">
        <v>60</v>
      </c>
      <c r="S703" t="s">
        <v>71</v>
      </c>
    </row>
    <row r="704" spans="1:19" x14ac:dyDescent="0.35">
      <c r="A704" t="s">
        <v>828</v>
      </c>
      <c r="B704" s="5">
        <v>46022</v>
      </c>
      <c r="C704" t="s">
        <v>117</v>
      </c>
      <c r="D704" t="s">
        <v>74</v>
      </c>
      <c r="E704">
        <v>3</v>
      </c>
      <c r="F704" s="6">
        <v>95</v>
      </c>
      <c r="G704" s="7">
        <v>2</v>
      </c>
      <c r="H704" s="6">
        <v>279.3</v>
      </c>
      <c r="I704">
        <v>0</v>
      </c>
      <c r="J704" s="6">
        <v>0</v>
      </c>
      <c r="K704">
        <v>3</v>
      </c>
      <c r="L704" s="6">
        <v>279.3</v>
      </c>
      <c r="M704" s="6">
        <v>223.65</v>
      </c>
      <c r="N704" s="6">
        <v>55.65</v>
      </c>
      <c r="O704" s="6">
        <v>33.4</v>
      </c>
      <c r="P704" s="6">
        <v>22.25</v>
      </c>
      <c r="Q704" t="s">
        <v>81</v>
      </c>
      <c r="R704" t="s">
        <v>66</v>
      </c>
      <c r="S704" t="s">
        <v>71</v>
      </c>
    </row>
    <row r="705" spans="1:19" x14ac:dyDescent="0.35">
      <c r="A705" t="s">
        <v>829</v>
      </c>
      <c r="B705" s="5">
        <v>45671</v>
      </c>
      <c r="C705" t="s">
        <v>56</v>
      </c>
      <c r="D705" t="s">
        <v>57</v>
      </c>
      <c r="E705">
        <v>3</v>
      </c>
      <c r="F705" s="6">
        <v>40</v>
      </c>
      <c r="G705" s="7">
        <v>5</v>
      </c>
      <c r="H705" s="6">
        <v>114</v>
      </c>
      <c r="I705">
        <v>0</v>
      </c>
      <c r="J705" s="6">
        <v>0</v>
      </c>
      <c r="K705">
        <v>3</v>
      </c>
      <c r="L705" s="6">
        <v>114</v>
      </c>
      <c r="M705" s="6">
        <v>71.16</v>
      </c>
      <c r="N705" s="6">
        <v>42.84</v>
      </c>
      <c r="O705" s="6">
        <v>10.92</v>
      </c>
      <c r="P705" s="6">
        <v>31.92</v>
      </c>
      <c r="Q705" t="s">
        <v>75</v>
      </c>
      <c r="R705" t="s">
        <v>66</v>
      </c>
      <c r="S705" t="s">
        <v>67</v>
      </c>
    </row>
    <row r="706" spans="1:19" x14ac:dyDescent="0.35">
      <c r="A706" t="s">
        <v>830</v>
      </c>
      <c r="B706" s="5">
        <v>45877</v>
      </c>
      <c r="C706" t="s">
        <v>97</v>
      </c>
      <c r="D706" t="s">
        <v>153</v>
      </c>
      <c r="E706">
        <v>2</v>
      </c>
      <c r="F706" s="6">
        <v>55</v>
      </c>
      <c r="G706" s="7">
        <v>15</v>
      </c>
      <c r="H706" s="6">
        <v>93.5</v>
      </c>
      <c r="I706">
        <v>0</v>
      </c>
      <c r="J706" s="6">
        <v>0</v>
      </c>
      <c r="K706">
        <v>2</v>
      </c>
      <c r="L706" s="6">
        <v>93.5</v>
      </c>
      <c r="M706" s="6">
        <v>79.66</v>
      </c>
      <c r="N706" s="6">
        <v>13.84</v>
      </c>
      <c r="O706" s="6">
        <v>6.62</v>
      </c>
      <c r="P706" s="6">
        <v>7.22</v>
      </c>
      <c r="Q706" t="s">
        <v>65</v>
      </c>
      <c r="R706" t="s">
        <v>60</v>
      </c>
      <c r="S706" t="s">
        <v>67</v>
      </c>
    </row>
    <row r="707" spans="1:19" x14ac:dyDescent="0.35">
      <c r="A707" t="s">
        <v>831</v>
      </c>
      <c r="B707" s="5">
        <v>45730</v>
      </c>
      <c r="C707" t="s">
        <v>125</v>
      </c>
      <c r="D707" t="s">
        <v>85</v>
      </c>
      <c r="E707">
        <v>6</v>
      </c>
      <c r="F707" s="6">
        <v>125</v>
      </c>
      <c r="G707" s="7">
        <v>2</v>
      </c>
      <c r="H707" s="6">
        <v>735</v>
      </c>
      <c r="I707">
        <v>0</v>
      </c>
      <c r="J707" s="6">
        <v>0</v>
      </c>
      <c r="K707">
        <v>6</v>
      </c>
      <c r="L707" s="6">
        <v>735</v>
      </c>
      <c r="M707" s="6">
        <v>505.76</v>
      </c>
      <c r="N707" s="6">
        <v>229.24</v>
      </c>
      <c r="O707" s="6">
        <v>54.73</v>
      </c>
      <c r="P707" s="6">
        <v>174.51</v>
      </c>
      <c r="Q707" t="s">
        <v>75</v>
      </c>
      <c r="R707" t="s">
        <v>60</v>
      </c>
      <c r="S707" t="s">
        <v>67</v>
      </c>
    </row>
    <row r="708" spans="1:19" x14ac:dyDescent="0.35">
      <c r="A708" t="s">
        <v>832</v>
      </c>
      <c r="B708" s="5">
        <v>45710</v>
      </c>
      <c r="C708" t="s">
        <v>84</v>
      </c>
      <c r="D708" t="s">
        <v>85</v>
      </c>
      <c r="E708">
        <v>3</v>
      </c>
      <c r="F708" s="6">
        <v>48</v>
      </c>
      <c r="G708" s="7">
        <v>0</v>
      </c>
      <c r="H708" s="6">
        <v>144</v>
      </c>
      <c r="I708">
        <v>0</v>
      </c>
      <c r="J708" s="6">
        <v>0</v>
      </c>
      <c r="K708">
        <v>3</v>
      </c>
      <c r="L708" s="6">
        <v>144</v>
      </c>
      <c r="M708" s="6">
        <v>100.64</v>
      </c>
      <c r="N708" s="6">
        <v>43.36</v>
      </c>
      <c r="O708" s="6">
        <v>10.91</v>
      </c>
      <c r="P708" s="6">
        <v>32.450000000000003</v>
      </c>
      <c r="R708" t="s">
        <v>82</v>
      </c>
      <c r="S708" t="s">
        <v>71</v>
      </c>
    </row>
    <row r="709" spans="1:19" x14ac:dyDescent="0.35">
      <c r="A709" t="s">
        <v>833</v>
      </c>
      <c r="B709" s="5">
        <v>45722</v>
      </c>
      <c r="C709" t="s">
        <v>834</v>
      </c>
      <c r="D709" t="s">
        <v>79</v>
      </c>
      <c r="E709">
        <v>5</v>
      </c>
      <c r="F709" s="6">
        <v>120</v>
      </c>
      <c r="G709" s="7">
        <v>0</v>
      </c>
      <c r="H709" s="6">
        <v>600</v>
      </c>
      <c r="I709">
        <v>0</v>
      </c>
      <c r="J709" s="6">
        <v>0</v>
      </c>
      <c r="K709">
        <v>5</v>
      </c>
      <c r="L709" s="6">
        <v>600</v>
      </c>
      <c r="M709" s="6">
        <v>479.64</v>
      </c>
      <c r="N709" s="6">
        <v>120.36</v>
      </c>
      <c r="O709" s="6">
        <v>43.73</v>
      </c>
      <c r="P709" s="6">
        <v>76.63</v>
      </c>
      <c r="Q709" t="s">
        <v>75</v>
      </c>
      <c r="R709" t="s">
        <v>66</v>
      </c>
      <c r="S709" t="s">
        <v>76</v>
      </c>
    </row>
    <row r="710" spans="1:19" x14ac:dyDescent="0.35">
      <c r="A710" t="s">
        <v>835</v>
      </c>
      <c r="B710" s="5">
        <v>45873</v>
      </c>
      <c r="C710" t="s">
        <v>114</v>
      </c>
      <c r="D710" t="s">
        <v>64</v>
      </c>
      <c r="E710">
        <v>1</v>
      </c>
      <c r="F710" s="6">
        <v>420</v>
      </c>
      <c r="G710" s="7">
        <v>15</v>
      </c>
      <c r="H710" s="6">
        <v>357</v>
      </c>
      <c r="I710">
        <v>0</v>
      </c>
      <c r="J710" s="6">
        <v>0</v>
      </c>
      <c r="K710">
        <v>1</v>
      </c>
      <c r="L710" s="6">
        <v>357</v>
      </c>
      <c r="M710" s="6">
        <v>239.33</v>
      </c>
      <c r="N710" s="6">
        <v>117.67</v>
      </c>
      <c r="O710" s="6">
        <v>39.97</v>
      </c>
      <c r="P710" s="6">
        <v>77.7</v>
      </c>
      <c r="Q710" t="s">
        <v>81</v>
      </c>
      <c r="R710" t="s">
        <v>86</v>
      </c>
      <c r="S710" t="s">
        <v>61</v>
      </c>
    </row>
    <row r="711" spans="1:19" x14ac:dyDescent="0.35">
      <c r="A711" t="s">
        <v>836</v>
      </c>
      <c r="B711" s="5">
        <v>45673</v>
      </c>
      <c r="C711" t="s">
        <v>90</v>
      </c>
      <c r="D711" t="s">
        <v>70</v>
      </c>
      <c r="E711">
        <v>6</v>
      </c>
      <c r="F711" s="6">
        <v>38</v>
      </c>
      <c r="G711" s="7">
        <v>0</v>
      </c>
      <c r="H711" s="6">
        <v>228</v>
      </c>
      <c r="I711">
        <v>0</v>
      </c>
      <c r="J711" s="6">
        <v>0</v>
      </c>
      <c r="K711">
        <v>6</v>
      </c>
      <c r="L711" s="6">
        <v>228</v>
      </c>
      <c r="M711" s="6">
        <v>149.25</v>
      </c>
      <c r="N711" s="6">
        <v>78.75</v>
      </c>
      <c r="O711" s="6">
        <v>20.53</v>
      </c>
      <c r="P711" s="6">
        <v>58.22</v>
      </c>
      <c r="Q711" t="s">
        <v>59</v>
      </c>
      <c r="R711" t="s">
        <v>66</v>
      </c>
      <c r="S711" t="s">
        <v>76</v>
      </c>
    </row>
    <row r="712" spans="1:19" x14ac:dyDescent="0.35">
      <c r="A712" t="s">
        <v>837</v>
      </c>
      <c r="B712" s="5">
        <v>45956</v>
      </c>
      <c r="C712" t="s">
        <v>73</v>
      </c>
      <c r="D712" t="s">
        <v>74</v>
      </c>
      <c r="E712">
        <v>1</v>
      </c>
      <c r="F712" s="6">
        <v>280</v>
      </c>
      <c r="G712" s="7">
        <v>2</v>
      </c>
      <c r="H712" s="6">
        <v>274.39999999999998</v>
      </c>
      <c r="I712">
        <v>0</v>
      </c>
      <c r="J712" s="6">
        <v>0</v>
      </c>
      <c r="K712">
        <v>1</v>
      </c>
      <c r="L712" s="6">
        <v>274.39999999999998</v>
      </c>
      <c r="M712" s="6">
        <v>209.23</v>
      </c>
      <c r="N712" s="6">
        <v>65.17</v>
      </c>
      <c r="O712" s="6">
        <v>20.51</v>
      </c>
      <c r="P712" s="6">
        <v>44.66</v>
      </c>
      <c r="Q712" t="s">
        <v>75</v>
      </c>
      <c r="R712" t="s">
        <v>60</v>
      </c>
      <c r="S712" t="s">
        <v>67</v>
      </c>
    </row>
    <row r="713" spans="1:19" x14ac:dyDescent="0.35">
      <c r="A713" t="s">
        <v>838</v>
      </c>
      <c r="B713" s="5">
        <v>45696</v>
      </c>
      <c r="C713" t="s">
        <v>84</v>
      </c>
      <c r="D713" t="s">
        <v>85</v>
      </c>
      <c r="E713">
        <v>1</v>
      </c>
      <c r="F713" s="6">
        <v>48</v>
      </c>
      <c r="G713" s="7">
        <v>15</v>
      </c>
      <c r="H713" s="6">
        <v>40.799999999999997</v>
      </c>
      <c r="I713">
        <v>0</v>
      </c>
      <c r="J713" s="6">
        <v>0</v>
      </c>
      <c r="K713">
        <v>1</v>
      </c>
      <c r="L713" s="6">
        <v>40.799999999999997</v>
      </c>
      <c r="M713" s="6">
        <v>34.17</v>
      </c>
      <c r="N713" s="6">
        <v>6.63</v>
      </c>
      <c r="O713" s="6">
        <v>4.76</v>
      </c>
      <c r="P713" s="6">
        <v>1.87</v>
      </c>
      <c r="Q713" t="s">
        <v>59</v>
      </c>
      <c r="R713" t="s">
        <v>86</v>
      </c>
      <c r="S713" t="s">
        <v>76</v>
      </c>
    </row>
    <row r="714" spans="1:19" x14ac:dyDescent="0.35">
      <c r="A714" t="s">
        <v>839</v>
      </c>
      <c r="B714" s="5">
        <v>45789</v>
      </c>
      <c r="C714" t="s">
        <v>107</v>
      </c>
      <c r="D714" t="s">
        <v>74</v>
      </c>
      <c r="E714">
        <v>6</v>
      </c>
      <c r="F714" s="6">
        <v>125</v>
      </c>
      <c r="G714" s="7">
        <v>0</v>
      </c>
      <c r="H714" s="6">
        <v>750</v>
      </c>
      <c r="I714">
        <v>0</v>
      </c>
      <c r="J714" s="6">
        <v>0</v>
      </c>
      <c r="K714">
        <v>6</v>
      </c>
      <c r="L714" s="6">
        <v>750</v>
      </c>
      <c r="M714" s="6">
        <v>583.17999999999995</v>
      </c>
      <c r="N714" s="6">
        <v>166.82</v>
      </c>
      <c r="O714" s="6">
        <v>47.62</v>
      </c>
      <c r="P714" s="6">
        <v>119.2</v>
      </c>
      <c r="Q714" t="s">
        <v>65</v>
      </c>
      <c r="R714" t="s">
        <v>82</v>
      </c>
      <c r="S714" t="s">
        <v>67</v>
      </c>
    </row>
    <row r="715" spans="1:19" x14ac:dyDescent="0.35">
      <c r="A715" t="s">
        <v>840</v>
      </c>
      <c r="B715" s="5">
        <v>45693</v>
      </c>
      <c r="C715" t="s">
        <v>63</v>
      </c>
      <c r="D715" t="s">
        <v>64</v>
      </c>
      <c r="E715">
        <v>1</v>
      </c>
      <c r="F715" s="6">
        <v>145</v>
      </c>
      <c r="G715" s="7">
        <v>0</v>
      </c>
      <c r="H715" s="6">
        <v>145</v>
      </c>
      <c r="I715">
        <v>0</v>
      </c>
      <c r="J715" s="6">
        <v>0</v>
      </c>
      <c r="K715">
        <v>1</v>
      </c>
      <c r="L715" s="6">
        <v>145</v>
      </c>
      <c r="M715" s="6">
        <v>106.22</v>
      </c>
      <c r="N715" s="6">
        <v>38.78</v>
      </c>
      <c r="O715" s="6">
        <v>16.739999999999998</v>
      </c>
      <c r="P715" s="6">
        <v>22.04</v>
      </c>
      <c r="Q715" t="s">
        <v>75</v>
      </c>
      <c r="R715" t="s">
        <v>60</v>
      </c>
      <c r="S715" t="s">
        <v>67</v>
      </c>
    </row>
    <row r="716" spans="1:19" x14ac:dyDescent="0.35">
      <c r="A716" t="s">
        <v>841</v>
      </c>
      <c r="B716" s="5">
        <v>46014</v>
      </c>
      <c r="C716" t="s">
        <v>117</v>
      </c>
      <c r="D716" t="s">
        <v>74</v>
      </c>
      <c r="E716">
        <v>2</v>
      </c>
      <c r="F716" s="6">
        <v>95</v>
      </c>
      <c r="G716" s="7">
        <v>5</v>
      </c>
      <c r="H716" s="6">
        <v>180.5</v>
      </c>
      <c r="I716">
        <v>0</v>
      </c>
      <c r="J716" s="6">
        <v>0</v>
      </c>
      <c r="K716">
        <v>2</v>
      </c>
      <c r="L716" s="6">
        <v>180.5</v>
      </c>
      <c r="M716" s="6">
        <v>118.03</v>
      </c>
      <c r="N716" s="6">
        <v>62.47</v>
      </c>
      <c r="O716" s="6">
        <v>18.32</v>
      </c>
      <c r="P716" s="6">
        <v>44.15</v>
      </c>
      <c r="Q716" t="s">
        <v>75</v>
      </c>
      <c r="R716" t="s">
        <v>86</v>
      </c>
      <c r="S716" t="s">
        <v>61</v>
      </c>
    </row>
    <row r="717" spans="1:19" x14ac:dyDescent="0.35">
      <c r="A717" t="s">
        <v>842</v>
      </c>
      <c r="B717" s="5">
        <v>45678</v>
      </c>
      <c r="C717" t="s">
        <v>63</v>
      </c>
      <c r="D717" t="s">
        <v>64</v>
      </c>
      <c r="E717">
        <v>8</v>
      </c>
      <c r="F717" s="6">
        <v>145</v>
      </c>
      <c r="G717" s="7">
        <v>5</v>
      </c>
      <c r="H717" s="6">
        <v>1102</v>
      </c>
      <c r="I717">
        <v>0</v>
      </c>
      <c r="J717" s="6">
        <v>0</v>
      </c>
      <c r="K717">
        <v>8</v>
      </c>
      <c r="L717" s="6">
        <v>1102</v>
      </c>
      <c r="M717" s="6">
        <v>776.88</v>
      </c>
      <c r="N717" s="6">
        <v>325.12</v>
      </c>
      <c r="O717" s="6">
        <v>102.47</v>
      </c>
      <c r="P717" s="6">
        <v>222.65</v>
      </c>
      <c r="Q717" t="s">
        <v>65</v>
      </c>
      <c r="R717" t="s">
        <v>86</v>
      </c>
      <c r="S717" t="s">
        <v>61</v>
      </c>
    </row>
    <row r="718" spans="1:19" x14ac:dyDescent="0.35">
      <c r="A718" t="s">
        <v>843</v>
      </c>
      <c r="B718" s="5">
        <v>45900</v>
      </c>
      <c r="C718" t="s">
        <v>56</v>
      </c>
      <c r="D718" t="s">
        <v>57</v>
      </c>
      <c r="E718">
        <v>1</v>
      </c>
      <c r="F718" s="6">
        <v>40</v>
      </c>
      <c r="G718" s="7">
        <v>0</v>
      </c>
      <c r="H718" s="6">
        <v>40</v>
      </c>
      <c r="I718">
        <v>0</v>
      </c>
      <c r="J718" s="6">
        <v>0</v>
      </c>
      <c r="K718">
        <v>1</v>
      </c>
      <c r="L718" s="6">
        <v>40</v>
      </c>
      <c r="M718" s="6">
        <v>26.45</v>
      </c>
      <c r="N718" s="6">
        <v>13.55</v>
      </c>
      <c r="O718" s="6">
        <v>3.63</v>
      </c>
      <c r="P718" s="6">
        <v>9.92</v>
      </c>
      <c r="Q718" t="s">
        <v>75</v>
      </c>
      <c r="R718" t="s">
        <v>199</v>
      </c>
      <c r="S718" t="s">
        <v>71</v>
      </c>
    </row>
    <row r="719" spans="1:19" x14ac:dyDescent="0.35">
      <c r="A719" t="s">
        <v>844</v>
      </c>
      <c r="B719" s="5">
        <v>46016</v>
      </c>
      <c r="C719" t="s">
        <v>107</v>
      </c>
      <c r="D719" t="s">
        <v>74</v>
      </c>
      <c r="E719">
        <v>1</v>
      </c>
      <c r="F719" s="6">
        <v>125</v>
      </c>
      <c r="G719" s="7">
        <v>2</v>
      </c>
      <c r="H719" s="6">
        <v>122.5</v>
      </c>
      <c r="I719">
        <v>0</v>
      </c>
      <c r="J719" s="6">
        <v>0</v>
      </c>
      <c r="K719">
        <v>1</v>
      </c>
      <c r="L719" s="6">
        <v>122.5</v>
      </c>
      <c r="M719" s="6">
        <v>95.77</v>
      </c>
      <c r="N719" s="6">
        <v>26.73</v>
      </c>
      <c r="O719" s="6">
        <v>15.78</v>
      </c>
      <c r="P719" s="6">
        <v>10.95</v>
      </c>
      <c r="Q719" t="s">
        <v>81</v>
      </c>
      <c r="R719" t="s">
        <v>60</v>
      </c>
      <c r="S719" t="s">
        <v>76</v>
      </c>
    </row>
    <row r="720" spans="1:19" x14ac:dyDescent="0.35">
      <c r="A720" t="s">
        <v>845</v>
      </c>
      <c r="B720" s="5">
        <v>45686</v>
      </c>
      <c r="C720" t="s">
        <v>104</v>
      </c>
      <c r="D720" t="s">
        <v>105</v>
      </c>
      <c r="E720">
        <v>2</v>
      </c>
      <c r="F720" s="6">
        <v>65</v>
      </c>
      <c r="G720" s="7">
        <v>0</v>
      </c>
      <c r="H720" s="6">
        <v>130</v>
      </c>
      <c r="I720">
        <v>0</v>
      </c>
      <c r="J720" s="6">
        <v>0</v>
      </c>
      <c r="K720">
        <v>2</v>
      </c>
      <c r="L720" s="6">
        <v>130</v>
      </c>
      <c r="M720" s="6">
        <v>107.34</v>
      </c>
      <c r="N720" s="6">
        <v>22.66</v>
      </c>
      <c r="O720" s="6">
        <v>11.16</v>
      </c>
      <c r="P720" s="6">
        <v>11.5</v>
      </c>
      <c r="Q720" t="s">
        <v>59</v>
      </c>
      <c r="R720" t="s">
        <v>82</v>
      </c>
      <c r="S720" t="s">
        <v>76</v>
      </c>
    </row>
    <row r="721" spans="1:19" x14ac:dyDescent="0.35">
      <c r="A721" t="s">
        <v>846</v>
      </c>
      <c r="B721" s="5">
        <v>45958</v>
      </c>
      <c r="C721" t="s">
        <v>69</v>
      </c>
      <c r="D721" t="s">
        <v>683</v>
      </c>
      <c r="E721">
        <v>2</v>
      </c>
      <c r="F721" s="6">
        <v>210</v>
      </c>
      <c r="G721" s="7">
        <v>5</v>
      </c>
      <c r="H721" s="6">
        <v>399</v>
      </c>
      <c r="I721">
        <v>0</v>
      </c>
      <c r="J721" s="6">
        <v>0</v>
      </c>
      <c r="K721">
        <v>2</v>
      </c>
      <c r="L721" s="6">
        <v>399</v>
      </c>
      <c r="M721" s="6">
        <v>337.03</v>
      </c>
      <c r="N721" s="6">
        <v>61.97</v>
      </c>
      <c r="O721" s="6">
        <v>25.53</v>
      </c>
      <c r="P721" s="6">
        <v>36.44</v>
      </c>
      <c r="Q721" t="s">
        <v>81</v>
      </c>
      <c r="R721" t="s">
        <v>66</v>
      </c>
      <c r="S721" t="s">
        <v>67</v>
      </c>
    </row>
    <row r="722" spans="1:19" x14ac:dyDescent="0.35">
      <c r="A722" t="s">
        <v>847</v>
      </c>
      <c r="B722" s="5">
        <v>45800</v>
      </c>
      <c r="C722" t="s">
        <v>114</v>
      </c>
      <c r="D722" t="s">
        <v>64</v>
      </c>
      <c r="E722">
        <v>3</v>
      </c>
      <c r="F722" s="6">
        <v>420</v>
      </c>
      <c r="G722" s="7">
        <v>10</v>
      </c>
      <c r="H722" s="6">
        <v>1134</v>
      </c>
      <c r="I722">
        <v>3</v>
      </c>
      <c r="J722" s="6">
        <v>1134</v>
      </c>
      <c r="K722">
        <v>0</v>
      </c>
      <c r="L722" s="6">
        <v>0</v>
      </c>
      <c r="M722" s="6">
        <v>0</v>
      </c>
      <c r="N722" s="6">
        <v>0</v>
      </c>
      <c r="O722" s="6">
        <v>0</v>
      </c>
      <c r="P722" s="6">
        <v>0</v>
      </c>
      <c r="Q722" t="s">
        <v>81</v>
      </c>
      <c r="R722" t="s">
        <v>86</v>
      </c>
      <c r="S722" t="s">
        <v>71</v>
      </c>
    </row>
    <row r="723" spans="1:19" x14ac:dyDescent="0.35">
      <c r="A723" t="s">
        <v>848</v>
      </c>
      <c r="B723" s="5">
        <v>45927</v>
      </c>
      <c r="C723" t="s">
        <v>73</v>
      </c>
      <c r="D723" t="s">
        <v>74</v>
      </c>
      <c r="E723">
        <v>2</v>
      </c>
      <c r="F723" s="6">
        <v>280</v>
      </c>
      <c r="G723" s="7">
        <v>2</v>
      </c>
      <c r="H723" s="6">
        <v>548.79999999999995</v>
      </c>
      <c r="I723">
        <v>0</v>
      </c>
      <c r="J723" s="6">
        <v>0</v>
      </c>
      <c r="K723">
        <v>2</v>
      </c>
      <c r="L723" s="6">
        <v>548.79999999999995</v>
      </c>
      <c r="M723" s="6">
        <v>359.5</v>
      </c>
      <c r="N723" s="6">
        <v>189.3</v>
      </c>
      <c r="O723" s="6">
        <v>37.76</v>
      </c>
      <c r="P723" s="6">
        <v>151.54</v>
      </c>
      <c r="Q723" t="s">
        <v>59</v>
      </c>
      <c r="R723" t="s">
        <v>60</v>
      </c>
      <c r="S723" t="s">
        <v>71</v>
      </c>
    </row>
    <row r="724" spans="1:19" x14ac:dyDescent="0.35">
      <c r="A724" t="s">
        <v>849</v>
      </c>
      <c r="B724" s="5">
        <v>45970</v>
      </c>
      <c r="C724" t="s">
        <v>84</v>
      </c>
      <c r="D724" t="s">
        <v>85</v>
      </c>
      <c r="E724">
        <v>1</v>
      </c>
      <c r="F724" s="6">
        <v>48</v>
      </c>
      <c r="G724" s="7">
        <v>0</v>
      </c>
      <c r="H724" s="6">
        <v>48</v>
      </c>
      <c r="I724">
        <v>0</v>
      </c>
      <c r="J724" s="6">
        <v>0</v>
      </c>
      <c r="K724">
        <v>1</v>
      </c>
      <c r="L724" s="6">
        <v>48</v>
      </c>
      <c r="M724" s="6">
        <v>40.24</v>
      </c>
      <c r="N724" s="6">
        <v>7.76</v>
      </c>
      <c r="O724" s="6">
        <v>5.55</v>
      </c>
      <c r="P724" s="6">
        <v>2.21</v>
      </c>
      <c r="Q724" t="s">
        <v>81</v>
      </c>
      <c r="R724" t="s">
        <v>66</v>
      </c>
      <c r="S724" t="s">
        <v>61</v>
      </c>
    </row>
    <row r="725" spans="1:19" x14ac:dyDescent="0.35">
      <c r="A725" t="s">
        <v>850</v>
      </c>
      <c r="B725" s="5">
        <v>45726</v>
      </c>
      <c r="C725" t="s">
        <v>599</v>
      </c>
      <c r="D725" t="s">
        <v>70</v>
      </c>
      <c r="E725">
        <v>4</v>
      </c>
      <c r="F725" s="6">
        <v>110</v>
      </c>
      <c r="G725" s="7">
        <v>0</v>
      </c>
      <c r="H725" s="6">
        <v>440</v>
      </c>
      <c r="I725">
        <v>0</v>
      </c>
      <c r="J725" s="6">
        <v>0</v>
      </c>
      <c r="K725">
        <v>4</v>
      </c>
      <c r="L725" s="6">
        <v>440</v>
      </c>
      <c r="M725" s="6">
        <v>281.67</v>
      </c>
      <c r="N725" s="6">
        <v>158.33000000000001</v>
      </c>
      <c r="O725" s="6">
        <v>44.18</v>
      </c>
      <c r="P725" s="6">
        <v>114.15</v>
      </c>
      <c r="Q725" t="s">
        <v>59</v>
      </c>
      <c r="R725" t="s">
        <v>66</v>
      </c>
      <c r="S725" t="s">
        <v>67</v>
      </c>
    </row>
    <row r="726" spans="1:19" x14ac:dyDescent="0.35">
      <c r="A726" t="s">
        <v>851</v>
      </c>
      <c r="B726" s="5">
        <v>45842</v>
      </c>
      <c r="C726" t="s">
        <v>350</v>
      </c>
      <c r="D726" t="s">
        <v>85</v>
      </c>
      <c r="E726">
        <v>1</v>
      </c>
      <c r="F726" s="6">
        <v>48</v>
      </c>
      <c r="G726" s="7">
        <v>0</v>
      </c>
      <c r="H726" s="6">
        <v>48</v>
      </c>
      <c r="I726">
        <v>0</v>
      </c>
      <c r="J726" s="6">
        <v>0</v>
      </c>
      <c r="K726">
        <v>1</v>
      </c>
      <c r="L726" s="6">
        <v>48</v>
      </c>
      <c r="M726" s="6">
        <v>30.91</v>
      </c>
      <c r="N726" s="6">
        <v>17.09</v>
      </c>
      <c r="O726" s="6">
        <v>5.53</v>
      </c>
      <c r="P726" s="6">
        <v>11.56</v>
      </c>
      <c r="Q726" t="s">
        <v>75</v>
      </c>
      <c r="R726" t="s">
        <v>82</v>
      </c>
      <c r="S726" t="s">
        <v>67</v>
      </c>
    </row>
    <row r="727" spans="1:19" x14ac:dyDescent="0.35">
      <c r="A727" t="s">
        <v>852</v>
      </c>
      <c r="B727" s="5">
        <v>45968</v>
      </c>
      <c r="C727" t="s">
        <v>100</v>
      </c>
      <c r="D727" t="s">
        <v>64</v>
      </c>
      <c r="E727">
        <v>10</v>
      </c>
      <c r="F727" s="6">
        <v>310</v>
      </c>
      <c r="G727" s="7">
        <v>2</v>
      </c>
      <c r="H727" s="6">
        <v>3038</v>
      </c>
      <c r="I727">
        <v>0</v>
      </c>
      <c r="J727" s="6">
        <v>0</v>
      </c>
      <c r="K727">
        <v>10</v>
      </c>
      <c r="L727" s="6">
        <v>3038</v>
      </c>
      <c r="M727" s="6">
        <v>2186.9899999999998</v>
      </c>
      <c r="N727" s="6">
        <v>851.01</v>
      </c>
      <c r="O727" s="6">
        <v>391.58</v>
      </c>
      <c r="P727" s="6">
        <v>459.43</v>
      </c>
      <c r="Q727" t="s">
        <v>59</v>
      </c>
      <c r="R727" t="s">
        <v>66</v>
      </c>
      <c r="S727" t="s">
        <v>71</v>
      </c>
    </row>
    <row r="728" spans="1:19" x14ac:dyDescent="0.35">
      <c r="A728" t="s">
        <v>853</v>
      </c>
      <c r="B728" s="5">
        <v>45726</v>
      </c>
      <c r="C728" t="s">
        <v>97</v>
      </c>
      <c r="D728" t="s">
        <v>57</v>
      </c>
      <c r="E728">
        <v>4</v>
      </c>
      <c r="F728" s="6">
        <v>55</v>
      </c>
      <c r="G728" s="7">
        <v>5</v>
      </c>
      <c r="H728" s="6">
        <v>209</v>
      </c>
      <c r="I728">
        <v>0</v>
      </c>
      <c r="J728" s="6">
        <v>0</v>
      </c>
      <c r="K728">
        <v>4</v>
      </c>
      <c r="L728" s="6">
        <v>209</v>
      </c>
      <c r="M728" s="6">
        <v>169.03</v>
      </c>
      <c r="N728" s="6">
        <v>39.97</v>
      </c>
      <c r="O728" s="6">
        <v>15.56</v>
      </c>
      <c r="P728" s="6">
        <v>24.41</v>
      </c>
      <c r="Q728" t="s">
        <v>81</v>
      </c>
      <c r="R728" t="s">
        <v>176</v>
      </c>
      <c r="S728" t="s">
        <v>61</v>
      </c>
    </row>
    <row r="729" spans="1:19" x14ac:dyDescent="0.35">
      <c r="A729" t="s">
        <v>854</v>
      </c>
      <c r="B729" s="5">
        <v>45712</v>
      </c>
      <c r="C729" t="s">
        <v>84</v>
      </c>
      <c r="D729" t="s">
        <v>85</v>
      </c>
      <c r="E729">
        <v>4</v>
      </c>
      <c r="F729" s="6">
        <v>48</v>
      </c>
      <c r="G729" s="7">
        <v>0</v>
      </c>
      <c r="H729" s="6">
        <v>192</v>
      </c>
      <c r="I729">
        <v>0</v>
      </c>
      <c r="J729" s="6">
        <v>0</v>
      </c>
      <c r="K729">
        <v>4</v>
      </c>
      <c r="L729" s="6">
        <v>192</v>
      </c>
      <c r="M729" s="6">
        <v>135.68</v>
      </c>
      <c r="N729" s="6">
        <v>56.32</v>
      </c>
      <c r="O729" s="6">
        <v>10.69</v>
      </c>
      <c r="P729" s="6">
        <v>45.63</v>
      </c>
      <c r="R729" t="s">
        <v>66</v>
      </c>
      <c r="S729" t="s">
        <v>76</v>
      </c>
    </row>
    <row r="730" spans="1:19" x14ac:dyDescent="0.35">
      <c r="A730" t="s">
        <v>855</v>
      </c>
      <c r="B730" s="5">
        <v>46016</v>
      </c>
      <c r="C730" t="s">
        <v>109</v>
      </c>
      <c r="D730" t="s">
        <v>110</v>
      </c>
      <c r="E730">
        <v>5</v>
      </c>
      <c r="F730" s="6">
        <v>180</v>
      </c>
      <c r="G730" s="7">
        <v>2</v>
      </c>
      <c r="H730" s="6">
        <v>882</v>
      </c>
      <c r="I730">
        <v>0</v>
      </c>
      <c r="J730" s="6">
        <v>0</v>
      </c>
      <c r="K730">
        <v>5</v>
      </c>
      <c r="L730" s="6">
        <v>882</v>
      </c>
      <c r="M730" s="6">
        <v>734.51</v>
      </c>
      <c r="N730" s="6">
        <v>147.49</v>
      </c>
      <c r="O730" s="6">
        <v>86.74</v>
      </c>
      <c r="P730" s="6">
        <v>60.75</v>
      </c>
      <c r="Q730" t="s">
        <v>81</v>
      </c>
      <c r="R730" t="s">
        <v>82</v>
      </c>
      <c r="S730" t="s">
        <v>71</v>
      </c>
    </row>
    <row r="731" spans="1:19" x14ac:dyDescent="0.35">
      <c r="A731" t="s">
        <v>856</v>
      </c>
      <c r="B731" s="5">
        <v>45912</v>
      </c>
      <c r="C731" t="s">
        <v>63</v>
      </c>
      <c r="D731" t="s">
        <v>64</v>
      </c>
      <c r="E731">
        <v>1</v>
      </c>
      <c r="F731" s="6">
        <v>145</v>
      </c>
      <c r="G731" s="7">
        <v>0</v>
      </c>
      <c r="H731" s="6">
        <v>145</v>
      </c>
      <c r="I731">
        <v>0</v>
      </c>
      <c r="J731" s="6">
        <v>0</v>
      </c>
      <c r="K731">
        <v>1</v>
      </c>
      <c r="L731" s="6">
        <v>145</v>
      </c>
      <c r="M731" s="6">
        <v>120.3</v>
      </c>
      <c r="N731" s="6">
        <v>24.7</v>
      </c>
      <c r="O731" s="6">
        <v>9.6999999999999993</v>
      </c>
      <c r="P731" s="6">
        <v>15</v>
      </c>
      <c r="Q731" t="s">
        <v>75</v>
      </c>
      <c r="R731" t="s">
        <v>86</v>
      </c>
      <c r="S731" t="s">
        <v>71</v>
      </c>
    </row>
    <row r="732" spans="1:19" x14ac:dyDescent="0.35">
      <c r="A732" t="s">
        <v>857</v>
      </c>
      <c r="B732" s="5">
        <v>45988</v>
      </c>
      <c r="C732" t="s">
        <v>88</v>
      </c>
      <c r="D732" t="s">
        <v>57</v>
      </c>
      <c r="E732">
        <v>6</v>
      </c>
      <c r="F732" s="6">
        <v>30</v>
      </c>
      <c r="G732" s="7">
        <v>15</v>
      </c>
      <c r="H732" s="6">
        <v>153</v>
      </c>
      <c r="I732">
        <v>0</v>
      </c>
      <c r="J732" s="6">
        <v>0</v>
      </c>
      <c r="K732">
        <v>6</v>
      </c>
      <c r="L732" s="6">
        <v>153</v>
      </c>
      <c r="M732" s="6">
        <v>101.92</v>
      </c>
      <c r="N732" s="6">
        <v>51.08</v>
      </c>
      <c r="O732" s="6">
        <v>15.78</v>
      </c>
      <c r="P732" s="6">
        <v>35.299999999999997</v>
      </c>
      <c r="Q732" t="s">
        <v>59</v>
      </c>
      <c r="R732" t="s">
        <v>86</v>
      </c>
      <c r="S732" t="s">
        <v>61</v>
      </c>
    </row>
    <row r="733" spans="1:19" x14ac:dyDescent="0.35">
      <c r="A733" t="s">
        <v>858</v>
      </c>
      <c r="B733" s="5">
        <v>45827</v>
      </c>
      <c r="C733" t="s">
        <v>92</v>
      </c>
      <c r="D733" t="s">
        <v>79</v>
      </c>
      <c r="E733">
        <v>1</v>
      </c>
      <c r="F733" s="6">
        <v>85</v>
      </c>
      <c r="G733" s="7">
        <v>0</v>
      </c>
      <c r="H733" s="6">
        <v>85</v>
      </c>
      <c r="I733">
        <v>0</v>
      </c>
      <c r="J733" s="6">
        <v>0</v>
      </c>
      <c r="K733">
        <v>1</v>
      </c>
      <c r="L733" s="6">
        <v>85</v>
      </c>
      <c r="M733" s="6">
        <v>64.67</v>
      </c>
      <c r="N733" s="6">
        <v>20.329999999999998</v>
      </c>
      <c r="O733" s="6">
        <v>7.77</v>
      </c>
      <c r="P733" s="6">
        <v>12.56</v>
      </c>
      <c r="Q733" t="s">
        <v>75</v>
      </c>
      <c r="R733" t="s">
        <v>60</v>
      </c>
      <c r="S733" t="s">
        <v>61</v>
      </c>
    </row>
    <row r="734" spans="1:19" x14ac:dyDescent="0.35">
      <c r="A734" t="s">
        <v>859</v>
      </c>
      <c r="B734" s="5">
        <v>46009</v>
      </c>
      <c r="C734" t="s">
        <v>97</v>
      </c>
      <c r="D734" t="s">
        <v>57</v>
      </c>
      <c r="E734">
        <v>1</v>
      </c>
      <c r="F734" s="6">
        <v>55</v>
      </c>
      <c r="G734" s="7">
        <v>10</v>
      </c>
      <c r="H734" s="6">
        <v>49.5</v>
      </c>
      <c r="I734">
        <v>0</v>
      </c>
      <c r="J734" s="6">
        <v>0</v>
      </c>
      <c r="K734">
        <v>1</v>
      </c>
      <c r="L734" s="6">
        <v>49.5</v>
      </c>
      <c r="M734" s="6">
        <v>33.89</v>
      </c>
      <c r="N734" s="6">
        <v>15.61</v>
      </c>
      <c r="O734" s="6">
        <v>3.99</v>
      </c>
      <c r="P734" s="6">
        <v>11.62</v>
      </c>
      <c r="Q734" t="s">
        <v>65</v>
      </c>
      <c r="R734" t="s">
        <v>86</v>
      </c>
      <c r="S734" t="s">
        <v>67</v>
      </c>
    </row>
    <row r="735" spans="1:19" x14ac:dyDescent="0.35">
      <c r="A735" t="s">
        <v>860</v>
      </c>
      <c r="B735" s="5">
        <v>45818</v>
      </c>
      <c r="C735" t="s">
        <v>84</v>
      </c>
      <c r="D735" t="s">
        <v>85</v>
      </c>
      <c r="E735">
        <v>4</v>
      </c>
      <c r="F735" s="6">
        <v>48</v>
      </c>
      <c r="G735" s="7">
        <v>5</v>
      </c>
      <c r="H735" s="6">
        <v>182.4</v>
      </c>
      <c r="I735">
        <v>0</v>
      </c>
      <c r="J735" s="6">
        <v>0</v>
      </c>
      <c r="K735">
        <v>4</v>
      </c>
      <c r="L735" s="6">
        <v>182.4</v>
      </c>
      <c r="M735" s="6">
        <v>131.28</v>
      </c>
      <c r="N735" s="6">
        <v>51.12</v>
      </c>
      <c r="O735" s="6">
        <v>21.77</v>
      </c>
      <c r="P735" s="6">
        <v>29.35</v>
      </c>
      <c r="R735" t="s">
        <v>60</v>
      </c>
      <c r="S735" t="s">
        <v>67</v>
      </c>
    </row>
    <row r="736" spans="1:19" x14ac:dyDescent="0.35">
      <c r="A736" t="s">
        <v>861</v>
      </c>
      <c r="B736" s="5">
        <v>45833</v>
      </c>
      <c r="C736" t="s">
        <v>264</v>
      </c>
      <c r="D736" t="s">
        <v>85</v>
      </c>
      <c r="E736">
        <v>4</v>
      </c>
      <c r="F736" s="6">
        <v>20</v>
      </c>
      <c r="G736" s="7">
        <v>0</v>
      </c>
      <c r="H736" s="6">
        <v>80</v>
      </c>
      <c r="I736">
        <v>0</v>
      </c>
      <c r="J736" s="6">
        <v>0</v>
      </c>
      <c r="K736">
        <v>4</v>
      </c>
      <c r="L736" s="6">
        <v>80</v>
      </c>
      <c r="M736" s="6">
        <v>67.11</v>
      </c>
      <c r="N736" s="6">
        <v>12.89</v>
      </c>
      <c r="O736" s="6">
        <v>7.25</v>
      </c>
      <c r="P736" s="6">
        <v>5.64</v>
      </c>
      <c r="Q736" t="s">
        <v>75</v>
      </c>
      <c r="R736" t="s">
        <v>66</v>
      </c>
      <c r="S736" t="s">
        <v>71</v>
      </c>
    </row>
    <row r="737" spans="1:19" x14ac:dyDescent="0.35">
      <c r="A737" t="s">
        <v>862</v>
      </c>
      <c r="B737" s="5">
        <v>45729</v>
      </c>
      <c r="C737" t="s">
        <v>100</v>
      </c>
      <c r="D737" t="s">
        <v>64</v>
      </c>
      <c r="E737">
        <v>6</v>
      </c>
      <c r="F737" s="6">
        <v>310</v>
      </c>
      <c r="G737" s="7">
        <v>5</v>
      </c>
      <c r="H737" s="6">
        <v>1767</v>
      </c>
      <c r="I737">
        <v>0</v>
      </c>
      <c r="J737" s="6">
        <v>0</v>
      </c>
      <c r="K737">
        <v>6</v>
      </c>
      <c r="L737" s="6">
        <v>1767</v>
      </c>
      <c r="M737" s="6">
        <v>1286.8599999999999</v>
      </c>
      <c r="N737" s="6">
        <v>480.14</v>
      </c>
      <c r="O737" s="6">
        <v>171.22</v>
      </c>
      <c r="P737" s="6">
        <v>308.92</v>
      </c>
      <c r="Q737" t="s">
        <v>65</v>
      </c>
      <c r="R737" t="s">
        <v>82</v>
      </c>
      <c r="S737" t="s">
        <v>67</v>
      </c>
    </row>
    <row r="738" spans="1:19" x14ac:dyDescent="0.35">
      <c r="A738" t="s">
        <v>863</v>
      </c>
      <c r="B738" s="5">
        <v>45708</v>
      </c>
      <c r="C738" t="s">
        <v>109</v>
      </c>
      <c r="D738" t="s">
        <v>85</v>
      </c>
      <c r="E738">
        <v>5</v>
      </c>
      <c r="F738" s="6">
        <v>180</v>
      </c>
      <c r="G738" s="7">
        <v>0</v>
      </c>
      <c r="H738" s="6">
        <v>900</v>
      </c>
      <c r="I738">
        <v>0</v>
      </c>
      <c r="J738" s="6">
        <v>0</v>
      </c>
      <c r="K738">
        <v>5</v>
      </c>
      <c r="L738" s="6">
        <v>900</v>
      </c>
      <c r="M738" s="6">
        <v>663.15</v>
      </c>
      <c r="N738" s="6">
        <v>236.85</v>
      </c>
      <c r="O738" s="6">
        <v>90.87</v>
      </c>
      <c r="P738" s="6">
        <v>145.97999999999999</v>
      </c>
      <c r="Q738" t="s">
        <v>59</v>
      </c>
      <c r="R738" t="s">
        <v>86</v>
      </c>
      <c r="S738" t="s">
        <v>76</v>
      </c>
    </row>
    <row r="739" spans="1:19" x14ac:dyDescent="0.35">
      <c r="A739" t="s">
        <v>864</v>
      </c>
      <c r="B739" s="5">
        <v>45736</v>
      </c>
      <c r="C739" t="s">
        <v>88</v>
      </c>
      <c r="D739" t="s">
        <v>57</v>
      </c>
      <c r="E739">
        <v>1</v>
      </c>
      <c r="F739" s="6">
        <v>30</v>
      </c>
      <c r="G739" s="7">
        <v>2</v>
      </c>
      <c r="H739" s="6">
        <v>29.4</v>
      </c>
      <c r="I739">
        <v>0</v>
      </c>
      <c r="J739" s="6">
        <v>0</v>
      </c>
      <c r="K739">
        <v>1</v>
      </c>
      <c r="L739" s="6">
        <v>29.4</v>
      </c>
      <c r="M739" s="6">
        <v>21.38</v>
      </c>
      <c r="N739" s="6">
        <v>8.02</v>
      </c>
      <c r="O739" s="6">
        <v>1.99</v>
      </c>
      <c r="P739" s="6">
        <v>6.03</v>
      </c>
      <c r="Q739" t="s">
        <v>65</v>
      </c>
      <c r="R739" t="s">
        <v>82</v>
      </c>
      <c r="S739" t="s">
        <v>67</v>
      </c>
    </row>
    <row r="740" spans="1:19" x14ac:dyDescent="0.35">
      <c r="A740" t="s">
        <v>865</v>
      </c>
      <c r="B740" s="5">
        <v>45983</v>
      </c>
      <c r="C740" t="s">
        <v>90</v>
      </c>
      <c r="D740" t="s">
        <v>70</v>
      </c>
      <c r="E740">
        <v>8</v>
      </c>
      <c r="F740" s="6">
        <v>38</v>
      </c>
      <c r="G740" s="7">
        <v>10</v>
      </c>
      <c r="H740" s="6">
        <v>273.60000000000002</v>
      </c>
      <c r="I740">
        <v>0</v>
      </c>
      <c r="J740" s="6">
        <v>0</v>
      </c>
      <c r="K740">
        <v>8</v>
      </c>
      <c r="L740" s="6">
        <v>273.60000000000002</v>
      </c>
      <c r="M740" s="6">
        <v>177.86</v>
      </c>
      <c r="N740" s="6">
        <v>95.74</v>
      </c>
      <c r="O740" s="6">
        <v>14.3</v>
      </c>
      <c r="P740" s="6">
        <v>81.44</v>
      </c>
      <c r="Q740" t="s">
        <v>59</v>
      </c>
      <c r="R740" t="s">
        <v>86</v>
      </c>
      <c r="S740" t="s">
        <v>61</v>
      </c>
    </row>
    <row r="741" spans="1:19" x14ac:dyDescent="0.35">
      <c r="A741" t="s">
        <v>866</v>
      </c>
      <c r="B741" s="5">
        <v>45778</v>
      </c>
      <c r="C741" t="s">
        <v>107</v>
      </c>
      <c r="D741" t="s">
        <v>74</v>
      </c>
      <c r="E741">
        <v>4</v>
      </c>
      <c r="F741" s="6">
        <v>125</v>
      </c>
      <c r="G741" s="7">
        <v>0</v>
      </c>
      <c r="H741" s="6">
        <v>500</v>
      </c>
      <c r="I741">
        <v>0</v>
      </c>
      <c r="J741" s="6">
        <v>0</v>
      </c>
      <c r="K741">
        <v>4</v>
      </c>
      <c r="L741" s="6">
        <v>500</v>
      </c>
      <c r="M741" s="6">
        <v>346.77</v>
      </c>
      <c r="N741" s="6">
        <v>153.22999999999999</v>
      </c>
      <c r="O741" s="6">
        <v>63.58</v>
      </c>
      <c r="P741" s="6">
        <v>89.65</v>
      </c>
      <c r="Q741" t="s">
        <v>81</v>
      </c>
      <c r="R741" t="s">
        <v>86</v>
      </c>
      <c r="S741" t="s">
        <v>67</v>
      </c>
    </row>
    <row r="742" spans="1:19" x14ac:dyDescent="0.35">
      <c r="A742" t="s">
        <v>867</v>
      </c>
      <c r="B742" s="5">
        <v>45830</v>
      </c>
      <c r="C742" t="s">
        <v>114</v>
      </c>
      <c r="D742" t="s">
        <v>64</v>
      </c>
      <c r="E742">
        <v>4</v>
      </c>
      <c r="F742" s="6">
        <v>420</v>
      </c>
      <c r="G742" s="7">
        <v>2</v>
      </c>
      <c r="H742" s="6">
        <v>1646.4</v>
      </c>
      <c r="I742">
        <v>0</v>
      </c>
      <c r="J742" s="6">
        <v>0</v>
      </c>
      <c r="K742">
        <v>4</v>
      </c>
      <c r="L742" s="6">
        <v>1646.4</v>
      </c>
      <c r="M742" s="6">
        <v>1373.41</v>
      </c>
      <c r="N742" s="6">
        <v>272.99</v>
      </c>
      <c r="O742" s="6">
        <v>125.91</v>
      </c>
      <c r="P742" s="6">
        <v>147.08000000000001</v>
      </c>
      <c r="Q742" t="s">
        <v>65</v>
      </c>
      <c r="R742" t="s">
        <v>86</v>
      </c>
      <c r="S742" t="s">
        <v>61</v>
      </c>
    </row>
    <row r="743" spans="1:19" x14ac:dyDescent="0.35">
      <c r="A743" t="s">
        <v>868</v>
      </c>
      <c r="B743" s="5">
        <v>45800</v>
      </c>
      <c r="C743" t="s">
        <v>95</v>
      </c>
      <c r="D743" t="s">
        <v>64</v>
      </c>
      <c r="E743">
        <v>3</v>
      </c>
      <c r="F743" s="6">
        <v>52</v>
      </c>
      <c r="G743" s="7">
        <v>15</v>
      </c>
      <c r="H743" s="6">
        <v>132.6</v>
      </c>
      <c r="I743">
        <v>0</v>
      </c>
      <c r="J743" s="6">
        <v>0</v>
      </c>
      <c r="K743">
        <v>3</v>
      </c>
      <c r="L743" s="6">
        <v>132.6</v>
      </c>
      <c r="M743" s="6">
        <v>107.69</v>
      </c>
      <c r="N743" s="6">
        <v>24.91</v>
      </c>
      <c r="O743" s="6">
        <v>13.37</v>
      </c>
      <c r="P743" s="6">
        <v>11.54</v>
      </c>
      <c r="Q743" t="s">
        <v>65</v>
      </c>
      <c r="R743" t="s">
        <v>60</v>
      </c>
      <c r="S743" t="s">
        <v>71</v>
      </c>
    </row>
    <row r="744" spans="1:19" x14ac:dyDescent="0.35">
      <c r="A744" t="s">
        <v>869</v>
      </c>
      <c r="B744" s="5">
        <v>45872</v>
      </c>
      <c r="C744" t="s">
        <v>97</v>
      </c>
      <c r="D744" t="s">
        <v>57</v>
      </c>
      <c r="E744">
        <v>1</v>
      </c>
      <c r="F744" s="6">
        <v>55</v>
      </c>
      <c r="G744" s="7">
        <v>10</v>
      </c>
      <c r="H744" s="6">
        <v>49.5</v>
      </c>
      <c r="I744">
        <v>0</v>
      </c>
      <c r="J744" s="6">
        <v>0</v>
      </c>
      <c r="K744">
        <v>1</v>
      </c>
      <c r="L744" s="6">
        <v>49.5</v>
      </c>
      <c r="M744" s="6">
        <v>42.16</v>
      </c>
      <c r="N744" s="6">
        <v>7.34</v>
      </c>
      <c r="O744" s="6">
        <v>3.82</v>
      </c>
      <c r="P744" s="6">
        <v>3.52</v>
      </c>
      <c r="Q744" t="s">
        <v>81</v>
      </c>
      <c r="R744" t="s">
        <v>82</v>
      </c>
      <c r="S744" t="s">
        <v>76</v>
      </c>
    </row>
    <row r="745" spans="1:19" x14ac:dyDescent="0.35">
      <c r="A745" t="s">
        <v>870</v>
      </c>
      <c r="B745" s="5">
        <v>45980</v>
      </c>
      <c r="C745" t="s">
        <v>92</v>
      </c>
      <c r="D745" t="s">
        <v>79</v>
      </c>
      <c r="E745">
        <v>2</v>
      </c>
      <c r="F745" s="6">
        <v>85</v>
      </c>
      <c r="G745" s="7">
        <v>15</v>
      </c>
      <c r="H745" s="6">
        <v>144.5</v>
      </c>
      <c r="I745">
        <v>0</v>
      </c>
      <c r="J745" s="6">
        <v>0</v>
      </c>
      <c r="K745">
        <v>2</v>
      </c>
      <c r="L745" s="6">
        <v>144.5</v>
      </c>
      <c r="M745" s="6">
        <v>112.14</v>
      </c>
      <c r="N745" s="6">
        <v>32.36</v>
      </c>
      <c r="O745" s="6">
        <v>7.59</v>
      </c>
      <c r="P745" s="6">
        <v>24.77</v>
      </c>
      <c r="Q745" t="s">
        <v>81</v>
      </c>
      <c r="R745" t="s">
        <v>82</v>
      </c>
      <c r="S745" t="s">
        <v>71</v>
      </c>
    </row>
    <row r="746" spans="1:19" x14ac:dyDescent="0.35">
      <c r="A746" t="s">
        <v>871</v>
      </c>
      <c r="B746" s="5">
        <v>45701</v>
      </c>
      <c r="C746" t="s">
        <v>97</v>
      </c>
      <c r="D746" t="s">
        <v>57</v>
      </c>
      <c r="E746">
        <v>4</v>
      </c>
      <c r="F746" s="6">
        <v>55</v>
      </c>
      <c r="G746" s="7">
        <v>0</v>
      </c>
      <c r="H746" s="6">
        <v>220</v>
      </c>
      <c r="I746">
        <v>0</v>
      </c>
      <c r="J746" s="6">
        <v>0</v>
      </c>
      <c r="K746">
        <v>4</v>
      </c>
      <c r="L746" s="6">
        <v>220</v>
      </c>
      <c r="M746" s="6">
        <v>142.51</v>
      </c>
      <c r="N746" s="6">
        <v>77.489999999999995</v>
      </c>
      <c r="O746" s="6">
        <v>13.45</v>
      </c>
      <c r="P746" s="6">
        <v>64.040000000000006</v>
      </c>
      <c r="Q746" t="s">
        <v>65</v>
      </c>
      <c r="R746" t="s">
        <v>86</v>
      </c>
      <c r="S746" t="s">
        <v>67</v>
      </c>
    </row>
    <row r="747" spans="1:19" x14ac:dyDescent="0.35">
      <c r="A747" t="s">
        <v>872</v>
      </c>
      <c r="B747" s="5">
        <v>45905</v>
      </c>
      <c r="C747" t="s">
        <v>107</v>
      </c>
      <c r="D747" t="s">
        <v>74</v>
      </c>
      <c r="E747">
        <v>6</v>
      </c>
      <c r="F747" s="6">
        <v>125</v>
      </c>
      <c r="G747" s="7">
        <v>0</v>
      </c>
      <c r="H747" s="6">
        <v>750</v>
      </c>
      <c r="I747">
        <v>0</v>
      </c>
      <c r="J747" s="6">
        <v>0</v>
      </c>
      <c r="K747">
        <v>6</v>
      </c>
      <c r="L747" s="6">
        <v>750</v>
      </c>
      <c r="M747" s="6">
        <v>633.57000000000005</v>
      </c>
      <c r="N747" s="6">
        <v>116.43</v>
      </c>
      <c r="O747" s="6">
        <v>84.98</v>
      </c>
      <c r="P747" s="6">
        <v>31.45</v>
      </c>
      <c r="Q747" t="s">
        <v>81</v>
      </c>
      <c r="R747" t="s">
        <v>82</v>
      </c>
      <c r="S747" t="s">
        <v>76</v>
      </c>
    </row>
    <row r="748" spans="1:19" x14ac:dyDescent="0.35">
      <c r="A748" t="s">
        <v>873</v>
      </c>
      <c r="B748" s="5">
        <v>45818</v>
      </c>
      <c r="C748" t="s">
        <v>125</v>
      </c>
      <c r="D748" t="s">
        <v>85</v>
      </c>
      <c r="E748">
        <v>2</v>
      </c>
      <c r="F748" s="6">
        <v>125</v>
      </c>
      <c r="G748" s="7">
        <v>15</v>
      </c>
      <c r="H748" s="6">
        <v>212.5</v>
      </c>
      <c r="I748">
        <v>0</v>
      </c>
      <c r="J748" s="6">
        <v>0</v>
      </c>
      <c r="K748">
        <v>2</v>
      </c>
      <c r="L748" s="6">
        <v>212.5</v>
      </c>
      <c r="M748" s="6">
        <v>134.29</v>
      </c>
      <c r="N748" s="6">
        <v>78.209999999999994</v>
      </c>
      <c r="O748" s="6">
        <v>19.760000000000002</v>
      </c>
      <c r="P748" s="6">
        <v>58.45</v>
      </c>
      <c r="Q748" t="s">
        <v>59</v>
      </c>
      <c r="R748" t="s">
        <v>176</v>
      </c>
      <c r="S748" t="s">
        <v>71</v>
      </c>
    </row>
    <row r="749" spans="1:19" x14ac:dyDescent="0.35">
      <c r="A749" t="s">
        <v>874</v>
      </c>
      <c r="B749" s="5">
        <v>45684</v>
      </c>
      <c r="C749" t="s">
        <v>125</v>
      </c>
      <c r="D749" t="s">
        <v>85</v>
      </c>
      <c r="E749">
        <v>10</v>
      </c>
      <c r="F749" s="6">
        <v>125</v>
      </c>
      <c r="G749" s="7">
        <v>0</v>
      </c>
      <c r="H749" s="6">
        <v>1250</v>
      </c>
      <c r="I749">
        <v>0</v>
      </c>
      <c r="J749" s="6">
        <v>0</v>
      </c>
      <c r="K749">
        <v>10</v>
      </c>
      <c r="L749" s="6">
        <v>1250</v>
      </c>
      <c r="M749" s="6">
        <v>925.79</v>
      </c>
      <c r="N749" s="6">
        <v>324.20999999999998</v>
      </c>
      <c r="O749" s="6">
        <v>132.63999999999999</v>
      </c>
      <c r="P749" s="6">
        <v>191.57</v>
      </c>
      <c r="Q749" t="s">
        <v>59</v>
      </c>
      <c r="R749" t="s">
        <v>82</v>
      </c>
      <c r="S749" t="s">
        <v>76</v>
      </c>
    </row>
    <row r="750" spans="1:19" x14ac:dyDescent="0.35">
      <c r="A750" t="s">
        <v>875</v>
      </c>
      <c r="B750" s="5">
        <v>45695</v>
      </c>
      <c r="C750" t="s">
        <v>125</v>
      </c>
      <c r="D750" t="s">
        <v>85</v>
      </c>
      <c r="E750">
        <v>5</v>
      </c>
      <c r="F750" s="6">
        <v>125</v>
      </c>
      <c r="G750" s="7">
        <v>0</v>
      </c>
      <c r="H750" s="6">
        <v>625</v>
      </c>
      <c r="I750">
        <v>0</v>
      </c>
      <c r="J750" s="6">
        <v>0</v>
      </c>
      <c r="K750">
        <v>5</v>
      </c>
      <c r="L750" s="6">
        <v>625</v>
      </c>
      <c r="M750" s="6">
        <v>468.8</v>
      </c>
      <c r="N750" s="6">
        <v>156.19999999999999</v>
      </c>
      <c r="O750" s="6">
        <v>56.2</v>
      </c>
      <c r="P750" s="6">
        <v>100</v>
      </c>
      <c r="Q750" t="s">
        <v>65</v>
      </c>
      <c r="R750" t="s">
        <v>82</v>
      </c>
      <c r="S750" t="s">
        <v>67</v>
      </c>
    </row>
    <row r="751" spans="1:19" x14ac:dyDescent="0.35">
      <c r="A751" t="s">
        <v>876</v>
      </c>
      <c r="B751" s="5">
        <v>45918</v>
      </c>
      <c r="C751" t="s">
        <v>100</v>
      </c>
      <c r="D751" t="s">
        <v>64</v>
      </c>
      <c r="E751">
        <v>5</v>
      </c>
      <c r="F751" s="6">
        <v>310</v>
      </c>
      <c r="G751" s="7">
        <v>0</v>
      </c>
      <c r="H751" s="6">
        <v>1550</v>
      </c>
      <c r="I751">
        <v>0</v>
      </c>
      <c r="J751" s="6">
        <v>0</v>
      </c>
      <c r="K751">
        <v>5</v>
      </c>
      <c r="L751" s="6">
        <v>1550</v>
      </c>
      <c r="M751" s="6">
        <v>1081.32</v>
      </c>
      <c r="N751" s="6">
        <v>468.68</v>
      </c>
      <c r="O751" s="6">
        <v>144.03</v>
      </c>
      <c r="P751" s="6">
        <v>324.64999999999998</v>
      </c>
      <c r="Q751" t="s">
        <v>75</v>
      </c>
      <c r="R751" t="s">
        <v>60</v>
      </c>
      <c r="S751" t="s">
        <v>61</v>
      </c>
    </row>
    <row r="752" spans="1:19" x14ac:dyDescent="0.35">
      <c r="A752" t="s">
        <v>877</v>
      </c>
      <c r="B752" s="5">
        <v>45862</v>
      </c>
      <c r="C752" t="s">
        <v>117</v>
      </c>
      <c r="D752" t="s">
        <v>74</v>
      </c>
      <c r="E752">
        <v>1</v>
      </c>
      <c r="F752" s="6">
        <v>95</v>
      </c>
      <c r="G752" s="7">
        <v>15</v>
      </c>
      <c r="H752" s="6">
        <v>80.75</v>
      </c>
      <c r="I752">
        <v>0</v>
      </c>
      <c r="J752" s="6">
        <v>0</v>
      </c>
      <c r="K752">
        <v>1</v>
      </c>
      <c r="L752" s="6">
        <v>80.75</v>
      </c>
      <c r="M752" s="6">
        <v>60.11</v>
      </c>
      <c r="N752" s="6">
        <v>20.64</v>
      </c>
      <c r="O752" s="6">
        <v>8.09</v>
      </c>
      <c r="P752" s="6">
        <v>12.55</v>
      </c>
      <c r="Q752" t="s">
        <v>75</v>
      </c>
      <c r="R752" t="s">
        <v>60</v>
      </c>
      <c r="S752" t="s">
        <v>71</v>
      </c>
    </row>
    <row r="753" spans="1:19" x14ac:dyDescent="0.35">
      <c r="A753" t="s">
        <v>878</v>
      </c>
      <c r="B753" s="5">
        <v>45873</v>
      </c>
      <c r="C753" t="s">
        <v>95</v>
      </c>
      <c r="D753" t="s">
        <v>64</v>
      </c>
      <c r="E753">
        <v>4</v>
      </c>
      <c r="F753" s="6">
        <v>52</v>
      </c>
      <c r="G753" s="7">
        <v>10</v>
      </c>
      <c r="H753" s="6">
        <v>187.2</v>
      </c>
      <c r="I753">
        <v>0</v>
      </c>
      <c r="J753" s="6">
        <v>0</v>
      </c>
      <c r="K753">
        <v>4</v>
      </c>
      <c r="L753" s="6">
        <v>187.2</v>
      </c>
      <c r="M753" s="6">
        <v>125.34</v>
      </c>
      <c r="N753" s="6">
        <v>61.86</v>
      </c>
      <c r="O753" s="6">
        <v>22.34</v>
      </c>
      <c r="P753" s="6">
        <v>39.520000000000003</v>
      </c>
      <c r="Q753" t="s">
        <v>81</v>
      </c>
      <c r="R753" t="s">
        <v>86</v>
      </c>
      <c r="S753" t="s">
        <v>61</v>
      </c>
    </row>
    <row r="754" spans="1:19" x14ac:dyDescent="0.35">
      <c r="A754" t="s">
        <v>879</v>
      </c>
      <c r="B754" s="5">
        <v>45911</v>
      </c>
      <c r="C754" t="s">
        <v>117</v>
      </c>
      <c r="D754" t="s">
        <v>74</v>
      </c>
      <c r="E754">
        <v>1</v>
      </c>
      <c r="F754" s="6">
        <v>95</v>
      </c>
      <c r="G754" s="7">
        <v>0</v>
      </c>
      <c r="H754" s="6">
        <v>95</v>
      </c>
      <c r="I754">
        <v>0</v>
      </c>
      <c r="J754" s="6">
        <v>0</v>
      </c>
      <c r="K754">
        <v>1</v>
      </c>
      <c r="L754" s="6">
        <v>95</v>
      </c>
      <c r="M754" s="6">
        <v>78.349999999999994</v>
      </c>
      <c r="N754" s="6">
        <v>16.649999999999999</v>
      </c>
      <c r="O754" s="6">
        <v>5.5</v>
      </c>
      <c r="P754" s="6">
        <v>11.15</v>
      </c>
      <c r="Q754" t="s">
        <v>65</v>
      </c>
      <c r="R754" t="s">
        <v>86</v>
      </c>
      <c r="S754" t="s">
        <v>76</v>
      </c>
    </row>
    <row r="755" spans="1:19" x14ac:dyDescent="0.35">
      <c r="A755" t="s">
        <v>880</v>
      </c>
      <c r="B755" s="5">
        <v>45672</v>
      </c>
      <c r="C755" t="s">
        <v>69</v>
      </c>
      <c r="D755" t="s">
        <v>70</v>
      </c>
      <c r="E755">
        <v>1</v>
      </c>
      <c r="F755" s="6">
        <v>210</v>
      </c>
      <c r="G755" s="7">
        <v>5</v>
      </c>
      <c r="H755" s="6">
        <v>199.5</v>
      </c>
      <c r="I755">
        <v>0</v>
      </c>
      <c r="J755" s="6">
        <v>0</v>
      </c>
      <c r="K755">
        <v>1</v>
      </c>
      <c r="L755" s="6">
        <v>199.5</v>
      </c>
      <c r="M755" s="6">
        <v>128.53</v>
      </c>
      <c r="N755" s="6">
        <v>70.97</v>
      </c>
      <c r="O755" s="6">
        <v>15.66</v>
      </c>
      <c r="P755" s="6">
        <v>55.31</v>
      </c>
      <c r="Q755" t="s">
        <v>65</v>
      </c>
      <c r="R755" t="s">
        <v>66</v>
      </c>
      <c r="S755" t="s">
        <v>76</v>
      </c>
    </row>
    <row r="756" spans="1:19" x14ac:dyDescent="0.35">
      <c r="A756" t="s">
        <v>881</v>
      </c>
      <c r="B756" s="5">
        <v>45747</v>
      </c>
      <c r="C756" t="s">
        <v>125</v>
      </c>
      <c r="D756" t="s">
        <v>85</v>
      </c>
      <c r="E756">
        <v>2</v>
      </c>
      <c r="F756" s="6">
        <v>125</v>
      </c>
      <c r="G756" s="7">
        <v>5</v>
      </c>
      <c r="H756" s="6">
        <v>237.5</v>
      </c>
      <c r="I756">
        <v>0</v>
      </c>
      <c r="J756" s="6">
        <v>0</v>
      </c>
      <c r="K756">
        <v>2</v>
      </c>
      <c r="L756" s="6">
        <v>237.5</v>
      </c>
      <c r="M756" s="6">
        <v>197.05</v>
      </c>
      <c r="N756" s="6">
        <v>40.450000000000003</v>
      </c>
      <c r="O756" s="6">
        <v>28.34</v>
      </c>
      <c r="P756" s="6">
        <v>12.11</v>
      </c>
      <c r="R756" t="s">
        <v>86</v>
      </c>
      <c r="S756" t="s">
        <v>76</v>
      </c>
    </row>
    <row r="757" spans="1:19" x14ac:dyDescent="0.35">
      <c r="A757" t="s">
        <v>882</v>
      </c>
      <c r="B757" s="5">
        <v>45946</v>
      </c>
      <c r="C757" t="s">
        <v>117</v>
      </c>
      <c r="D757" t="s">
        <v>74</v>
      </c>
      <c r="E757">
        <v>3</v>
      </c>
      <c r="F757" s="6">
        <v>95</v>
      </c>
      <c r="G757" s="7">
        <v>0</v>
      </c>
      <c r="H757" s="6">
        <v>285</v>
      </c>
      <c r="I757">
        <v>0</v>
      </c>
      <c r="J757" s="6">
        <v>0</v>
      </c>
      <c r="K757">
        <v>3</v>
      </c>
      <c r="L757" s="6">
        <v>285</v>
      </c>
      <c r="M757" s="6">
        <v>207.7</v>
      </c>
      <c r="N757" s="6">
        <v>77.3</v>
      </c>
      <c r="O757" s="6">
        <v>27.5</v>
      </c>
      <c r="P757" s="6">
        <v>49.8</v>
      </c>
      <c r="Q757" t="s">
        <v>75</v>
      </c>
      <c r="R757" t="s">
        <v>66</v>
      </c>
      <c r="S757" t="s">
        <v>67</v>
      </c>
    </row>
    <row r="758" spans="1:19" x14ac:dyDescent="0.35">
      <c r="A758" t="s">
        <v>883</v>
      </c>
      <c r="B758" s="5">
        <v>45734</v>
      </c>
      <c r="C758" t="s">
        <v>264</v>
      </c>
      <c r="D758" t="s">
        <v>85</v>
      </c>
      <c r="E758" t="s">
        <v>790</v>
      </c>
      <c r="F758" s="6">
        <v>20</v>
      </c>
      <c r="G758" s="7">
        <v>0</v>
      </c>
      <c r="H758" s="6">
        <v>160</v>
      </c>
      <c r="I758">
        <v>0</v>
      </c>
      <c r="J758" s="6">
        <v>0</v>
      </c>
      <c r="K758">
        <v>8</v>
      </c>
      <c r="L758" s="6">
        <v>160</v>
      </c>
      <c r="M758" s="6">
        <v>114.34</v>
      </c>
      <c r="N758" s="6">
        <v>45.66</v>
      </c>
      <c r="O758" s="6">
        <v>14.31</v>
      </c>
      <c r="P758" s="6">
        <v>31.35</v>
      </c>
      <c r="Q758" t="s">
        <v>81</v>
      </c>
      <c r="R758" t="s">
        <v>60</v>
      </c>
      <c r="S758" t="s">
        <v>71</v>
      </c>
    </row>
    <row r="759" spans="1:19" x14ac:dyDescent="0.35">
      <c r="A759" t="s">
        <v>884</v>
      </c>
      <c r="B759" s="5">
        <v>45676</v>
      </c>
      <c r="C759" t="s">
        <v>121</v>
      </c>
      <c r="D759" t="s">
        <v>683</v>
      </c>
      <c r="E759">
        <v>1</v>
      </c>
      <c r="F759" s="6">
        <v>110</v>
      </c>
      <c r="G759" s="7">
        <v>2</v>
      </c>
      <c r="H759" s="6">
        <v>107.8</v>
      </c>
      <c r="I759">
        <v>0</v>
      </c>
      <c r="J759" s="6">
        <v>0</v>
      </c>
      <c r="K759">
        <v>1</v>
      </c>
      <c r="L759" s="6">
        <v>107.8</v>
      </c>
      <c r="M759" s="6">
        <v>82.05</v>
      </c>
      <c r="N759" s="6">
        <v>25.75</v>
      </c>
      <c r="O759" s="6">
        <v>11.65</v>
      </c>
      <c r="P759" s="6">
        <v>14.1</v>
      </c>
      <c r="Q759" t="s">
        <v>59</v>
      </c>
      <c r="R759" t="s">
        <v>82</v>
      </c>
      <c r="S759" t="s">
        <v>76</v>
      </c>
    </row>
    <row r="760" spans="1:19" x14ac:dyDescent="0.35">
      <c r="A760" t="s">
        <v>885</v>
      </c>
      <c r="B760" s="5">
        <v>45875</v>
      </c>
      <c r="C760" t="s">
        <v>125</v>
      </c>
      <c r="D760" t="s">
        <v>85</v>
      </c>
      <c r="E760">
        <v>3</v>
      </c>
      <c r="F760" s="6">
        <v>125</v>
      </c>
      <c r="G760" s="7">
        <v>2</v>
      </c>
      <c r="H760" s="6">
        <v>367.5</v>
      </c>
      <c r="I760">
        <v>0</v>
      </c>
      <c r="J760" s="6">
        <v>0</v>
      </c>
      <c r="K760">
        <v>3</v>
      </c>
      <c r="L760" s="6">
        <v>367.5</v>
      </c>
      <c r="M760" s="6">
        <v>314.14</v>
      </c>
      <c r="N760" s="6">
        <v>53.36</v>
      </c>
      <c r="O760" s="6">
        <v>21.5</v>
      </c>
      <c r="P760" s="6">
        <v>31.86</v>
      </c>
      <c r="Q760" t="s">
        <v>75</v>
      </c>
      <c r="R760" t="s">
        <v>66</v>
      </c>
      <c r="S760" t="s">
        <v>71</v>
      </c>
    </row>
    <row r="761" spans="1:19" x14ac:dyDescent="0.35">
      <c r="A761" t="s">
        <v>886</v>
      </c>
      <c r="B761" s="5">
        <v>45898</v>
      </c>
      <c r="C761" t="s">
        <v>107</v>
      </c>
      <c r="D761" t="s">
        <v>74</v>
      </c>
      <c r="E761">
        <v>1</v>
      </c>
      <c r="F761" s="6">
        <v>125</v>
      </c>
      <c r="G761" s="7">
        <v>0</v>
      </c>
      <c r="H761" s="6">
        <v>125</v>
      </c>
      <c r="I761">
        <v>0</v>
      </c>
      <c r="J761" s="6">
        <v>0</v>
      </c>
      <c r="K761">
        <v>1</v>
      </c>
      <c r="L761" s="6">
        <v>125</v>
      </c>
      <c r="M761" s="6">
        <v>93.82</v>
      </c>
      <c r="N761" s="6">
        <v>31.18</v>
      </c>
      <c r="O761" s="6">
        <v>9.82</v>
      </c>
      <c r="P761" s="6">
        <v>21.36</v>
      </c>
      <c r="Q761" t="s">
        <v>75</v>
      </c>
      <c r="R761" t="s">
        <v>176</v>
      </c>
      <c r="S761" t="s">
        <v>76</v>
      </c>
    </row>
    <row r="762" spans="1:19" x14ac:dyDescent="0.35">
      <c r="A762" t="s">
        <v>887</v>
      </c>
      <c r="B762" s="5">
        <v>45794</v>
      </c>
      <c r="C762" t="s">
        <v>63</v>
      </c>
      <c r="D762" t="s">
        <v>64</v>
      </c>
      <c r="E762">
        <v>2</v>
      </c>
      <c r="F762" s="6">
        <v>145</v>
      </c>
      <c r="G762" s="7">
        <v>0</v>
      </c>
      <c r="H762" s="6">
        <v>290</v>
      </c>
      <c r="I762">
        <v>0</v>
      </c>
      <c r="J762" s="6">
        <v>0</v>
      </c>
      <c r="K762">
        <v>2</v>
      </c>
      <c r="L762" s="6">
        <v>290</v>
      </c>
      <c r="M762" s="6">
        <v>214.43</v>
      </c>
      <c r="N762" s="6">
        <v>75.569999999999993</v>
      </c>
      <c r="O762" s="6">
        <v>31.46</v>
      </c>
      <c r="P762" s="6">
        <v>44.11</v>
      </c>
      <c r="R762" t="s">
        <v>66</v>
      </c>
      <c r="S762" t="s">
        <v>67</v>
      </c>
    </row>
    <row r="763" spans="1:19" x14ac:dyDescent="0.35">
      <c r="A763" t="s">
        <v>888</v>
      </c>
      <c r="B763" s="5">
        <v>45883</v>
      </c>
      <c r="C763" t="s">
        <v>109</v>
      </c>
      <c r="D763" t="s">
        <v>85</v>
      </c>
      <c r="E763">
        <v>2</v>
      </c>
      <c r="F763" s="6">
        <v>180</v>
      </c>
      <c r="G763" s="7">
        <v>5</v>
      </c>
      <c r="H763" s="6">
        <v>342</v>
      </c>
      <c r="I763">
        <v>0</v>
      </c>
      <c r="J763" s="6">
        <v>0</v>
      </c>
      <c r="K763">
        <v>2</v>
      </c>
      <c r="L763" s="6">
        <v>342</v>
      </c>
      <c r="M763" s="6">
        <v>239.84</v>
      </c>
      <c r="N763" s="6">
        <v>102.16</v>
      </c>
      <c r="O763" s="6">
        <v>22.71</v>
      </c>
      <c r="P763" s="6">
        <v>79.45</v>
      </c>
      <c r="Q763" t="s">
        <v>59</v>
      </c>
      <c r="R763" t="s">
        <v>60</v>
      </c>
      <c r="S763" t="s">
        <v>67</v>
      </c>
    </row>
    <row r="764" spans="1:19" x14ac:dyDescent="0.35">
      <c r="A764" t="s">
        <v>889</v>
      </c>
      <c r="B764" s="5">
        <v>45942</v>
      </c>
      <c r="C764" t="s">
        <v>121</v>
      </c>
      <c r="D764" t="s">
        <v>70</v>
      </c>
      <c r="E764">
        <v>4</v>
      </c>
      <c r="F764" s="6">
        <v>110</v>
      </c>
      <c r="G764" s="7">
        <v>0</v>
      </c>
      <c r="H764" s="6">
        <v>440</v>
      </c>
      <c r="I764">
        <v>0</v>
      </c>
      <c r="J764" s="6">
        <v>0</v>
      </c>
      <c r="K764">
        <v>4</v>
      </c>
      <c r="L764" s="6">
        <v>440</v>
      </c>
      <c r="M764" s="6">
        <v>359.49</v>
      </c>
      <c r="N764" s="6">
        <v>80.510000000000005</v>
      </c>
      <c r="O764" s="6">
        <v>28.65</v>
      </c>
      <c r="P764" s="6">
        <v>51.86</v>
      </c>
      <c r="Q764" t="s">
        <v>81</v>
      </c>
      <c r="R764" t="s">
        <v>86</v>
      </c>
      <c r="S764" t="s">
        <v>67</v>
      </c>
    </row>
    <row r="765" spans="1:19" x14ac:dyDescent="0.35">
      <c r="A765" t="s">
        <v>890</v>
      </c>
      <c r="B765" s="5">
        <v>45682</v>
      </c>
      <c r="C765" t="s">
        <v>121</v>
      </c>
      <c r="D765" t="s">
        <v>70</v>
      </c>
      <c r="E765">
        <v>3</v>
      </c>
      <c r="F765" s="6">
        <v>110</v>
      </c>
      <c r="G765" s="7">
        <v>0</v>
      </c>
      <c r="H765" s="6">
        <v>330</v>
      </c>
      <c r="I765">
        <v>0</v>
      </c>
      <c r="J765" s="6">
        <v>0</v>
      </c>
      <c r="K765">
        <v>3</v>
      </c>
      <c r="L765" s="6">
        <v>330</v>
      </c>
      <c r="M765" s="6">
        <v>220.12</v>
      </c>
      <c r="N765" s="6">
        <v>109.88</v>
      </c>
      <c r="O765" s="6">
        <v>42.28</v>
      </c>
      <c r="P765" s="6">
        <v>67.599999999999994</v>
      </c>
      <c r="Q765" t="s">
        <v>59</v>
      </c>
      <c r="R765" t="s">
        <v>86</v>
      </c>
      <c r="S765" t="s">
        <v>61</v>
      </c>
    </row>
    <row r="766" spans="1:19" x14ac:dyDescent="0.35">
      <c r="A766" t="s">
        <v>891</v>
      </c>
      <c r="B766" s="5">
        <v>45839</v>
      </c>
      <c r="C766" t="s">
        <v>78</v>
      </c>
      <c r="D766" t="s">
        <v>79</v>
      </c>
      <c r="E766">
        <v>1</v>
      </c>
      <c r="F766" s="6">
        <v>120</v>
      </c>
      <c r="G766" s="7">
        <v>10</v>
      </c>
      <c r="H766" s="6">
        <v>108</v>
      </c>
      <c r="I766">
        <v>0</v>
      </c>
      <c r="J766" s="6">
        <v>0</v>
      </c>
      <c r="K766">
        <v>1</v>
      </c>
      <c r="L766" s="6">
        <v>108</v>
      </c>
      <c r="M766" s="6">
        <v>79.75</v>
      </c>
      <c r="N766" s="6">
        <v>28.25</v>
      </c>
      <c r="O766" s="6">
        <v>5.73</v>
      </c>
      <c r="P766" s="6">
        <v>22.52</v>
      </c>
      <c r="Q766" t="s">
        <v>81</v>
      </c>
      <c r="R766" t="s">
        <v>82</v>
      </c>
      <c r="S766" t="s">
        <v>76</v>
      </c>
    </row>
    <row r="767" spans="1:19" x14ac:dyDescent="0.35">
      <c r="A767" t="s">
        <v>892</v>
      </c>
      <c r="B767" s="5">
        <v>45672</v>
      </c>
      <c r="C767" t="s">
        <v>95</v>
      </c>
      <c r="D767" t="s">
        <v>64</v>
      </c>
      <c r="E767">
        <v>2</v>
      </c>
      <c r="F767" s="6">
        <v>52</v>
      </c>
      <c r="G767" s="7">
        <v>5</v>
      </c>
      <c r="H767" s="6">
        <v>98.8</v>
      </c>
      <c r="I767">
        <v>0</v>
      </c>
      <c r="J767" s="6">
        <v>0</v>
      </c>
      <c r="K767">
        <v>2</v>
      </c>
      <c r="L767" s="6">
        <v>98.8</v>
      </c>
      <c r="M767" s="6">
        <v>81.77</v>
      </c>
      <c r="N767" s="6">
        <v>17.03</v>
      </c>
      <c r="O767" s="6">
        <v>10.69</v>
      </c>
      <c r="P767" s="6">
        <v>6.34</v>
      </c>
      <c r="Q767" t="s">
        <v>59</v>
      </c>
      <c r="R767" t="s">
        <v>199</v>
      </c>
      <c r="S767" t="s">
        <v>67</v>
      </c>
    </row>
    <row r="768" spans="1:19" x14ac:dyDescent="0.35">
      <c r="A768" t="s">
        <v>893</v>
      </c>
      <c r="B768" s="5">
        <v>45871</v>
      </c>
      <c r="C768" t="s">
        <v>125</v>
      </c>
      <c r="D768" t="s">
        <v>85</v>
      </c>
      <c r="E768">
        <v>5</v>
      </c>
      <c r="F768" s="6">
        <v>125</v>
      </c>
      <c r="G768" s="7">
        <v>0</v>
      </c>
      <c r="H768" s="6">
        <v>625</v>
      </c>
      <c r="I768">
        <v>1</v>
      </c>
      <c r="J768" s="6">
        <v>125</v>
      </c>
      <c r="K768">
        <v>4</v>
      </c>
      <c r="L768" s="6">
        <v>500</v>
      </c>
      <c r="M768" s="6">
        <v>319.3</v>
      </c>
      <c r="N768" s="6">
        <v>180.7</v>
      </c>
      <c r="O768" s="6">
        <v>50.53</v>
      </c>
      <c r="P768" s="6">
        <v>130.16999999999999</v>
      </c>
      <c r="Q768" t="s">
        <v>81</v>
      </c>
      <c r="R768" t="s">
        <v>82</v>
      </c>
      <c r="S768" t="s">
        <v>76</v>
      </c>
    </row>
    <row r="769" spans="1:19" x14ac:dyDescent="0.35">
      <c r="A769" t="s">
        <v>894</v>
      </c>
      <c r="B769" s="5">
        <v>45707</v>
      </c>
      <c r="C769" t="s">
        <v>92</v>
      </c>
      <c r="D769" t="s">
        <v>79</v>
      </c>
      <c r="E769">
        <v>3</v>
      </c>
      <c r="F769" s="6">
        <v>85</v>
      </c>
      <c r="G769" s="7">
        <v>0</v>
      </c>
      <c r="H769" s="6">
        <v>255</v>
      </c>
      <c r="I769">
        <v>0</v>
      </c>
      <c r="J769" s="6">
        <v>0</v>
      </c>
      <c r="K769">
        <v>3</v>
      </c>
      <c r="L769" s="6">
        <v>255</v>
      </c>
      <c r="M769" s="6">
        <v>164.73</v>
      </c>
      <c r="N769" s="6">
        <v>90.27</v>
      </c>
      <c r="O769" s="6">
        <v>28.73</v>
      </c>
      <c r="P769" s="6">
        <v>61.54</v>
      </c>
      <c r="Q769" t="s">
        <v>81</v>
      </c>
      <c r="R769" t="s">
        <v>82</v>
      </c>
      <c r="S769" t="s">
        <v>71</v>
      </c>
    </row>
    <row r="770" spans="1:19" x14ac:dyDescent="0.35">
      <c r="A770" t="s">
        <v>895</v>
      </c>
      <c r="B770" s="5">
        <v>45732</v>
      </c>
      <c r="C770" t="s">
        <v>95</v>
      </c>
      <c r="D770" t="s">
        <v>64</v>
      </c>
      <c r="E770">
        <v>10</v>
      </c>
      <c r="F770" s="6">
        <v>52</v>
      </c>
      <c r="G770" s="7">
        <v>0</v>
      </c>
      <c r="H770" s="6">
        <v>520</v>
      </c>
      <c r="I770">
        <v>0</v>
      </c>
      <c r="J770" s="6">
        <v>0</v>
      </c>
      <c r="K770">
        <v>10</v>
      </c>
      <c r="L770" s="6">
        <v>520</v>
      </c>
      <c r="M770" s="6">
        <v>406.35</v>
      </c>
      <c r="N770" s="6">
        <v>113.65</v>
      </c>
      <c r="O770" s="6">
        <v>56.15</v>
      </c>
      <c r="P770" s="6">
        <v>57.5</v>
      </c>
      <c r="Q770" t="s">
        <v>59</v>
      </c>
      <c r="R770" t="s">
        <v>66</v>
      </c>
      <c r="S770" t="s">
        <v>67</v>
      </c>
    </row>
    <row r="771" spans="1:19" x14ac:dyDescent="0.35">
      <c r="A771" t="s">
        <v>896</v>
      </c>
      <c r="B771" s="5">
        <v>45963</v>
      </c>
      <c r="C771" t="s">
        <v>84</v>
      </c>
      <c r="D771" t="s">
        <v>85</v>
      </c>
      <c r="E771">
        <v>4</v>
      </c>
      <c r="F771" s="6">
        <v>48</v>
      </c>
      <c r="G771" s="7">
        <v>0</v>
      </c>
      <c r="H771" s="6">
        <v>192</v>
      </c>
      <c r="I771">
        <v>0</v>
      </c>
      <c r="J771" s="6">
        <v>0</v>
      </c>
      <c r="K771">
        <v>4</v>
      </c>
      <c r="L771" s="6">
        <v>192</v>
      </c>
      <c r="M771" s="6">
        <v>157.57</v>
      </c>
      <c r="N771" s="6">
        <v>34.43</v>
      </c>
      <c r="O771" s="6">
        <v>14.23</v>
      </c>
      <c r="P771" s="6">
        <v>20.2</v>
      </c>
      <c r="Q771" t="s">
        <v>59</v>
      </c>
      <c r="R771" t="s">
        <v>66</v>
      </c>
      <c r="S771" t="s">
        <v>67</v>
      </c>
    </row>
    <row r="772" spans="1:19" x14ac:dyDescent="0.35">
      <c r="A772" t="s">
        <v>897</v>
      </c>
      <c r="B772" s="5">
        <v>45803</v>
      </c>
      <c r="C772" t="s">
        <v>376</v>
      </c>
      <c r="D772" t="s">
        <v>128</v>
      </c>
      <c r="E772">
        <v>1</v>
      </c>
      <c r="F772" s="6">
        <v>145</v>
      </c>
      <c r="G772" s="7">
        <v>0</v>
      </c>
      <c r="H772" s="6">
        <v>145</v>
      </c>
      <c r="I772">
        <v>0</v>
      </c>
      <c r="J772" s="6">
        <v>0</v>
      </c>
      <c r="K772">
        <v>1</v>
      </c>
      <c r="L772" s="6">
        <v>145</v>
      </c>
      <c r="M772" s="6">
        <v>97.02</v>
      </c>
      <c r="N772" s="6">
        <v>47.98</v>
      </c>
      <c r="O772" s="6">
        <v>14.78</v>
      </c>
      <c r="P772" s="6">
        <v>33.200000000000003</v>
      </c>
      <c r="Q772" t="s">
        <v>75</v>
      </c>
      <c r="R772" t="s">
        <v>86</v>
      </c>
      <c r="S772" t="s">
        <v>76</v>
      </c>
    </row>
    <row r="773" spans="1:19" x14ac:dyDescent="0.35">
      <c r="A773" t="s">
        <v>898</v>
      </c>
      <c r="B773" s="5">
        <v>45757</v>
      </c>
      <c r="C773" t="s">
        <v>107</v>
      </c>
      <c r="D773" t="s">
        <v>74</v>
      </c>
      <c r="E773">
        <v>1</v>
      </c>
      <c r="F773" s="6">
        <v>125</v>
      </c>
      <c r="G773" s="7">
        <v>5</v>
      </c>
      <c r="H773" s="6">
        <v>118.75</v>
      </c>
      <c r="I773">
        <v>0</v>
      </c>
      <c r="J773" s="6">
        <v>0</v>
      </c>
      <c r="K773">
        <v>1</v>
      </c>
      <c r="L773" s="6">
        <v>118.75</v>
      </c>
      <c r="M773" s="6">
        <v>88.22</v>
      </c>
      <c r="N773" s="6">
        <v>30.53</v>
      </c>
      <c r="O773" s="6">
        <v>11.27</v>
      </c>
      <c r="P773" s="6">
        <v>19.260000000000002</v>
      </c>
      <c r="Q773" t="s">
        <v>65</v>
      </c>
      <c r="R773" t="s">
        <v>66</v>
      </c>
      <c r="S773" t="s">
        <v>71</v>
      </c>
    </row>
    <row r="774" spans="1:19" x14ac:dyDescent="0.35">
      <c r="A774" t="s">
        <v>899</v>
      </c>
      <c r="B774" s="5">
        <v>45815</v>
      </c>
      <c r="C774" t="s">
        <v>100</v>
      </c>
      <c r="D774" t="s">
        <v>64</v>
      </c>
      <c r="E774">
        <v>4</v>
      </c>
      <c r="F774" s="6">
        <v>310</v>
      </c>
      <c r="G774" s="7">
        <v>0</v>
      </c>
      <c r="H774" s="6">
        <v>1240</v>
      </c>
      <c r="I774">
        <v>0</v>
      </c>
      <c r="J774" s="6">
        <v>0</v>
      </c>
      <c r="K774">
        <v>4</v>
      </c>
      <c r="L774" s="6">
        <v>1240</v>
      </c>
      <c r="M774" s="6">
        <v>917.33</v>
      </c>
      <c r="N774" s="6">
        <v>322.67</v>
      </c>
      <c r="O774" s="6">
        <v>100.64</v>
      </c>
      <c r="P774" s="6">
        <v>222.03</v>
      </c>
      <c r="Q774" t="s">
        <v>75</v>
      </c>
      <c r="R774" t="s">
        <v>86</v>
      </c>
      <c r="S774" t="s">
        <v>71</v>
      </c>
    </row>
    <row r="775" spans="1:19" x14ac:dyDescent="0.35">
      <c r="A775" t="s">
        <v>900</v>
      </c>
      <c r="B775" s="5">
        <v>45947</v>
      </c>
      <c r="C775" t="s">
        <v>109</v>
      </c>
      <c r="D775" t="s">
        <v>85</v>
      </c>
      <c r="E775">
        <v>2</v>
      </c>
      <c r="F775" s="6">
        <v>180</v>
      </c>
      <c r="G775" s="7">
        <v>0</v>
      </c>
      <c r="H775" s="6">
        <v>360</v>
      </c>
      <c r="I775">
        <v>0</v>
      </c>
      <c r="J775" s="6">
        <v>0</v>
      </c>
      <c r="K775">
        <v>2</v>
      </c>
      <c r="L775" s="6">
        <v>360</v>
      </c>
      <c r="M775" s="6">
        <v>235.78</v>
      </c>
      <c r="N775" s="6">
        <v>124.22</v>
      </c>
      <c r="O775" s="6">
        <v>36.51</v>
      </c>
      <c r="P775" s="6">
        <v>87.71</v>
      </c>
      <c r="Q775" t="s">
        <v>65</v>
      </c>
      <c r="R775" t="s">
        <v>60</v>
      </c>
      <c r="S775" t="s">
        <v>76</v>
      </c>
    </row>
    <row r="776" spans="1:19" x14ac:dyDescent="0.35">
      <c r="A776" t="s">
        <v>901</v>
      </c>
      <c r="B776" s="5">
        <v>45856</v>
      </c>
      <c r="C776" t="s">
        <v>264</v>
      </c>
      <c r="D776" t="s">
        <v>110</v>
      </c>
      <c r="E776">
        <v>4</v>
      </c>
      <c r="F776" s="6">
        <v>20</v>
      </c>
      <c r="G776" s="7">
        <v>0</v>
      </c>
      <c r="H776" s="6">
        <v>80</v>
      </c>
      <c r="I776">
        <v>0</v>
      </c>
      <c r="J776" s="6">
        <v>0</v>
      </c>
      <c r="K776">
        <v>4</v>
      </c>
      <c r="L776" s="6">
        <v>80</v>
      </c>
      <c r="M776" s="6">
        <v>67.28</v>
      </c>
      <c r="N776" s="6">
        <v>12.72</v>
      </c>
      <c r="O776" s="6">
        <v>10.11</v>
      </c>
      <c r="P776" s="6">
        <v>2.61</v>
      </c>
      <c r="Q776" t="s">
        <v>59</v>
      </c>
      <c r="R776" t="s">
        <v>66</v>
      </c>
      <c r="S776" t="s">
        <v>71</v>
      </c>
    </row>
    <row r="777" spans="1:19" x14ac:dyDescent="0.35">
      <c r="A777" t="s">
        <v>902</v>
      </c>
      <c r="B777" s="5">
        <v>45877</v>
      </c>
      <c r="C777" t="s">
        <v>264</v>
      </c>
      <c r="D777" t="s">
        <v>85</v>
      </c>
      <c r="E777">
        <v>4</v>
      </c>
      <c r="F777" s="6">
        <v>20</v>
      </c>
      <c r="G777" s="7">
        <v>0</v>
      </c>
      <c r="H777" s="6">
        <v>80</v>
      </c>
      <c r="I777">
        <v>0</v>
      </c>
      <c r="J777" s="6">
        <v>0</v>
      </c>
      <c r="K777">
        <v>4</v>
      </c>
      <c r="L777" s="6">
        <v>80</v>
      </c>
      <c r="M777" s="6">
        <v>67.8</v>
      </c>
      <c r="N777" s="6">
        <v>12.2</v>
      </c>
      <c r="O777" s="6">
        <v>6.16</v>
      </c>
      <c r="P777" s="6">
        <v>6.04</v>
      </c>
      <c r="Q777" t="s">
        <v>65</v>
      </c>
      <c r="R777" t="s">
        <v>86</v>
      </c>
      <c r="S777" t="s">
        <v>71</v>
      </c>
    </row>
    <row r="778" spans="1:19" x14ac:dyDescent="0.35">
      <c r="A778" t="s">
        <v>903</v>
      </c>
      <c r="B778" s="5">
        <v>45985</v>
      </c>
      <c r="C778" t="s">
        <v>90</v>
      </c>
      <c r="D778" t="s">
        <v>70</v>
      </c>
      <c r="E778">
        <v>4</v>
      </c>
      <c r="F778" s="6">
        <v>38</v>
      </c>
      <c r="G778" s="7">
        <v>0</v>
      </c>
      <c r="H778" s="6">
        <v>152</v>
      </c>
      <c r="I778">
        <v>0</v>
      </c>
      <c r="J778" s="6">
        <v>0</v>
      </c>
      <c r="K778">
        <v>4</v>
      </c>
      <c r="L778" s="6">
        <v>152</v>
      </c>
      <c r="M778" s="6">
        <v>128.22999999999999</v>
      </c>
      <c r="N778" s="6">
        <v>23.77</v>
      </c>
      <c r="O778" s="6">
        <v>10.86</v>
      </c>
      <c r="P778" s="6">
        <v>12.91</v>
      </c>
      <c r="Q778" t="s">
        <v>59</v>
      </c>
      <c r="R778" t="s">
        <v>60</v>
      </c>
      <c r="S778" t="s">
        <v>76</v>
      </c>
    </row>
    <row r="779" spans="1:19" x14ac:dyDescent="0.35">
      <c r="A779" t="s">
        <v>904</v>
      </c>
      <c r="B779" s="5">
        <v>45710</v>
      </c>
      <c r="C779" t="s">
        <v>125</v>
      </c>
      <c r="D779" t="s">
        <v>85</v>
      </c>
      <c r="E779">
        <v>5</v>
      </c>
      <c r="F779" s="6">
        <v>125</v>
      </c>
      <c r="G779" s="7">
        <v>5</v>
      </c>
      <c r="H779" s="6">
        <v>593.75</v>
      </c>
      <c r="I779">
        <v>0</v>
      </c>
      <c r="J779" s="6">
        <v>0</v>
      </c>
      <c r="K779">
        <v>5</v>
      </c>
      <c r="L779" s="6">
        <v>593.75</v>
      </c>
      <c r="M779" s="6">
        <v>395.25</v>
      </c>
      <c r="N779" s="6">
        <v>198.5</v>
      </c>
      <c r="O779" s="6">
        <v>34.71</v>
      </c>
      <c r="P779" s="6">
        <v>163.79</v>
      </c>
      <c r="Q779" t="s">
        <v>81</v>
      </c>
      <c r="R779" t="s">
        <v>82</v>
      </c>
      <c r="S779" t="s">
        <v>61</v>
      </c>
    </row>
    <row r="780" spans="1:19" x14ac:dyDescent="0.35">
      <c r="A780" t="s">
        <v>905</v>
      </c>
      <c r="B780" s="5">
        <v>45880</v>
      </c>
      <c r="C780" t="s">
        <v>84</v>
      </c>
      <c r="D780" t="s">
        <v>85</v>
      </c>
      <c r="E780">
        <v>5</v>
      </c>
      <c r="F780" s="6">
        <v>48</v>
      </c>
      <c r="G780" s="7">
        <v>0</v>
      </c>
      <c r="H780" s="6">
        <v>240</v>
      </c>
      <c r="I780">
        <v>0</v>
      </c>
      <c r="J780" s="6">
        <v>0</v>
      </c>
      <c r="K780">
        <v>5</v>
      </c>
      <c r="L780" s="6">
        <v>240</v>
      </c>
      <c r="M780" s="6">
        <v>182.13</v>
      </c>
      <c r="N780" s="6">
        <v>57.87</v>
      </c>
      <c r="O780" s="6">
        <v>22.64</v>
      </c>
      <c r="P780" s="6">
        <v>35.229999999999997</v>
      </c>
      <c r="Q780" t="s">
        <v>59</v>
      </c>
      <c r="R780" t="s">
        <v>82</v>
      </c>
      <c r="S780" t="s">
        <v>71</v>
      </c>
    </row>
    <row r="781" spans="1:19" x14ac:dyDescent="0.35">
      <c r="A781" t="s">
        <v>906</v>
      </c>
      <c r="B781" s="5">
        <v>45947</v>
      </c>
      <c r="C781" t="s">
        <v>104</v>
      </c>
      <c r="D781" t="s">
        <v>105</v>
      </c>
      <c r="E781">
        <v>1</v>
      </c>
      <c r="F781" s="6">
        <v>65</v>
      </c>
      <c r="G781" s="7">
        <v>0</v>
      </c>
      <c r="H781" s="6">
        <v>65</v>
      </c>
      <c r="I781">
        <v>0</v>
      </c>
      <c r="J781" s="6">
        <v>0</v>
      </c>
      <c r="K781">
        <v>1</v>
      </c>
      <c r="L781" s="6">
        <v>65</v>
      </c>
      <c r="M781" s="6">
        <v>46.84</v>
      </c>
      <c r="N781" s="6">
        <v>18.16</v>
      </c>
      <c r="O781" s="6">
        <v>6.71</v>
      </c>
      <c r="P781" s="6">
        <v>11.45</v>
      </c>
      <c r="Q781" t="s">
        <v>81</v>
      </c>
      <c r="R781" t="s">
        <v>60</v>
      </c>
      <c r="S781" t="s">
        <v>71</v>
      </c>
    </row>
    <row r="782" spans="1:19" x14ac:dyDescent="0.35">
      <c r="A782" t="s">
        <v>907</v>
      </c>
      <c r="B782" s="5">
        <v>45765</v>
      </c>
      <c r="C782" t="s">
        <v>97</v>
      </c>
      <c r="D782" t="s">
        <v>57</v>
      </c>
      <c r="E782">
        <v>5</v>
      </c>
      <c r="F782" s="6">
        <v>55</v>
      </c>
      <c r="G782" s="7">
        <v>2</v>
      </c>
      <c r="H782" s="6">
        <v>269.5</v>
      </c>
      <c r="I782">
        <v>0</v>
      </c>
      <c r="J782" s="6">
        <v>0</v>
      </c>
      <c r="K782">
        <v>5</v>
      </c>
      <c r="L782" s="6">
        <v>269.5</v>
      </c>
      <c r="M782" s="6">
        <v>177.88</v>
      </c>
      <c r="N782" s="6">
        <v>91.62</v>
      </c>
      <c r="O782" s="6">
        <v>29</v>
      </c>
      <c r="P782" s="6">
        <v>62.62</v>
      </c>
      <c r="Q782" t="s">
        <v>75</v>
      </c>
      <c r="R782" t="s">
        <v>60</v>
      </c>
      <c r="S782" t="s">
        <v>76</v>
      </c>
    </row>
    <row r="783" spans="1:19" x14ac:dyDescent="0.35">
      <c r="A783" t="s">
        <v>908</v>
      </c>
      <c r="B783" s="5">
        <v>45870</v>
      </c>
      <c r="C783" t="s">
        <v>73</v>
      </c>
      <c r="D783" t="s">
        <v>74</v>
      </c>
      <c r="E783">
        <v>2</v>
      </c>
      <c r="F783" s="6">
        <v>280</v>
      </c>
      <c r="G783" s="7">
        <v>0</v>
      </c>
      <c r="H783" s="6">
        <v>560</v>
      </c>
      <c r="I783">
        <v>0</v>
      </c>
      <c r="J783" s="6">
        <v>0</v>
      </c>
      <c r="K783">
        <v>2</v>
      </c>
      <c r="L783" s="6">
        <v>560</v>
      </c>
      <c r="M783" s="6">
        <v>401</v>
      </c>
      <c r="N783" s="6">
        <v>159</v>
      </c>
      <c r="O783" s="6">
        <v>55.76</v>
      </c>
      <c r="P783" s="6">
        <v>103.24</v>
      </c>
      <c r="Q783" t="s">
        <v>59</v>
      </c>
      <c r="R783" t="s">
        <v>60</v>
      </c>
      <c r="S783" t="s">
        <v>71</v>
      </c>
    </row>
    <row r="784" spans="1:19" x14ac:dyDescent="0.35">
      <c r="A784" t="s">
        <v>909</v>
      </c>
      <c r="B784" s="5">
        <v>45915</v>
      </c>
      <c r="C784" t="s">
        <v>114</v>
      </c>
      <c r="D784" t="s">
        <v>64</v>
      </c>
      <c r="E784">
        <v>6</v>
      </c>
      <c r="F784" s="6">
        <v>420</v>
      </c>
      <c r="G784" s="7">
        <v>0</v>
      </c>
      <c r="H784" s="6">
        <v>2520</v>
      </c>
      <c r="I784">
        <v>0</v>
      </c>
      <c r="J784" s="6">
        <v>0</v>
      </c>
      <c r="K784">
        <v>6</v>
      </c>
      <c r="L784" s="6">
        <v>2520</v>
      </c>
      <c r="M784" s="6">
        <v>1876.71</v>
      </c>
      <c r="N784" s="6">
        <v>643.29</v>
      </c>
      <c r="O784" s="6">
        <v>219.15</v>
      </c>
      <c r="P784" s="6">
        <v>424.14</v>
      </c>
      <c r="Q784" t="s">
        <v>65</v>
      </c>
      <c r="R784" t="s">
        <v>82</v>
      </c>
      <c r="S784" t="s">
        <v>71</v>
      </c>
    </row>
    <row r="785" spans="1:19" x14ac:dyDescent="0.35">
      <c r="A785" t="s">
        <v>910</v>
      </c>
      <c r="B785" s="5">
        <v>46006</v>
      </c>
      <c r="C785" t="s">
        <v>264</v>
      </c>
      <c r="D785" t="s">
        <v>85</v>
      </c>
      <c r="E785">
        <v>2</v>
      </c>
      <c r="F785" s="6">
        <v>20</v>
      </c>
      <c r="G785" s="7">
        <v>10</v>
      </c>
      <c r="H785" s="6">
        <v>36</v>
      </c>
      <c r="I785">
        <v>0</v>
      </c>
      <c r="J785" s="6">
        <v>0</v>
      </c>
      <c r="K785">
        <v>2</v>
      </c>
      <c r="L785" s="6">
        <v>36</v>
      </c>
      <c r="M785" s="6">
        <v>30.45</v>
      </c>
      <c r="N785" s="6">
        <v>5.55</v>
      </c>
      <c r="O785" s="6">
        <v>3.71</v>
      </c>
      <c r="P785" s="6">
        <v>1.84</v>
      </c>
      <c r="Q785" t="s">
        <v>75</v>
      </c>
      <c r="R785" t="s">
        <v>176</v>
      </c>
      <c r="S785" t="s">
        <v>71</v>
      </c>
    </row>
    <row r="786" spans="1:19" x14ac:dyDescent="0.35">
      <c r="A786" t="s">
        <v>911</v>
      </c>
      <c r="B786" s="5">
        <v>45761</v>
      </c>
      <c r="C786" t="s">
        <v>69</v>
      </c>
      <c r="D786" t="s">
        <v>70</v>
      </c>
      <c r="E786">
        <v>4</v>
      </c>
      <c r="F786" s="6">
        <v>210</v>
      </c>
      <c r="G786" s="7">
        <v>0</v>
      </c>
      <c r="H786" s="6">
        <v>840</v>
      </c>
      <c r="I786">
        <v>0</v>
      </c>
      <c r="J786" s="6">
        <v>0</v>
      </c>
      <c r="K786">
        <v>4</v>
      </c>
      <c r="L786" s="6">
        <v>840</v>
      </c>
      <c r="M786" s="6">
        <v>594.29999999999995</v>
      </c>
      <c r="N786" s="6">
        <v>245.7</v>
      </c>
      <c r="O786" s="6">
        <v>55.1</v>
      </c>
      <c r="P786" s="6">
        <v>190.6</v>
      </c>
      <c r="Q786" t="s">
        <v>75</v>
      </c>
      <c r="R786" t="s">
        <v>60</v>
      </c>
      <c r="S786" t="s">
        <v>61</v>
      </c>
    </row>
    <row r="787" spans="1:19" x14ac:dyDescent="0.35">
      <c r="A787" t="s">
        <v>912</v>
      </c>
      <c r="B787" s="5">
        <v>45714</v>
      </c>
      <c r="C787" t="s">
        <v>114</v>
      </c>
      <c r="D787" t="s">
        <v>64</v>
      </c>
      <c r="E787">
        <v>4</v>
      </c>
      <c r="F787" s="6">
        <v>420</v>
      </c>
      <c r="G787" s="7">
        <v>0</v>
      </c>
      <c r="H787" s="6">
        <v>1680</v>
      </c>
      <c r="I787">
        <v>0</v>
      </c>
      <c r="J787" s="6">
        <v>0</v>
      </c>
      <c r="K787">
        <v>4</v>
      </c>
      <c r="L787" s="6">
        <v>1680</v>
      </c>
      <c r="M787" s="6">
        <v>1270.95</v>
      </c>
      <c r="N787" s="6">
        <v>409.05</v>
      </c>
      <c r="O787" s="6">
        <v>142.08000000000001</v>
      </c>
      <c r="P787" s="6">
        <v>266.97000000000003</v>
      </c>
      <c r="Q787" t="s">
        <v>81</v>
      </c>
      <c r="R787" t="s">
        <v>82</v>
      </c>
      <c r="S787" t="s">
        <v>67</v>
      </c>
    </row>
    <row r="788" spans="1:19" x14ac:dyDescent="0.35">
      <c r="A788" t="s">
        <v>913</v>
      </c>
      <c r="B788" s="5">
        <v>45847</v>
      </c>
      <c r="C788" t="s">
        <v>95</v>
      </c>
      <c r="D788" t="s">
        <v>64</v>
      </c>
      <c r="E788">
        <v>8</v>
      </c>
      <c r="F788" s="6">
        <v>52</v>
      </c>
      <c r="G788" s="7">
        <v>5</v>
      </c>
      <c r="H788" s="6">
        <v>395.2</v>
      </c>
      <c r="I788">
        <v>0</v>
      </c>
      <c r="J788" s="6">
        <v>0</v>
      </c>
      <c r="K788">
        <v>8</v>
      </c>
      <c r="L788" s="6">
        <v>395.2</v>
      </c>
      <c r="M788" s="6">
        <v>339.17</v>
      </c>
      <c r="N788" s="6">
        <v>56.03</v>
      </c>
      <c r="O788" s="6">
        <v>29.05</v>
      </c>
      <c r="P788" s="6">
        <v>26.98</v>
      </c>
      <c r="Q788" t="s">
        <v>59</v>
      </c>
      <c r="R788" t="s">
        <v>82</v>
      </c>
      <c r="S788" t="s">
        <v>61</v>
      </c>
    </row>
    <row r="789" spans="1:19" x14ac:dyDescent="0.35">
      <c r="A789" t="s">
        <v>914</v>
      </c>
      <c r="B789" s="5">
        <v>45695</v>
      </c>
      <c r="C789" t="s">
        <v>100</v>
      </c>
      <c r="D789" t="s">
        <v>64</v>
      </c>
      <c r="E789">
        <v>2</v>
      </c>
      <c r="F789" s="6">
        <v>310</v>
      </c>
      <c r="G789" s="7">
        <v>5</v>
      </c>
      <c r="H789" s="6">
        <v>589</v>
      </c>
      <c r="I789">
        <v>0</v>
      </c>
      <c r="J789" s="6">
        <v>0</v>
      </c>
      <c r="K789">
        <v>2</v>
      </c>
      <c r="L789" s="6">
        <v>589</v>
      </c>
      <c r="M789" s="6">
        <v>427.75</v>
      </c>
      <c r="N789" s="6">
        <v>161.25</v>
      </c>
      <c r="O789" s="6">
        <v>66.11</v>
      </c>
      <c r="P789" s="6">
        <v>95.14</v>
      </c>
      <c r="Q789" t="s">
        <v>65</v>
      </c>
      <c r="R789" t="s">
        <v>82</v>
      </c>
      <c r="S789" t="s">
        <v>67</v>
      </c>
    </row>
    <row r="790" spans="1:19" x14ac:dyDescent="0.35">
      <c r="A790" t="s">
        <v>915</v>
      </c>
      <c r="B790" s="5">
        <v>45878</v>
      </c>
      <c r="C790" t="s">
        <v>88</v>
      </c>
      <c r="D790" t="s">
        <v>57</v>
      </c>
      <c r="E790">
        <v>2</v>
      </c>
      <c r="F790" s="6">
        <v>30</v>
      </c>
      <c r="G790" s="7">
        <v>2</v>
      </c>
      <c r="H790" s="6">
        <v>58.8</v>
      </c>
      <c r="I790">
        <v>0</v>
      </c>
      <c r="J790" s="6">
        <v>0</v>
      </c>
      <c r="K790">
        <v>2</v>
      </c>
      <c r="L790" s="6">
        <v>58.8</v>
      </c>
      <c r="M790" s="6">
        <v>48.43</v>
      </c>
      <c r="N790" s="6">
        <v>10.37</v>
      </c>
      <c r="O790" s="6">
        <v>5.22</v>
      </c>
      <c r="P790" s="6">
        <v>5.15</v>
      </c>
      <c r="Q790" t="s">
        <v>75</v>
      </c>
      <c r="R790" t="s">
        <v>66</v>
      </c>
      <c r="S790" t="s">
        <v>61</v>
      </c>
    </row>
    <row r="791" spans="1:19" x14ac:dyDescent="0.35">
      <c r="A791" t="s">
        <v>916</v>
      </c>
      <c r="B791" s="5">
        <v>45778</v>
      </c>
      <c r="C791" t="s">
        <v>107</v>
      </c>
      <c r="D791" t="s">
        <v>74</v>
      </c>
      <c r="E791">
        <v>4</v>
      </c>
      <c r="F791" s="6">
        <v>125</v>
      </c>
      <c r="G791" s="7">
        <v>2</v>
      </c>
      <c r="H791" s="6">
        <v>490</v>
      </c>
      <c r="I791">
        <v>0</v>
      </c>
      <c r="J791" s="6">
        <v>0</v>
      </c>
      <c r="K791">
        <v>4</v>
      </c>
      <c r="L791" s="6">
        <v>490</v>
      </c>
      <c r="M791" s="6">
        <v>379.97</v>
      </c>
      <c r="N791" s="6">
        <v>110.03</v>
      </c>
      <c r="O791" s="6">
        <v>48.73</v>
      </c>
      <c r="P791" s="6">
        <v>61.3</v>
      </c>
      <c r="Q791" t="s">
        <v>75</v>
      </c>
      <c r="R791" t="s">
        <v>66</v>
      </c>
      <c r="S791" t="s">
        <v>61</v>
      </c>
    </row>
    <row r="792" spans="1:19" x14ac:dyDescent="0.35">
      <c r="A792" t="s">
        <v>917</v>
      </c>
      <c r="B792" s="5">
        <v>45834</v>
      </c>
      <c r="C792" t="s">
        <v>73</v>
      </c>
      <c r="D792" t="s">
        <v>74</v>
      </c>
      <c r="E792">
        <v>1</v>
      </c>
      <c r="F792" s="6">
        <v>280</v>
      </c>
      <c r="G792" s="7">
        <v>0</v>
      </c>
      <c r="H792" s="6">
        <v>280</v>
      </c>
      <c r="I792">
        <v>0</v>
      </c>
      <c r="J792" s="6">
        <v>0</v>
      </c>
      <c r="K792">
        <v>1</v>
      </c>
      <c r="L792" s="6">
        <v>280</v>
      </c>
      <c r="M792" s="6">
        <v>237.49</v>
      </c>
      <c r="N792" s="6">
        <v>42.51</v>
      </c>
      <c r="O792" s="6">
        <v>24.45</v>
      </c>
      <c r="P792" s="6">
        <v>18.059999999999999</v>
      </c>
      <c r="Q792" t="s">
        <v>75</v>
      </c>
      <c r="R792" t="s">
        <v>66</v>
      </c>
      <c r="S792" t="s">
        <v>76</v>
      </c>
    </row>
    <row r="793" spans="1:19" x14ac:dyDescent="0.35">
      <c r="A793" t="s">
        <v>918</v>
      </c>
      <c r="B793" s="5">
        <v>45910</v>
      </c>
      <c r="C793" t="s">
        <v>63</v>
      </c>
      <c r="D793" t="s">
        <v>64</v>
      </c>
      <c r="E793">
        <v>3</v>
      </c>
      <c r="F793" s="6">
        <v>145</v>
      </c>
      <c r="G793" s="7">
        <v>0</v>
      </c>
      <c r="H793" s="6">
        <v>435</v>
      </c>
      <c r="I793">
        <v>0</v>
      </c>
      <c r="J793" s="6">
        <v>0</v>
      </c>
      <c r="K793">
        <v>3</v>
      </c>
      <c r="L793" s="6">
        <v>435</v>
      </c>
      <c r="M793" s="6">
        <v>347.45</v>
      </c>
      <c r="N793" s="6">
        <v>87.55</v>
      </c>
      <c r="O793" s="6">
        <v>28.36</v>
      </c>
      <c r="P793" s="6">
        <v>59.19</v>
      </c>
      <c r="Q793" t="s">
        <v>81</v>
      </c>
      <c r="R793" t="s">
        <v>86</v>
      </c>
      <c r="S793" t="s">
        <v>61</v>
      </c>
    </row>
    <row r="794" spans="1:19" x14ac:dyDescent="0.35">
      <c r="A794" t="s">
        <v>919</v>
      </c>
      <c r="B794" s="5">
        <v>45679</v>
      </c>
      <c r="C794" t="s">
        <v>95</v>
      </c>
      <c r="D794" t="s">
        <v>64</v>
      </c>
      <c r="E794">
        <v>4</v>
      </c>
      <c r="F794" s="6">
        <v>52</v>
      </c>
      <c r="G794" s="7">
        <v>2</v>
      </c>
      <c r="H794" s="6">
        <v>203.84</v>
      </c>
      <c r="I794">
        <v>0</v>
      </c>
      <c r="J794" s="6">
        <v>0</v>
      </c>
      <c r="K794">
        <v>4</v>
      </c>
      <c r="L794" s="6">
        <v>203.84</v>
      </c>
      <c r="M794" s="6">
        <v>166.72</v>
      </c>
      <c r="N794" s="6">
        <v>37.119999999999997</v>
      </c>
      <c r="O794" s="6">
        <v>11.38</v>
      </c>
      <c r="P794" s="6">
        <v>25.74</v>
      </c>
      <c r="Q794" t="s">
        <v>75</v>
      </c>
      <c r="R794" t="s">
        <v>60</v>
      </c>
      <c r="S794" t="s">
        <v>61</v>
      </c>
    </row>
    <row r="795" spans="1:19" x14ac:dyDescent="0.35">
      <c r="A795" t="s">
        <v>920</v>
      </c>
      <c r="B795" s="5">
        <v>46019</v>
      </c>
      <c r="C795" t="s">
        <v>114</v>
      </c>
      <c r="D795" t="s">
        <v>64</v>
      </c>
      <c r="E795">
        <v>2</v>
      </c>
      <c r="F795" s="6">
        <v>420</v>
      </c>
      <c r="G795" s="7">
        <v>15</v>
      </c>
      <c r="H795" s="6">
        <v>714</v>
      </c>
      <c r="I795">
        <v>1</v>
      </c>
      <c r="J795" s="6">
        <v>357</v>
      </c>
      <c r="K795">
        <v>1</v>
      </c>
      <c r="L795" s="6">
        <v>357</v>
      </c>
      <c r="M795" s="6">
        <v>236.36</v>
      </c>
      <c r="N795" s="6">
        <v>120.64</v>
      </c>
      <c r="O795" s="6">
        <v>34.11</v>
      </c>
      <c r="P795" s="6">
        <v>86.53</v>
      </c>
      <c r="Q795" t="s">
        <v>81</v>
      </c>
      <c r="R795" t="s">
        <v>86</v>
      </c>
      <c r="S795" t="s">
        <v>71</v>
      </c>
    </row>
    <row r="796" spans="1:19" x14ac:dyDescent="0.35">
      <c r="A796" t="s">
        <v>921</v>
      </c>
      <c r="B796" s="5">
        <v>45802</v>
      </c>
      <c r="C796" t="s">
        <v>88</v>
      </c>
      <c r="D796" t="s">
        <v>57</v>
      </c>
      <c r="E796">
        <v>8</v>
      </c>
      <c r="F796" s="6">
        <v>30</v>
      </c>
      <c r="G796" s="7">
        <v>10</v>
      </c>
      <c r="H796" s="6">
        <v>216</v>
      </c>
      <c r="I796">
        <v>0</v>
      </c>
      <c r="J796" s="6">
        <v>0</v>
      </c>
      <c r="K796">
        <v>8</v>
      </c>
      <c r="L796" s="6">
        <v>216</v>
      </c>
      <c r="M796" s="6">
        <v>150.05000000000001</v>
      </c>
      <c r="N796" s="6">
        <v>65.95</v>
      </c>
      <c r="O796" s="6">
        <v>25.46</v>
      </c>
      <c r="P796" s="6">
        <v>40.49</v>
      </c>
      <c r="Q796" t="s">
        <v>81</v>
      </c>
      <c r="R796" t="s">
        <v>66</v>
      </c>
      <c r="S796" t="s">
        <v>76</v>
      </c>
    </row>
    <row r="797" spans="1:19" x14ac:dyDescent="0.35">
      <c r="A797" t="s">
        <v>922</v>
      </c>
      <c r="B797" s="5">
        <v>45797</v>
      </c>
      <c r="C797" t="s">
        <v>78</v>
      </c>
      <c r="D797" t="s">
        <v>79</v>
      </c>
      <c r="E797">
        <v>3</v>
      </c>
      <c r="F797" s="6">
        <v>120</v>
      </c>
      <c r="G797" s="7">
        <v>0</v>
      </c>
      <c r="H797" s="6">
        <v>360</v>
      </c>
      <c r="I797">
        <v>0</v>
      </c>
      <c r="J797" s="6">
        <v>0</v>
      </c>
      <c r="K797">
        <v>3</v>
      </c>
      <c r="L797" s="6">
        <v>360</v>
      </c>
      <c r="M797" s="6">
        <v>237.39</v>
      </c>
      <c r="N797" s="6">
        <v>122.61</v>
      </c>
      <c r="O797" s="6">
        <v>41.91</v>
      </c>
      <c r="P797" s="6">
        <v>80.7</v>
      </c>
      <c r="Q797" t="s">
        <v>75</v>
      </c>
      <c r="R797" t="s">
        <v>366</v>
      </c>
      <c r="S797" t="s">
        <v>76</v>
      </c>
    </row>
    <row r="798" spans="1:19" x14ac:dyDescent="0.35">
      <c r="A798" t="s">
        <v>923</v>
      </c>
      <c r="B798" s="5">
        <v>45886</v>
      </c>
      <c r="C798" t="s">
        <v>88</v>
      </c>
      <c r="D798" t="s">
        <v>57</v>
      </c>
      <c r="E798">
        <v>3</v>
      </c>
      <c r="F798" s="6">
        <v>30</v>
      </c>
      <c r="G798" s="7">
        <v>2</v>
      </c>
      <c r="H798" s="6">
        <v>88.2</v>
      </c>
      <c r="I798">
        <v>0</v>
      </c>
      <c r="J798" s="6">
        <v>0</v>
      </c>
      <c r="K798">
        <v>3</v>
      </c>
      <c r="L798" s="6">
        <v>88.2</v>
      </c>
      <c r="M798" s="6">
        <v>65.81</v>
      </c>
      <c r="N798" s="6">
        <v>22.39</v>
      </c>
      <c r="O798" s="6">
        <v>8.51</v>
      </c>
      <c r="P798" s="6">
        <v>13.88</v>
      </c>
      <c r="Q798" t="s">
        <v>65</v>
      </c>
      <c r="R798" t="s">
        <v>82</v>
      </c>
      <c r="S798" t="s">
        <v>76</v>
      </c>
    </row>
    <row r="799" spans="1:19" x14ac:dyDescent="0.35">
      <c r="A799" t="s">
        <v>924</v>
      </c>
      <c r="B799" s="5">
        <v>45724</v>
      </c>
      <c r="C799" t="s">
        <v>125</v>
      </c>
      <c r="D799" t="s">
        <v>85</v>
      </c>
      <c r="E799">
        <v>1</v>
      </c>
      <c r="F799" s="6">
        <v>125</v>
      </c>
      <c r="G799" s="7">
        <v>2</v>
      </c>
      <c r="H799" s="6">
        <v>122.5</v>
      </c>
      <c r="I799">
        <v>0</v>
      </c>
      <c r="J799" s="6">
        <v>0</v>
      </c>
      <c r="K799">
        <v>1</v>
      </c>
      <c r="L799" s="6">
        <v>122.5</v>
      </c>
      <c r="M799" s="6">
        <v>94.93</v>
      </c>
      <c r="N799" s="6">
        <v>27.57</v>
      </c>
      <c r="O799" s="6">
        <v>13.31</v>
      </c>
      <c r="P799" s="6">
        <v>14.26</v>
      </c>
      <c r="Q799" t="s">
        <v>81</v>
      </c>
      <c r="R799" t="s">
        <v>66</v>
      </c>
      <c r="S799" t="s">
        <v>76</v>
      </c>
    </row>
    <row r="800" spans="1:19" x14ac:dyDescent="0.35">
      <c r="A800" t="s">
        <v>925</v>
      </c>
      <c r="B800" s="5">
        <v>45994</v>
      </c>
      <c r="C800" t="s">
        <v>125</v>
      </c>
      <c r="D800" t="s">
        <v>85</v>
      </c>
      <c r="E800">
        <v>5</v>
      </c>
      <c r="F800" s="6">
        <v>125</v>
      </c>
      <c r="G800" s="7">
        <v>0</v>
      </c>
      <c r="H800" s="6">
        <v>625</v>
      </c>
      <c r="I800">
        <v>0</v>
      </c>
      <c r="J800" s="6">
        <v>0</v>
      </c>
      <c r="K800">
        <v>5</v>
      </c>
      <c r="L800" s="6">
        <v>625</v>
      </c>
      <c r="M800" s="6">
        <v>484.81</v>
      </c>
      <c r="N800" s="6">
        <v>140.19</v>
      </c>
      <c r="O800" s="6">
        <v>62.94</v>
      </c>
      <c r="P800" s="6">
        <v>77.25</v>
      </c>
      <c r="Q800" t="s">
        <v>81</v>
      </c>
      <c r="R800" t="s">
        <v>86</v>
      </c>
      <c r="S800" t="s">
        <v>61</v>
      </c>
    </row>
    <row r="801" spans="1:19" x14ac:dyDescent="0.35">
      <c r="A801" t="s">
        <v>926</v>
      </c>
      <c r="B801" s="5">
        <v>45780</v>
      </c>
      <c r="C801" t="s">
        <v>121</v>
      </c>
      <c r="D801" t="s">
        <v>70</v>
      </c>
      <c r="E801">
        <v>3</v>
      </c>
      <c r="F801" s="6">
        <v>110</v>
      </c>
      <c r="G801" s="7">
        <v>0</v>
      </c>
      <c r="H801" s="6">
        <v>330</v>
      </c>
      <c r="I801">
        <v>0</v>
      </c>
      <c r="J801" s="6">
        <v>0</v>
      </c>
      <c r="K801">
        <v>3</v>
      </c>
      <c r="L801" s="6">
        <v>330</v>
      </c>
      <c r="M801" s="6">
        <v>239.5</v>
      </c>
      <c r="N801" s="6">
        <v>90.5</v>
      </c>
      <c r="O801" s="6">
        <v>34.56</v>
      </c>
      <c r="P801" s="6">
        <v>55.94</v>
      </c>
      <c r="Q801" t="s">
        <v>81</v>
      </c>
      <c r="R801" t="s">
        <v>66</v>
      </c>
      <c r="S801" t="s">
        <v>71</v>
      </c>
    </row>
    <row r="802" spans="1:19" x14ac:dyDescent="0.35">
      <c r="A802" t="s">
        <v>927</v>
      </c>
      <c r="B802" s="5">
        <v>45762</v>
      </c>
      <c r="C802" t="s">
        <v>104</v>
      </c>
      <c r="D802" t="s">
        <v>105</v>
      </c>
      <c r="E802">
        <v>8</v>
      </c>
      <c r="F802" s="6">
        <v>65</v>
      </c>
      <c r="G802" s="7">
        <v>2</v>
      </c>
      <c r="H802" s="6">
        <v>509.6</v>
      </c>
      <c r="I802">
        <v>8</v>
      </c>
      <c r="J802" s="6">
        <v>509.6</v>
      </c>
      <c r="K802">
        <v>0</v>
      </c>
      <c r="L802" s="6">
        <v>0</v>
      </c>
      <c r="M802" s="6">
        <v>0</v>
      </c>
      <c r="N802" s="6">
        <v>0</v>
      </c>
      <c r="O802" s="6">
        <v>0</v>
      </c>
      <c r="P802" s="6">
        <v>0</v>
      </c>
      <c r="Q802" t="s">
        <v>65</v>
      </c>
      <c r="R802" t="s">
        <v>82</v>
      </c>
      <c r="S802" t="s">
        <v>76</v>
      </c>
    </row>
    <row r="803" spans="1:19" x14ac:dyDescent="0.35">
      <c r="A803" t="s">
        <v>928</v>
      </c>
      <c r="B803" s="5">
        <v>45753</v>
      </c>
      <c r="C803" t="s">
        <v>69</v>
      </c>
      <c r="D803" t="s">
        <v>70</v>
      </c>
      <c r="E803">
        <v>1</v>
      </c>
      <c r="F803" s="6">
        <v>210</v>
      </c>
      <c r="G803" s="7">
        <v>0</v>
      </c>
      <c r="H803" s="6">
        <v>210</v>
      </c>
      <c r="I803">
        <v>0</v>
      </c>
      <c r="J803" s="6">
        <v>0</v>
      </c>
      <c r="K803">
        <v>1</v>
      </c>
      <c r="L803" s="6">
        <v>210</v>
      </c>
      <c r="M803" s="6">
        <v>136.53</v>
      </c>
      <c r="N803" s="6">
        <v>73.47</v>
      </c>
      <c r="O803" s="6">
        <v>25.38</v>
      </c>
      <c r="P803" s="6">
        <v>48.09</v>
      </c>
      <c r="Q803" t="s">
        <v>75</v>
      </c>
      <c r="R803" t="s">
        <v>60</v>
      </c>
      <c r="S803" t="s">
        <v>71</v>
      </c>
    </row>
    <row r="804" spans="1:19" x14ac:dyDescent="0.35">
      <c r="A804" t="s">
        <v>929</v>
      </c>
      <c r="B804" s="5">
        <v>45839</v>
      </c>
      <c r="C804" t="s">
        <v>73</v>
      </c>
      <c r="D804" t="s">
        <v>74</v>
      </c>
      <c r="E804">
        <v>3</v>
      </c>
      <c r="F804" s="6">
        <v>280</v>
      </c>
      <c r="G804" s="7">
        <v>15</v>
      </c>
      <c r="H804" s="6">
        <v>714</v>
      </c>
      <c r="I804">
        <v>0</v>
      </c>
      <c r="J804" s="6">
        <v>0</v>
      </c>
      <c r="K804">
        <v>3</v>
      </c>
      <c r="L804" s="6">
        <v>714</v>
      </c>
      <c r="M804" s="6">
        <v>522.41</v>
      </c>
      <c r="N804" s="6">
        <v>191.59</v>
      </c>
      <c r="O804" s="6">
        <v>50.68</v>
      </c>
      <c r="P804" s="6">
        <v>140.91</v>
      </c>
      <c r="Q804" t="s">
        <v>75</v>
      </c>
      <c r="R804" t="s">
        <v>82</v>
      </c>
      <c r="S804" t="s">
        <v>67</v>
      </c>
    </row>
    <row r="805" spans="1:19" x14ac:dyDescent="0.35">
      <c r="A805" t="s">
        <v>930</v>
      </c>
      <c r="B805" s="5">
        <v>45841</v>
      </c>
      <c r="C805" t="s">
        <v>78</v>
      </c>
      <c r="D805" t="s">
        <v>79</v>
      </c>
      <c r="E805">
        <v>2</v>
      </c>
      <c r="F805" s="6">
        <v>120</v>
      </c>
      <c r="G805" s="7">
        <v>5</v>
      </c>
      <c r="H805" s="6">
        <v>228</v>
      </c>
      <c r="I805">
        <v>0</v>
      </c>
      <c r="J805" s="6">
        <v>0</v>
      </c>
      <c r="K805">
        <v>2</v>
      </c>
      <c r="L805" s="6">
        <v>228</v>
      </c>
      <c r="M805" s="6">
        <v>168.33</v>
      </c>
      <c r="N805" s="6">
        <v>59.67</v>
      </c>
      <c r="O805" s="6">
        <v>24.8</v>
      </c>
      <c r="P805" s="6">
        <v>34.869999999999997</v>
      </c>
      <c r="Q805" t="s">
        <v>75</v>
      </c>
      <c r="R805" t="s">
        <v>86</v>
      </c>
      <c r="S805" t="s">
        <v>67</v>
      </c>
    </row>
    <row r="806" spans="1:19" x14ac:dyDescent="0.35">
      <c r="A806" t="s">
        <v>931</v>
      </c>
      <c r="B806" s="5">
        <v>45703</v>
      </c>
      <c r="C806" t="s">
        <v>109</v>
      </c>
      <c r="D806" t="s">
        <v>85</v>
      </c>
      <c r="E806">
        <v>3</v>
      </c>
      <c r="F806" s="6">
        <v>180</v>
      </c>
      <c r="G806" s="7">
        <v>2</v>
      </c>
      <c r="H806" s="6">
        <v>529.20000000000005</v>
      </c>
      <c r="I806">
        <v>0</v>
      </c>
      <c r="J806" s="6">
        <v>0</v>
      </c>
      <c r="K806">
        <v>3</v>
      </c>
      <c r="L806" s="6">
        <v>529.20000000000005</v>
      </c>
      <c r="M806" s="6">
        <v>342.68</v>
      </c>
      <c r="N806" s="6">
        <v>186.52</v>
      </c>
      <c r="O806" s="6">
        <v>48.88</v>
      </c>
      <c r="P806" s="6">
        <v>137.63999999999999</v>
      </c>
      <c r="Q806" t="s">
        <v>81</v>
      </c>
      <c r="R806" t="s">
        <v>86</v>
      </c>
      <c r="S806" t="s">
        <v>61</v>
      </c>
    </row>
    <row r="807" spans="1:19" x14ac:dyDescent="0.35">
      <c r="A807" t="s">
        <v>932</v>
      </c>
      <c r="B807" s="5">
        <v>45944</v>
      </c>
      <c r="C807" t="s">
        <v>104</v>
      </c>
      <c r="D807" t="s">
        <v>105</v>
      </c>
      <c r="E807">
        <v>1</v>
      </c>
      <c r="F807" s="6">
        <v>65</v>
      </c>
      <c r="G807" s="7">
        <v>2</v>
      </c>
      <c r="H807" s="6">
        <v>63.7</v>
      </c>
      <c r="I807">
        <v>0</v>
      </c>
      <c r="J807" s="6">
        <v>0</v>
      </c>
      <c r="K807">
        <v>1</v>
      </c>
      <c r="L807" s="6">
        <v>63.7</v>
      </c>
      <c r="M807" s="6">
        <v>47.74</v>
      </c>
      <c r="N807" s="6">
        <v>15.96</v>
      </c>
      <c r="O807" s="6">
        <v>5.65</v>
      </c>
      <c r="P807" s="6">
        <v>10.31</v>
      </c>
      <c r="Q807" t="s">
        <v>59</v>
      </c>
      <c r="R807" t="s">
        <v>82</v>
      </c>
      <c r="S807" t="s">
        <v>61</v>
      </c>
    </row>
    <row r="808" spans="1:19" x14ac:dyDescent="0.35">
      <c r="A808" t="s">
        <v>933</v>
      </c>
      <c r="B808" s="5">
        <v>45775</v>
      </c>
      <c r="C808" t="s">
        <v>100</v>
      </c>
      <c r="D808" t="s">
        <v>64</v>
      </c>
      <c r="E808">
        <v>1</v>
      </c>
      <c r="F808" s="6">
        <v>310</v>
      </c>
      <c r="G808" s="7">
        <v>0</v>
      </c>
      <c r="H808" s="6">
        <v>310</v>
      </c>
      <c r="I808">
        <v>0</v>
      </c>
      <c r="J808" s="6">
        <v>0</v>
      </c>
      <c r="K808">
        <v>1</v>
      </c>
      <c r="L808" s="6">
        <v>310</v>
      </c>
      <c r="M808" s="6">
        <v>194.64</v>
      </c>
      <c r="N808" s="6">
        <v>115.36</v>
      </c>
      <c r="O808" s="6">
        <v>30.4</v>
      </c>
      <c r="P808" s="6">
        <v>84.96</v>
      </c>
      <c r="Q808" t="s">
        <v>75</v>
      </c>
      <c r="R808" t="s">
        <v>66</v>
      </c>
      <c r="S808" t="s">
        <v>76</v>
      </c>
    </row>
    <row r="809" spans="1:19" x14ac:dyDescent="0.35">
      <c r="A809" t="s">
        <v>934</v>
      </c>
      <c r="B809" s="5">
        <v>46012</v>
      </c>
      <c r="C809" t="s">
        <v>109</v>
      </c>
      <c r="D809" t="s">
        <v>85</v>
      </c>
      <c r="E809">
        <v>4</v>
      </c>
      <c r="F809" s="6">
        <v>180</v>
      </c>
      <c r="G809" s="7">
        <v>15</v>
      </c>
      <c r="H809" s="6">
        <v>612</v>
      </c>
      <c r="I809">
        <v>0</v>
      </c>
      <c r="J809" s="6">
        <v>0</v>
      </c>
      <c r="K809">
        <v>4</v>
      </c>
      <c r="L809" s="6">
        <v>612</v>
      </c>
      <c r="M809" s="6">
        <v>480.95</v>
      </c>
      <c r="N809" s="6">
        <v>131.05000000000001</v>
      </c>
      <c r="O809" s="6">
        <v>77.02</v>
      </c>
      <c r="P809" s="6">
        <v>54.03</v>
      </c>
      <c r="Q809" t="s">
        <v>65</v>
      </c>
      <c r="R809" t="s">
        <v>86</v>
      </c>
      <c r="S809" t="s">
        <v>71</v>
      </c>
    </row>
    <row r="810" spans="1:19" x14ac:dyDescent="0.35">
      <c r="A810" t="s">
        <v>935</v>
      </c>
      <c r="B810" s="5">
        <v>45924</v>
      </c>
      <c r="C810" t="s">
        <v>90</v>
      </c>
      <c r="D810" t="s">
        <v>70</v>
      </c>
      <c r="E810">
        <v>3</v>
      </c>
      <c r="F810" s="6">
        <v>38</v>
      </c>
      <c r="G810" s="7">
        <v>0</v>
      </c>
      <c r="H810" s="6">
        <v>114</v>
      </c>
      <c r="I810">
        <v>0</v>
      </c>
      <c r="J810" s="6">
        <v>0</v>
      </c>
      <c r="K810">
        <v>3</v>
      </c>
      <c r="L810" s="6">
        <v>114</v>
      </c>
      <c r="M810" s="6">
        <v>96.24</v>
      </c>
      <c r="N810" s="6">
        <v>17.760000000000002</v>
      </c>
      <c r="O810" s="6">
        <v>11.7</v>
      </c>
      <c r="P810" s="6">
        <v>6.06</v>
      </c>
      <c r="Q810" t="s">
        <v>81</v>
      </c>
      <c r="R810" t="s">
        <v>82</v>
      </c>
      <c r="S810" t="s">
        <v>76</v>
      </c>
    </row>
    <row r="811" spans="1:19" x14ac:dyDescent="0.35">
      <c r="A811" t="s">
        <v>936</v>
      </c>
      <c r="B811" s="5">
        <v>45870</v>
      </c>
      <c r="C811" t="s">
        <v>97</v>
      </c>
      <c r="D811" t="s">
        <v>57</v>
      </c>
      <c r="E811">
        <v>4</v>
      </c>
      <c r="F811" s="6">
        <v>55</v>
      </c>
      <c r="G811" s="7">
        <v>10</v>
      </c>
      <c r="H811" s="6">
        <v>198</v>
      </c>
      <c r="I811">
        <v>0</v>
      </c>
      <c r="J811" s="6">
        <v>0</v>
      </c>
      <c r="K811">
        <v>4</v>
      </c>
      <c r="L811" s="6">
        <v>198</v>
      </c>
      <c r="M811" s="6">
        <v>147.33000000000001</v>
      </c>
      <c r="N811" s="6">
        <v>50.67</v>
      </c>
      <c r="O811" s="6">
        <v>18.27</v>
      </c>
      <c r="P811" s="6">
        <v>32.4</v>
      </c>
      <c r="Q811" t="s">
        <v>65</v>
      </c>
      <c r="R811" t="s">
        <v>60</v>
      </c>
      <c r="S811" t="s">
        <v>76</v>
      </c>
    </row>
    <row r="812" spans="1:19" x14ac:dyDescent="0.35">
      <c r="A812" t="s">
        <v>937</v>
      </c>
      <c r="B812" s="5">
        <v>45837</v>
      </c>
      <c r="C812" t="s">
        <v>78</v>
      </c>
      <c r="D812" t="s">
        <v>79</v>
      </c>
      <c r="E812">
        <v>2</v>
      </c>
      <c r="F812" s="6">
        <v>120</v>
      </c>
      <c r="G812" s="7">
        <v>0</v>
      </c>
      <c r="H812" s="6">
        <v>240</v>
      </c>
      <c r="I812">
        <v>0</v>
      </c>
      <c r="J812" s="6">
        <v>0</v>
      </c>
      <c r="K812">
        <v>2</v>
      </c>
      <c r="L812" s="6">
        <v>240</v>
      </c>
      <c r="M812" s="6">
        <v>204.7</v>
      </c>
      <c r="N812" s="6">
        <v>35.299999999999997</v>
      </c>
      <c r="O812" s="6">
        <v>17.16</v>
      </c>
      <c r="P812" s="6">
        <v>18.14</v>
      </c>
      <c r="Q812" t="s">
        <v>65</v>
      </c>
      <c r="R812" t="s">
        <v>60</v>
      </c>
      <c r="S812" t="s">
        <v>76</v>
      </c>
    </row>
    <row r="813" spans="1:19" x14ac:dyDescent="0.35">
      <c r="A813" t="s">
        <v>938</v>
      </c>
      <c r="B813" s="5">
        <v>45934</v>
      </c>
      <c r="C813" t="s">
        <v>107</v>
      </c>
      <c r="D813" t="s">
        <v>74</v>
      </c>
      <c r="E813">
        <v>2</v>
      </c>
      <c r="F813" s="6">
        <v>125</v>
      </c>
      <c r="G813" s="7">
        <v>0</v>
      </c>
      <c r="H813" s="6">
        <v>250</v>
      </c>
      <c r="I813">
        <v>0</v>
      </c>
      <c r="J813" s="6">
        <v>0</v>
      </c>
      <c r="K813">
        <v>2</v>
      </c>
      <c r="L813" s="6">
        <v>250</v>
      </c>
      <c r="M813" s="6">
        <v>197.36</v>
      </c>
      <c r="N813" s="6">
        <v>52.64</v>
      </c>
      <c r="O813" s="6">
        <v>20.27</v>
      </c>
      <c r="P813" s="6">
        <v>32.369999999999997</v>
      </c>
      <c r="Q813" t="s">
        <v>75</v>
      </c>
      <c r="R813" t="s">
        <v>86</v>
      </c>
      <c r="S813" t="s">
        <v>61</v>
      </c>
    </row>
    <row r="814" spans="1:19" x14ac:dyDescent="0.35">
      <c r="A814" t="s">
        <v>939</v>
      </c>
      <c r="B814" s="5">
        <v>45668</v>
      </c>
      <c r="C814" t="s">
        <v>56</v>
      </c>
      <c r="D814" t="s">
        <v>57</v>
      </c>
      <c r="E814">
        <v>2</v>
      </c>
      <c r="F814" s="6">
        <v>40</v>
      </c>
      <c r="G814" s="7">
        <v>5</v>
      </c>
      <c r="H814" s="6">
        <v>76</v>
      </c>
      <c r="I814">
        <v>0</v>
      </c>
      <c r="J814" s="6">
        <v>0</v>
      </c>
      <c r="K814">
        <v>2</v>
      </c>
      <c r="L814" s="6">
        <v>76</v>
      </c>
      <c r="M814" s="6">
        <v>50.79</v>
      </c>
      <c r="N814" s="6">
        <v>25.21</v>
      </c>
      <c r="O814" s="6">
        <v>6.68</v>
      </c>
      <c r="P814" s="6">
        <v>18.53</v>
      </c>
      <c r="Q814" t="s">
        <v>75</v>
      </c>
      <c r="R814" t="s">
        <v>86</v>
      </c>
      <c r="S814" t="s">
        <v>76</v>
      </c>
    </row>
    <row r="815" spans="1:19" x14ac:dyDescent="0.35">
      <c r="A815" t="s">
        <v>940</v>
      </c>
      <c r="B815" s="5">
        <v>45737</v>
      </c>
      <c r="C815" t="s">
        <v>63</v>
      </c>
      <c r="D815" t="s">
        <v>64</v>
      </c>
      <c r="E815">
        <v>5</v>
      </c>
      <c r="F815" s="6">
        <v>145</v>
      </c>
      <c r="G815" s="7">
        <v>10</v>
      </c>
      <c r="H815" s="6">
        <v>652.5</v>
      </c>
      <c r="I815">
        <v>0</v>
      </c>
      <c r="J815" s="6">
        <v>0</v>
      </c>
      <c r="K815">
        <v>5</v>
      </c>
      <c r="L815" s="6">
        <v>652.5</v>
      </c>
      <c r="M815" s="6">
        <v>538.37</v>
      </c>
      <c r="N815" s="6">
        <v>114.13</v>
      </c>
      <c r="O815" s="6">
        <v>35.36</v>
      </c>
      <c r="P815" s="6">
        <v>78.77</v>
      </c>
      <c r="Q815" t="s">
        <v>75</v>
      </c>
      <c r="R815" t="s">
        <v>86</v>
      </c>
      <c r="S815" t="s">
        <v>71</v>
      </c>
    </row>
    <row r="816" spans="1:19" x14ac:dyDescent="0.35">
      <c r="A816" t="s">
        <v>941</v>
      </c>
      <c r="B816" s="5">
        <v>45970</v>
      </c>
      <c r="C816" t="s">
        <v>56</v>
      </c>
      <c r="D816" t="s">
        <v>57</v>
      </c>
      <c r="E816">
        <v>1</v>
      </c>
      <c r="F816" s="6">
        <v>40</v>
      </c>
      <c r="G816" s="7">
        <v>10</v>
      </c>
      <c r="H816" s="6">
        <v>36</v>
      </c>
      <c r="I816">
        <v>0</v>
      </c>
      <c r="J816" s="6">
        <v>0</v>
      </c>
      <c r="K816">
        <v>1</v>
      </c>
      <c r="L816" s="6">
        <v>36</v>
      </c>
      <c r="M816" s="6">
        <v>27.77</v>
      </c>
      <c r="N816" s="6">
        <v>8.23</v>
      </c>
      <c r="O816" s="6">
        <v>2.4</v>
      </c>
      <c r="P816" s="6">
        <v>5.83</v>
      </c>
      <c r="Q816" t="s">
        <v>59</v>
      </c>
      <c r="R816" t="s">
        <v>82</v>
      </c>
      <c r="S816" t="s">
        <v>76</v>
      </c>
    </row>
    <row r="817" spans="1:19" x14ac:dyDescent="0.35">
      <c r="A817" t="s">
        <v>942</v>
      </c>
      <c r="B817" s="5">
        <v>45781</v>
      </c>
      <c r="C817" t="s">
        <v>63</v>
      </c>
      <c r="D817" t="s">
        <v>64</v>
      </c>
      <c r="E817">
        <v>1</v>
      </c>
      <c r="F817" s="6">
        <v>145</v>
      </c>
      <c r="G817" s="7">
        <v>5</v>
      </c>
      <c r="H817" s="6">
        <v>137.75</v>
      </c>
      <c r="I817">
        <v>0</v>
      </c>
      <c r="J817" s="6">
        <v>0</v>
      </c>
      <c r="K817">
        <v>1</v>
      </c>
      <c r="L817" s="6">
        <v>137.75</v>
      </c>
      <c r="M817" s="6">
        <v>91.58</v>
      </c>
      <c r="N817" s="6">
        <v>46.17</v>
      </c>
      <c r="O817" s="6">
        <v>17.89</v>
      </c>
      <c r="P817" s="6">
        <v>28.28</v>
      </c>
      <c r="Q817" t="s">
        <v>59</v>
      </c>
      <c r="R817" t="s">
        <v>60</v>
      </c>
      <c r="S817" t="s">
        <v>71</v>
      </c>
    </row>
    <row r="818" spans="1:19" x14ac:dyDescent="0.35">
      <c r="A818" t="s">
        <v>943</v>
      </c>
      <c r="B818" s="5">
        <v>45728</v>
      </c>
      <c r="C818" t="s">
        <v>88</v>
      </c>
      <c r="D818" t="s">
        <v>57</v>
      </c>
      <c r="E818">
        <v>5</v>
      </c>
      <c r="F818" s="6">
        <v>30</v>
      </c>
      <c r="G818" s="7">
        <v>2</v>
      </c>
      <c r="H818" s="6">
        <v>147</v>
      </c>
      <c r="I818">
        <v>0</v>
      </c>
      <c r="J818" s="6">
        <v>0</v>
      </c>
      <c r="K818">
        <v>5</v>
      </c>
      <c r="L818" s="6">
        <v>147</v>
      </c>
      <c r="M818" s="6">
        <v>122.95</v>
      </c>
      <c r="N818" s="6">
        <v>24.05</v>
      </c>
      <c r="O818" s="6">
        <v>7.46</v>
      </c>
      <c r="P818" s="6">
        <v>16.59</v>
      </c>
      <c r="Q818" t="s">
        <v>75</v>
      </c>
      <c r="R818" t="s">
        <v>60</v>
      </c>
      <c r="S818" t="s">
        <v>76</v>
      </c>
    </row>
    <row r="819" spans="1:19" x14ac:dyDescent="0.35">
      <c r="A819" t="s">
        <v>944</v>
      </c>
      <c r="B819" s="5">
        <v>45970</v>
      </c>
      <c r="C819" t="s">
        <v>109</v>
      </c>
      <c r="D819" t="s">
        <v>85</v>
      </c>
      <c r="E819">
        <v>3</v>
      </c>
      <c r="F819" s="6">
        <v>180</v>
      </c>
      <c r="G819" s="7">
        <v>0</v>
      </c>
      <c r="H819" s="6">
        <v>540</v>
      </c>
      <c r="I819">
        <v>0</v>
      </c>
      <c r="J819" s="6">
        <v>0</v>
      </c>
      <c r="K819">
        <v>3</v>
      </c>
      <c r="L819" s="6">
        <v>540</v>
      </c>
      <c r="M819" s="6">
        <v>427.41</v>
      </c>
      <c r="N819" s="6">
        <v>112.59</v>
      </c>
      <c r="O819" s="6">
        <v>68.930000000000007</v>
      </c>
      <c r="P819" s="6">
        <v>43.66</v>
      </c>
      <c r="Q819" t="s">
        <v>75</v>
      </c>
      <c r="R819" t="s">
        <v>66</v>
      </c>
      <c r="S819" t="s">
        <v>61</v>
      </c>
    </row>
    <row r="820" spans="1:19" x14ac:dyDescent="0.35">
      <c r="A820" t="s">
        <v>945</v>
      </c>
      <c r="B820" s="5">
        <v>45796</v>
      </c>
      <c r="C820" t="s">
        <v>671</v>
      </c>
      <c r="D820" t="s">
        <v>57</v>
      </c>
      <c r="E820">
        <v>10</v>
      </c>
      <c r="F820" s="6">
        <v>40</v>
      </c>
      <c r="G820" s="7">
        <v>2</v>
      </c>
      <c r="H820" s="6">
        <v>392</v>
      </c>
      <c r="I820">
        <v>0</v>
      </c>
      <c r="J820" s="6">
        <v>0</v>
      </c>
      <c r="K820">
        <v>10</v>
      </c>
      <c r="L820" s="6">
        <v>392</v>
      </c>
      <c r="M820" s="6">
        <v>306.26</v>
      </c>
      <c r="N820" s="6">
        <v>85.74</v>
      </c>
      <c r="O820" s="6">
        <v>42.92</v>
      </c>
      <c r="P820" s="6">
        <v>42.82</v>
      </c>
      <c r="Q820" t="s">
        <v>75</v>
      </c>
      <c r="R820" t="s">
        <v>66</v>
      </c>
      <c r="S820" t="s">
        <v>67</v>
      </c>
    </row>
    <row r="821" spans="1:19" x14ac:dyDescent="0.35">
      <c r="A821" t="s">
        <v>946</v>
      </c>
      <c r="B821" s="5">
        <v>45750</v>
      </c>
      <c r="C821" t="s">
        <v>125</v>
      </c>
      <c r="D821" t="s">
        <v>85</v>
      </c>
      <c r="E821">
        <v>3</v>
      </c>
      <c r="F821" s="6">
        <v>125</v>
      </c>
      <c r="G821" s="7">
        <v>0</v>
      </c>
      <c r="H821" s="6">
        <v>375</v>
      </c>
      <c r="I821">
        <v>0</v>
      </c>
      <c r="J821" s="6">
        <v>0</v>
      </c>
      <c r="K821">
        <v>3</v>
      </c>
      <c r="L821" s="6">
        <v>375</v>
      </c>
      <c r="M821" s="6">
        <v>300.99</v>
      </c>
      <c r="N821" s="6">
        <v>74.010000000000005</v>
      </c>
      <c r="O821" s="6">
        <v>29.74</v>
      </c>
      <c r="P821" s="6">
        <v>44.27</v>
      </c>
      <c r="Q821" t="s">
        <v>65</v>
      </c>
      <c r="R821" t="s">
        <v>66</v>
      </c>
      <c r="S821" t="s">
        <v>71</v>
      </c>
    </row>
    <row r="822" spans="1:19" x14ac:dyDescent="0.35">
      <c r="A822" t="s">
        <v>947</v>
      </c>
      <c r="B822" s="5">
        <v>45806</v>
      </c>
      <c r="C822" t="s">
        <v>107</v>
      </c>
      <c r="D822" t="s">
        <v>74</v>
      </c>
      <c r="E822">
        <v>2</v>
      </c>
      <c r="F822" s="6">
        <v>125</v>
      </c>
      <c r="G822" s="7">
        <v>0</v>
      </c>
      <c r="H822" s="6">
        <v>250</v>
      </c>
      <c r="I822">
        <v>0</v>
      </c>
      <c r="J822" s="6">
        <v>0</v>
      </c>
      <c r="K822">
        <v>2</v>
      </c>
      <c r="L822" s="6">
        <v>250</v>
      </c>
      <c r="M822" s="6">
        <v>189.62</v>
      </c>
      <c r="N822" s="6">
        <v>60.38</v>
      </c>
      <c r="O822" s="6">
        <v>19.62</v>
      </c>
      <c r="P822" s="6">
        <v>40.76</v>
      </c>
      <c r="Q822" t="s">
        <v>75</v>
      </c>
      <c r="R822" t="s">
        <v>82</v>
      </c>
      <c r="S822" t="s">
        <v>67</v>
      </c>
    </row>
    <row r="823" spans="1:19" x14ac:dyDescent="0.35">
      <c r="A823" t="s">
        <v>948</v>
      </c>
      <c r="B823" s="5">
        <v>45929</v>
      </c>
      <c r="C823" t="s">
        <v>56</v>
      </c>
      <c r="D823" t="s">
        <v>57</v>
      </c>
      <c r="E823">
        <v>1</v>
      </c>
      <c r="F823" s="6">
        <v>40</v>
      </c>
      <c r="G823" s="7">
        <v>0</v>
      </c>
      <c r="H823" s="6">
        <v>40</v>
      </c>
      <c r="I823">
        <v>0</v>
      </c>
      <c r="J823" s="6">
        <v>0</v>
      </c>
      <c r="K823">
        <v>1</v>
      </c>
      <c r="L823" s="6">
        <v>40</v>
      </c>
      <c r="M823" s="6">
        <v>33.26</v>
      </c>
      <c r="N823" s="6">
        <v>6.74</v>
      </c>
      <c r="O823" s="6">
        <v>4.26</v>
      </c>
      <c r="P823" s="6">
        <v>2.48</v>
      </c>
      <c r="Q823" t="s">
        <v>65</v>
      </c>
      <c r="R823" t="s">
        <v>86</v>
      </c>
      <c r="S823" t="s">
        <v>67</v>
      </c>
    </row>
    <row r="824" spans="1:19" x14ac:dyDescent="0.35">
      <c r="A824" t="s">
        <v>949</v>
      </c>
      <c r="B824" s="5">
        <v>45807</v>
      </c>
      <c r="C824" t="s">
        <v>88</v>
      </c>
      <c r="D824" t="s">
        <v>57</v>
      </c>
      <c r="E824">
        <v>3</v>
      </c>
      <c r="F824" s="6">
        <v>30</v>
      </c>
      <c r="G824" s="7">
        <v>10</v>
      </c>
      <c r="H824" s="6">
        <v>81</v>
      </c>
      <c r="I824">
        <v>0</v>
      </c>
      <c r="J824" s="6">
        <v>0</v>
      </c>
      <c r="K824">
        <v>3</v>
      </c>
      <c r="L824" s="6">
        <v>81</v>
      </c>
      <c r="M824" s="6">
        <v>68.53</v>
      </c>
      <c r="N824" s="6">
        <v>12.47</v>
      </c>
      <c r="O824" s="6">
        <v>4.6100000000000003</v>
      </c>
      <c r="P824" s="6">
        <v>7.86</v>
      </c>
      <c r="Q824" t="s">
        <v>81</v>
      </c>
      <c r="R824" t="s">
        <v>66</v>
      </c>
      <c r="S824" t="s">
        <v>76</v>
      </c>
    </row>
    <row r="825" spans="1:19" x14ac:dyDescent="0.35">
      <c r="A825" t="s">
        <v>950</v>
      </c>
      <c r="B825" s="5">
        <v>45896</v>
      </c>
      <c r="C825" t="s">
        <v>90</v>
      </c>
      <c r="D825" t="s">
        <v>70</v>
      </c>
      <c r="E825">
        <v>1</v>
      </c>
      <c r="F825" s="6">
        <v>38</v>
      </c>
      <c r="G825" s="7">
        <v>0</v>
      </c>
      <c r="H825" s="6">
        <v>38</v>
      </c>
      <c r="I825">
        <v>0</v>
      </c>
      <c r="J825" s="6">
        <v>0</v>
      </c>
      <c r="K825">
        <v>1</v>
      </c>
      <c r="L825" s="6">
        <v>38</v>
      </c>
      <c r="M825" s="6">
        <v>30.77</v>
      </c>
      <c r="N825" s="6">
        <v>7.23</v>
      </c>
      <c r="O825" s="6">
        <v>2.82</v>
      </c>
      <c r="P825" s="6">
        <v>4.41</v>
      </c>
      <c r="Q825" t="s">
        <v>59</v>
      </c>
      <c r="R825" t="s">
        <v>60</v>
      </c>
      <c r="S825" t="s">
        <v>67</v>
      </c>
    </row>
    <row r="826" spans="1:19" x14ac:dyDescent="0.35">
      <c r="A826" t="s">
        <v>951</v>
      </c>
      <c r="B826" s="5">
        <v>45834</v>
      </c>
      <c r="C826" t="s">
        <v>95</v>
      </c>
      <c r="D826" t="s">
        <v>64</v>
      </c>
      <c r="E826">
        <v>2</v>
      </c>
      <c r="F826" s="6">
        <v>52</v>
      </c>
      <c r="G826" s="7">
        <v>0</v>
      </c>
      <c r="H826" s="6">
        <v>104</v>
      </c>
      <c r="I826">
        <v>0</v>
      </c>
      <c r="J826" s="6">
        <v>0</v>
      </c>
      <c r="K826">
        <v>2</v>
      </c>
      <c r="L826" s="6">
        <v>104</v>
      </c>
      <c r="M826" s="6">
        <v>70.77</v>
      </c>
      <c r="N826" s="6">
        <v>33.229999999999997</v>
      </c>
      <c r="O826" s="6">
        <v>10.039999999999999</v>
      </c>
      <c r="P826" s="6">
        <v>23.19</v>
      </c>
      <c r="Q826" t="s">
        <v>75</v>
      </c>
      <c r="R826" t="s">
        <v>66</v>
      </c>
      <c r="S826" t="s">
        <v>76</v>
      </c>
    </row>
    <row r="827" spans="1:19" x14ac:dyDescent="0.35">
      <c r="A827" t="s">
        <v>952</v>
      </c>
      <c r="B827" s="5">
        <v>46013</v>
      </c>
      <c r="C827" t="s">
        <v>104</v>
      </c>
      <c r="D827" t="s">
        <v>105</v>
      </c>
      <c r="E827">
        <v>1</v>
      </c>
      <c r="F827" s="6">
        <v>65</v>
      </c>
      <c r="G827" s="7">
        <v>0</v>
      </c>
      <c r="H827" s="6">
        <v>65</v>
      </c>
      <c r="I827">
        <v>0</v>
      </c>
      <c r="J827" s="6">
        <v>0</v>
      </c>
      <c r="K827">
        <v>1</v>
      </c>
      <c r="L827" s="6">
        <v>65</v>
      </c>
      <c r="M827" s="6">
        <v>47.71</v>
      </c>
      <c r="N827" s="6">
        <v>17.29</v>
      </c>
      <c r="O827" s="6">
        <v>7.51</v>
      </c>
      <c r="P827" s="6">
        <v>9.7799999999999994</v>
      </c>
      <c r="Q827" t="s">
        <v>65</v>
      </c>
      <c r="R827" t="s">
        <v>86</v>
      </c>
      <c r="S827" t="s">
        <v>76</v>
      </c>
    </row>
    <row r="828" spans="1:19" x14ac:dyDescent="0.35">
      <c r="A828" t="s">
        <v>953</v>
      </c>
      <c r="B828" s="5">
        <v>45736</v>
      </c>
      <c r="C828" t="s">
        <v>90</v>
      </c>
      <c r="D828" t="s">
        <v>70</v>
      </c>
      <c r="E828">
        <v>1</v>
      </c>
      <c r="F828" s="6">
        <v>38</v>
      </c>
      <c r="G828" s="7">
        <v>2</v>
      </c>
      <c r="H828" s="6">
        <v>37.24</v>
      </c>
      <c r="I828">
        <v>0</v>
      </c>
      <c r="J828" s="6">
        <v>0</v>
      </c>
      <c r="K828">
        <v>1</v>
      </c>
      <c r="L828" s="6">
        <v>37.24</v>
      </c>
      <c r="M828" s="6">
        <v>27.83</v>
      </c>
      <c r="N828" s="6">
        <v>9.41</v>
      </c>
      <c r="O828" s="6">
        <v>3.62</v>
      </c>
      <c r="P828" s="6">
        <v>5.79</v>
      </c>
      <c r="Q828" t="s">
        <v>81</v>
      </c>
      <c r="R828" t="s">
        <v>86</v>
      </c>
      <c r="S828" t="s">
        <v>76</v>
      </c>
    </row>
    <row r="829" spans="1:19" x14ac:dyDescent="0.35">
      <c r="A829" t="s">
        <v>954</v>
      </c>
      <c r="B829" s="5">
        <v>45861</v>
      </c>
      <c r="C829" t="s">
        <v>117</v>
      </c>
      <c r="D829" t="s">
        <v>74</v>
      </c>
      <c r="E829">
        <v>3</v>
      </c>
      <c r="F829" s="6">
        <v>95</v>
      </c>
      <c r="G829" s="7">
        <v>2</v>
      </c>
      <c r="H829" s="6">
        <v>279.3</v>
      </c>
      <c r="I829">
        <v>0</v>
      </c>
      <c r="J829" s="6">
        <v>0</v>
      </c>
      <c r="K829">
        <v>3</v>
      </c>
      <c r="L829" s="6">
        <v>279.3</v>
      </c>
      <c r="M829" s="6">
        <v>225.42</v>
      </c>
      <c r="N829" s="6">
        <v>53.88</v>
      </c>
      <c r="O829" s="6">
        <v>35.700000000000003</v>
      </c>
      <c r="P829" s="6">
        <v>18.18</v>
      </c>
      <c r="Q829" t="s">
        <v>81</v>
      </c>
      <c r="R829" t="s">
        <v>60</v>
      </c>
      <c r="S829" t="s">
        <v>61</v>
      </c>
    </row>
    <row r="830" spans="1:19" x14ac:dyDescent="0.35">
      <c r="A830" t="s">
        <v>955</v>
      </c>
      <c r="B830" s="5">
        <v>45971</v>
      </c>
      <c r="C830" t="s">
        <v>84</v>
      </c>
      <c r="D830" t="s">
        <v>85</v>
      </c>
      <c r="E830">
        <v>4</v>
      </c>
      <c r="F830" s="6">
        <v>48</v>
      </c>
      <c r="G830" s="7">
        <v>0</v>
      </c>
      <c r="H830" s="6">
        <v>192</v>
      </c>
      <c r="I830">
        <v>0</v>
      </c>
      <c r="J830" s="6">
        <v>0</v>
      </c>
      <c r="K830">
        <v>4</v>
      </c>
      <c r="L830" s="6">
        <v>192</v>
      </c>
      <c r="M830" s="6">
        <v>156.72</v>
      </c>
      <c r="N830" s="6">
        <v>35.28</v>
      </c>
      <c r="O830" s="6">
        <v>23.88</v>
      </c>
      <c r="P830" s="6">
        <v>11.4</v>
      </c>
      <c r="Q830" t="s">
        <v>65</v>
      </c>
      <c r="R830" t="s">
        <v>86</v>
      </c>
      <c r="S830" t="s">
        <v>67</v>
      </c>
    </row>
    <row r="831" spans="1:19" x14ac:dyDescent="0.35">
      <c r="A831" t="s">
        <v>956</v>
      </c>
      <c r="B831" s="5">
        <v>45713</v>
      </c>
      <c r="C831" t="s">
        <v>97</v>
      </c>
      <c r="D831" t="s">
        <v>57</v>
      </c>
      <c r="E831">
        <v>2</v>
      </c>
      <c r="F831" s="6">
        <v>55</v>
      </c>
      <c r="G831" s="7">
        <v>2</v>
      </c>
      <c r="H831" s="6">
        <v>107.8</v>
      </c>
      <c r="I831">
        <v>0</v>
      </c>
      <c r="J831" s="6">
        <v>0</v>
      </c>
      <c r="K831">
        <v>2</v>
      </c>
      <c r="L831" s="6">
        <v>107.8</v>
      </c>
      <c r="M831" s="6">
        <v>72.7</v>
      </c>
      <c r="N831" s="6">
        <v>35.1</v>
      </c>
      <c r="O831" s="6">
        <v>11.4</v>
      </c>
      <c r="P831" s="6">
        <v>23.7</v>
      </c>
      <c r="Q831" t="s">
        <v>59</v>
      </c>
      <c r="R831" t="s">
        <v>60</v>
      </c>
      <c r="S831" t="s">
        <v>76</v>
      </c>
    </row>
    <row r="832" spans="1:19" x14ac:dyDescent="0.35">
      <c r="A832" t="s">
        <v>957</v>
      </c>
      <c r="B832" s="5">
        <v>45739</v>
      </c>
      <c r="C832" t="s">
        <v>90</v>
      </c>
      <c r="D832" t="s">
        <v>70</v>
      </c>
      <c r="E832">
        <v>6</v>
      </c>
      <c r="F832" s="6">
        <v>38</v>
      </c>
      <c r="G832" s="7">
        <v>10</v>
      </c>
      <c r="H832" s="6">
        <v>205.2</v>
      </c>
      <c r="I832">
        <v>0</v>
      </c>
      <c r="J832" s="6">
        <v>0</v>
      </c>
      <c r="K832">
        <v>6</v>
      </c>
      <c r="L832" s="6">
        <v>205.2</v>
      </c>
      <c r="M832" s="6">
        <v>160.99</v>
      </c>
      <c r="N832" s="6">
        <v>44.21</v>
      </c>
      <c r="O832" s="6">
        <v>11.72</v>
      </c>
      <c r="P832" s="6">
        <v>32.49</v>
      </c>
      <c r="Q832" t="s">
        <v>65</v>
      </c>
      <c r="R832" t="s">
        <v>66</v>
      </c>
      <c r="S832" t="s">
        <v>61</v>
      </c>
    </row>
    <row r="833" spans="1:19" x14ac:dyDescent="0.35">
      <c r="A833" t="s">
        <v>958</v>
      </c>
      <c r="B833" s="5">
        <v>45722</v>
      </c>
      <c r="C833" t="s">
        <v>100</v>
      </c>
      <c r="D833" t="s">
        <v>64</v>
      </c>
      <c r="E833">
        <v>2</v>
      </c>
      <c r="F833" s="6">
        <v>310</v>
      </c>
      <c r="G833" s="7">
        <v>0</v>
      </c>
      <c r="H833" s="6">
        <v>620</v>
      </c>
      <c r="I833">
        <v>0</v>
      </c>
      <c r="J833" s="6">
        <v>0</v>
      </c>
      <c r="K833">
        <v>2</v>
      </c>
      <c r="L833" s="6">
        <v>620</v>
      </c>
      <c r="M833" s="6">
        <v>421.78</v>
      </c>
      <c r="N833" s="6">
        <v>198.22</v>
      </c>
      <c r="O833" s="6">
        <v>37.69</v>
      </c>
      <c r="P833" s="6">
        <v>160.53</v>
      </c>
      <c r="Q833" t="s">
        <v>81</v>
      </c>
      <c r="R833" t="s">
        <v>86</v>
      </c>
      <c r="S833" t="s">
        <v>67</v>
      </c>
    </row>
    <row r="834" spans="1:19" x14ac:dyDescent="0.35">
      <c r="A834" t="s">
        <v>959</v>
      </c>
      <c r="B834" s="5">
        <v>45935</v>
      </c>
      <c r="C834" t="s">
        <v>92</v>
      </c>
      <c r="D834" t="s">
        <v>79</v>
      </c>
      <c r="E834">
        <v>2</v>
      </c>
      <c r="F834" s="6">
        <v>85</v>
      </c>
      <c r="G834" s="7">
        <v>5</v>
      </c>
      <c r="H834" s="6">
        <v>161.5</v>
      </c>
      <c r="I834">
        <v>0</v>
      </c>
      <c r="J834" s="6">
        <v>0</v>
      </c>
      <c r="K834">
        <v>2</v>
      </c>
      <c r="L834" s="6">
        <v>161.5</v>
      </c>
      <c r="M834" s="6">
        <v>134.76</v>
      </c>
      <c r="N834" s="6">
        <v>26.74</v>
      </c>
      <c r="O834" s="6">
        <v>12.36</v>
      </c>
      <c r="P834" s="6">
        <v>14.38</v>
      </c>
      <c r="Q834" t="s">
        <v>65</v>
      </c>
      <c r="R834" t="s">
        <v>82</v>
      </c>
      <c r="S834" t="s">
        <v>67</v>
      </c>
    </row>
    <row r="835" spans="1:19" x14ac:dyDescent="0.35">
      <c r="A835" t="s">
        <v>960</v>
      </c>
      <c r="B835" s="5">
        <v>45865</v>
      </c>
      <c r="C835" t="s">
        <v>114</v>
      </c>
      <c r="D835" t="s">
        <v>64</v>
      </c>
      <c r="E835">
        <v>4</v>
      </c>
      <c r="F835" s="6">
        <v>420</v>
      </c>
      <c r="G835" s="7">
        <v>10</v>
      </c>
      <c r="H835" s="6">
        <v>1512</v>
      </c>
      <c r="I835">
        <v>0</v>
      </c>
      <c r="J835" s="6">
        <v>0</v>
      </c>
      <c r="K835">
        <v>4</v>
      </c>
      <c r="L835" s="6">
        <v>1512</v>
      </c>
      <c r="M835" s="6">
        <v>952.55</v>
      </c>
      <c r="N835" s="6">
        <v>559.45000000000005</v>
      </c>
      <c r="O835" s="6">
        <v>144.71</v>
      </c>
      <c r="P835" s="6">
        <v>414.74</v>
      </c>
      <c r="Q835" t="s">
        <v>65</v>
      </c>
      <c r="R835" t="s">
        <v>66</v>
      </c>
      <c r="S835" t="s">
        <v>61</v>
      </c>
    </row>
    <row r="836" spans="1:19" x14ac:dyDescent="0.35">
      <c r="A836" t="s">
        <v>961</v>
      </c>
      <c r="B836" s="5">
        <v>45822</v>
      </c>
      <c r="C836" t="s">
        <v>100</v>
      </c>
      <c r="D836" t="s">
        <v>64</v>
      </c>
      <c r="E836">
        <v>3</v>
      </c>
      <c r="F836" s="6">
        <v>310</v>
      </c>
      <c r="G836" s="7">
        <v>2</v>
      </c>
      <c r="H836" s="6">
        <v>911.4</v>
      </c>
      <c r="I836">
        <v>0</v>
      </c>
      <c r="J836" s="6">
        <v>0</v>
      </c>
      <c r="K836">
        <v>3</v>
      </c>
      <c r="L836" s="6">
        <v>911.4</v>
      </c>
      <c r="M836" s="6">
        <v>616.07000000000005</v>
      </c>
      <c r="N836" s="6">
        <v>295.33</v>
      </c>
      <c r="O836" s="6">
        <v>68.13</v>
      </c>
      <c r="P836" s="6">
        <v>227.2</v>
      </c>
      <c r="Q836" t="s">
        <v>75</v>
      </c>
      <c r="R836" t="s">
        <v>82</v>
      </c>
      <c r="S836" t="s">
        <v>71</v>
      </c>
    </row>
    <row r="837" spans="1:19" x14ac:dyDescent="0.35">
      <c r="A837" t="s">
        <v>962</v>
      </c>
      <c r="B837" s="5">
        <v>45861</v>
      </c>
      <c r="C837" t="s">
        <v>671</v>
      </c>
      <c r="D837" t="s">
        <v>57</v>
      </c>
      <c r="E837">
        <v>2</v>
      </c>
      <c r="F837" s="6">
        <v>40</v>
      </c>
      <c r="G837" s="7">
        <v>2</v>
      </c>
      <c r="H837" s="6">
        <v>78.400000000000006</v>
      </c>
      <c r="I837">
        <v>0</v>
      </c>
      <c r="J837" s="6">
        <v>0</v>
      </c>
      <c r="K837">
        <v>2</v>
      </c>
      <c r="L837" s="6">
        <v>78.400000000000006</v>
      </c>
      <c r="M837" s="6">
        <v>52.52</v>
      </c>
      <c r="N837" s="6">
        <v>25.88</v>
      </c>
      <c r="O837" s="6">
        <v>8.9600000000000009</v>
      </c>
      <c r="P837" s="6">
        <v>16.920000000000002</v>
      </c>
      <c r="Q837" t="s">
        <v>59</v>
      </c>
      <c r="R837" t="s">
        <v>82</v>
      </c>
      <c r="S837" t="s">
        <v>71</v>
      </c>
    </row>
    <row r="838" spans="1:19" x14ac:dyDescent="0.35">
      <c r="A838" t="s">
        <v>963</v>
      </c>
      <c r="B838" s="5">
        <v>45815</v>
      </c>
      <c r="C838" t="s">
        <v>84</v>
      </c>
      <c r="D838" t="s">
        <v>85</v>
      </c>
      <c r="E838">
        <v>4</v>
      </c>
      <c r="F838" s="6">
        <v>48</v>
      </c>
      <c r="G838" s="7">
        <v>2</v>
      </c>
      <c r="H838" s="6">
        <v>188.16</v>
      </c>
      <c r="I838">
        <v>0</v>
      </c>
      <c r="J838" s="6">
        <v>0</v>
      </c>
      <c r="K838">
        <v>4</v>
      </c>
      <c r="L838" s="6">
        <v>188.16</v>
      </c>
      <c r="M838" s="6">
        <v>132.71</v>
      </c>
      <c r="N838" s="6">
        <v>55.45</v>
      </c>
      <c r="O838" s="6">
        <v>13.84</v>
      </c>
      <c r="P838" s="6">
        <v>41.61</v>
      </c>
      <c r="R838" t="s">
        <v>199</v>
      </c>
      <c r="S838" t="s">
        <v>76</v>
      </c>
    </row>
    <row r="839" spans="1:19" x14ac:dyDescent="0.35">
      <c r="A839" t="s">
        <v>964</v>
      </c>
      <c r="B839" s="5">
        <v>46013</v>
      </c>
      <c r="C839" t="s">
        <v>104</v>
      </c>
      <c r="D839" t="s">
        <v>105</v>
      </c>
      <c r="E839">
        <v>2</v>
      </c>
      <c r="F839" s="6">
        <v>65</v>
      </c>
      <c r="G839" s="7">
        <v>0</v>
      </c>
      <c r="H839" s="6">
        <v>130</v>
      </c>
      <c r="I839">
        <v>0</v>
      </c>
      <c r="J839" s="6">
        <v>0</v>
      </c>
      <c r="K839">
        <v>2</v>
      </c>
      <c r="L839" s="6">
        <v>130</v>
      </c>
      <c r="M839" s="6">
        <v>107.16</v>
      </c>
      <c r="N839" s="6">
        <v>22.84</v>
      </c>
      <c r="O839" s="6">
        <v>9.2799999999999994</v>
      </c>
      <c r="P839" s="6">
        <v>13.56</v>
      </c>
      <c r="Q839" t="s">
        <v>65</v>
      </c>
      <c r="R839" t="s">
        <v>86</v>
      </c>
      <c r="S839" t="s">
        <v>67</v>
      </c>
    </row>
    <row r="840" spans="1:19" x14ac:dyDescent="0.35">
      <c r="A840" t="s">
        <v>965</v>
      </c>
      <c r="B840" s="5">
        <v>45791</v>
      </c>
      <c r="C840" t="s">
        <v>63</v>
      </c>
      <c r="D840" t="s">
        <v>64</v>
      </c>
      <c r="E840">
        <v>3</v>
      </c>
      <c r="F840" s="6">
        <v>145</v>
      </c>
      <c r="G840" s="7">
        <v>0</v>
      </c>
      <c r="H840" s="6">
        <v>435</v>
      </c>
      <c r="I840">
        <v>0</v>
      </c>
      <c r="J840" s="6">
        <v>0</v>
      </c>
      <c r="K840">
        <v>3</v>
      </c>
      <c r="L840" s="6">
        <v>435</v>
      </c>
      <c r="M840" s="6">
        <v>292.49</v>
      </c>
      <c r="N840" s="6">
        <v>142.51</v>
      </c>
      <c r="O840" s="6">
        <v>22.19</v>
      </c>
      <c r="P840" s="6">
        <v>120.32</v>
      </c>
      <c r="Q840" t="s">
        <v>59</v>
      </c>
      <c r="R840" t="s">
        <v>86</v>
      </c>
      <c r="S840" t="s">
        <v>71</v>
      </c>
    </row>
    <row r="841" spans="1:19" x14ac:dyDescent="0.35">
      <c r="A841" t="s">
        <v>966</v>
      </c>
      <c r="B841" s="5">
        <v>45822</v>
      </c>
      <c r="C841" t="s">
        <v>73</v>
      </c>
      <c r="D841" t="s">
        <v>74</v>
      </c>
      <c r="E841">
        <v>2</v>
      </c>
      <c r="F841" s="6">
        <v>280</v>
      </c>
      <c r="G841" s="7">
        <v>0</v>
      </c>
      <c r="H841" s="6">
        <v>560</v>
      </c>
      <c r="I841">
        <v>0</v>
      </c>
      <c r="J841" s="6">
        <v>0</v>
      </c>
      <c r="K841">
        <v>2</v>
      </c>
      <c r="L841" s="6">
        <v>560</v>
      </c>
      <c r="M841" s="6">
        <v>450.99</v>
      </c>
      <c r="N841" s="6">
        <v>109.01</v>
      </c>
      <c r="O841" s="6">
        <v>65.08</v>
      </c>
      <c r="P841" s="6">
        <v>43.93</v>
      </c>
      <c r="Q841" t="s">
        <v>75</v>
      </c>
      <c r="R841" t="s">
        <v>66</v>
      </c>
      <c r="S841" t="s">
        <v>61</v>
      </c>
    </row>
    <row r="842" spans="1:19" x14ac:dyDescent="0.35">
      <c r="A842" t="s">
        <v>967</v>
      </c>
      <c r="B842" s="5">
        <v>45859</v>
      </c>
      <c r="C842" t="s">
        <v>88</v>
      </c>
      <c r="D842" t="s">
        <v>57</v>
      </c>
      <c r="E842">
        <v>1</v>
      </c>
      <c r="F842" s="6">
        <v>30</v>
      </c>
      <c r="G842" s="7">
        <v>15</v>
      </c>
      <c r="H842" s="6">
        <v>25.5</v>
      </c>
      <c r="I842">
        <v>0</v>
      </c>
      <c r="J842" s="6">
        <v>0</v>
      </c>
      <c r="K842">
        <v>1</v>
      </c>
      <c r="L842" s="6">
        <v>25.5</v>
      </c>
      <c r="M842" s="6">
        <v>20.75</v>
      </c>
      <c r="N842" s="6">
        <v>4.75</v>
      </c>
      <c r="O842" s="6">
        <v>1.73</v>
      </c>
      <c r="P842" s="6">
        <v>3.02</v>
      </c>
      <c r="Q842" t="s">
        <v>65</v>
      </c>
      <c r="R842" t="s">
        <v>86</v>
      </c>
      <c r="S842" t="s">
        <v>61</v>
      </c>
    </row>
    <row r="843" spans="1:19" x14ac:dyDescent="0.35">
      <c r="A843" t="s">
        <v>968</v>
      </c>
      <c r="B843" s="5">
        <v>45690</v>
      </c>
      <c r="C843" t="s">
        <v>125</v>
      </c>
      <c r="D843" t="s">
        <v>85</v>
      </c>
      <c r="E843">
        <v>3</v>
      </c>
      <c r="F843" s="6">
        <v>125</v>
      </c>
      <c r="G843" s="7">
        <v>10</v>
      </c>
      <c r="H843" s="6">
        <v>337.5</v>
      </c>
      <c r="I843">
        <v>0</v>
      </c>
      <c r="J843" s="6">
        <v>0</v>
      </c>
      <c r="K843">
        <v>3</v>
      </c>
      <c r="L843" s="6">
        <v>337.5</v>
      </c>
      <c r="M843" s="6">
        <v>209.56</v>
      </c>
      <c r="N843" s="6">
        <v>127.94</v>
      </c>
      <c r="O843" s="6">
        <v>42.21</v>
      </c>
      <c r="P843" s="6">
        <v>85.73</v>
      </c>
      <c r="Q843" t="s">
        <v>81</v>
      </c>
      <c r="R843" t="s">
        <v>60</v>
      </c>
      <c r="S843" t="s">
        <v>67</v>
      </c>
    </row>
    <row r="844" spans="1:19" x14ac:dyDescent="0.35">
      <c r="A844" t="s">
        <v>969</v>
      </c>
      <c r="B844" s="5">
        <v>45928</v>
      </c>
      <c r="C844" t="s">
        <v>95</v>
      </c>
      <c r="D844" t="s">
        <v>64</v>
      </c>
      <c r="E844">
        <v>6</v>
      </c>
      <c r="F844" s="6">
        <v>52</v>
      </c>
      <c r="G844" s="7">
        <v>0</v>
      </c>
      <c r="H844" s="6">
        <v>312</v>
      </c>
      <c r="I844">
        <v>0</v>
      </c>
      <c r="J844" s="6">
        <v>0</v>
      </c>
      <c r="K844">
        <v>6</v>
      </c>
      <c r="L844" s="6">
        <v>312</v>
      </c>
      <c r="M844" s="6">
        <v>267.91000000000003</v>
      </c>
      <c r="N844" s="6">
        <v>44.09</v>
      </c>
      <c r="O844" s="6">
        <v>17.45</v>
      </c>
      <c r="P844" s="6">
        <v>26.64</v>
      </c>
      <c r="Q844" t="s">
        <v>59</v>
      </c>
      <c r="R844" t="s">
        <v>66</v>
      </c>
      <c r="S844" t="s">
        <v>67</v>
      </c>
    </row>
    <row r="845" spans="1:19" x14ac:dyDescent="0.35">
      <c r="A845" t="s">
        <v>970</v>
      </c>
      <c r="B845" s="5">
        <v>45762</v>
      </c>
      <c r="C845" t="s">
        <v>97</v>
      </c>
      <c r="D845" t="s">
        <v>57</v>
      </c>
      <c r="E845">
        <v>1</v>
      </c>
      <c r="F845" s="6">
        <v>55</v>
      </c>
      <c r="G845" s="7">
        <v>0</v>
      </c>
      <c r="H845" s="6">
        <v>55</v>
      </c>
      <c r="I845">
        <v>0</v>
      </c>
      <c r="J845" s="6">
        <v>0</v>
      </c>
      <c r="K845">
        <v>1</v>
      </c>
      <c r="L845" s="6">
        <v>55</v>
      </c>
      <c r="M845" s="6">
        <v>41.85</v>
      </c>
      <c r="N845" s="6">
        <v>13.15</v>
      </c>
      <c r="O845" s="6">
        <v>6.99</v>
      </c>
      <c r="P845" s="6">
        <v>6.16</v>
      </c>
      <c r="Q845" t="s">
        <v>81</v>
      </c>
      <c r="R845" t="s">
        <v>199</v>
      </c>
      <c r="S845" t="s">
        <v>71</v>
      </c>
    </row>
    <row r="846" spans="1:19" x14ac:dyDescent="0.35">
      <c r="A846" t="s">
        <v>971</v>
      </c>
      <c r="B846" s="5">
        <v>45826</v>
      </c>
      <c r="C846" t="s">
        <v>97</v>
      </c>
      <c r="D846" t="s">
        <v>57</v>
      </c>
      <c r="E846">
        <v>2</v>
      </c>
      <c r="F846" s="6">
        <v>55</v>
      </c>
      <c r="G846" s="7">
        <v>0</v>
      </c>
      <c r="H846" s="6">
        <v>110</v>
      </c>
      <c r="I846">
        <v>0</v>
      </c>
      <c r="J846" s="6">
        <v>0</v>
      </c>
      <c r="K846">
        <v>2</v>
      </c>
      <c r="L846" s="6">
        <v>110</v>
      </c>
      <c r="M846" s="6">
        <v>72.42</v>
      </c>
      <c r="N846" s="6">
        <v>37.58</v>
      </c>
      <c r="O846" s="6">
        <v>8.01</v>
      </c>
      <c r="P846" s="6">
        <v>29.57</v>
      </c>
      <c r="Q846" t="s">
        <v>81</v>
      </c>
      <c r="R846" t="s">
        <v>66</v>
      </c>
      <c r="S846" t="s">
        <v>71</v>
      </c>
    </row>
    <row r="847" spans="1:19" x14ac:dyDescent="0.35">
      <c r="A847" t="s">
        <v>972</v>
      </c>
      <c r="B847" s="5">
        <v>45853</v>
      </c>
      <c r="C847" t="s">
        <v>121</v>
      </c>
      <c r="D847" t="s">
        <v>70</v>
      </c>
      <c r="E847">
        <v>3</v>
      </c>
      <c r="F847" s="6">
        <v>110</v>
      </c>
      <c r="G847" s="7">
        <v>2</v>
      </c>
      <c r="H847" s="6">
        <v>323.39999999999998</v>
      </c>
      <c r="I847">
        <v>0</v>
      </c>
      <c r="J847" s="6">
        <v>0</v>
      </c>
      <c r="K847">
        <v>3</v>
      </c>
      <c r="L847" s="6">
        <v>323.39999999999998</v>
      </c>
      <c r="M847" s="6">
        <v>221.02</v>
      </c>
      <c r="N847" s="6">
        <v>102.38</v>
      </c>
      <c r="O847" s="6">
        <v>29.4</v>
      </c>
      <c r="P847" s="6">
        <v>72.98</v>
      </c>
      <c r="Q847" t="s">
        <v>81</v>
      </c>
      <c r="R847" t="s">
        <v>86</v>
      </c>
      <c r="S847" t="s">
        <v>71</v>
      </c>
    </row>
    <row r="848" spans="1:19" x14ac:dyDescent="0.35">
      <c r="A848" t="s">
        <v>973</v>
      </c>
      <c r="B848" s="5">
        <v>45763</v>
      </c>
      <c r="C848" t="s">
        <v>69</v>
      </c>
      <c r="D848" t="s">
        <v>70</v>
      </c>
      <c r="E848">
        <v>2</v>
      </c>
      <c r="F848" s="6">
        <v>210</v>
      </c>
      <c r="G848" s="7">
        <v>0</v>
      </c>
      <c r="H848" s="6">
        <v>420</v>
      </c>
      <c r="I848">
        <v>0</v>
      </c>
      <c r="J848" s="6">
        <v>0</v>
      </c>
      <c r="K848">
        <v>2</v>
      </c>
      <c r="L848" s="6">
        <v>420</v>
      </c>
      <c r="M848" s="6">
        <v>334.67</v>
      </c>
      <c r="N848" s="6">
        <v>85.33</v>
      </c>
      <c r="O848" s="6">
        <v>54.24</v>
      </c>
      <c r="P848" s="6">
        <v>31.09</v>
      </c>
      <c r="Q848" t="s">
        <v>59</v>
      </c>
      <c r="R848" t="s">
        <v>82</v>
      </c>
      <c r="S848" t="s">
        <v>67</v>
      </c>
    </row>
    <row r="849" spans="1:19" x14ac:dyDescent="0.35">
      <c r="A849" t="s">
        <v>974</v>
      </c>
      <c r="B849" s="5">
        <v>45691</v>
      </c>
      <c r="C849" t="s">
        <v>56</v>
      </c>
      <c r="D849" t="s">
        <v>57</v>
      </c>
      <c r="E849">
        <v>3</v>
      </c>
      <c r="F849" s="6">
        <v>40</v>
      </c>
      <c r="G849" s="7">
        <v>2</v>
      </c>
      <c r="H849" s="6">
        <v>117.6</v>
      </c>
      <c r="I849">
        <v>0</v>
      </c>
      <c r="J849" s="6">
        <v>0</v>
      </c>
      <c r="K849">
        <v>3</v>
      </c>
      <c r="L849" s="6">
        <v>117.6</v>
      </c>
      <c r="M849" s="6">
        <v>80.66</v>
      </c>
      <c r="N849" s="6">
        <v>36.94</v>
      </c>
      <c r="O849" s="6">
        <v>13.2</v>
      </c>
      <c r="P849" s="6">
        <v>23.74</v>
      </c>
      <c r="Q849" t="s">
        <v>65</v>
      </c>
      <c r="R849" t="s">
        <v>82</v>
      </c>
      <c r="S849" t="s">
        <v>61</v>
      </c>
    </row>
    <row r="850" spans="1:19" x14ac:dyDescent="0.35">
      <c r="A850" t="s">
        <v>975</v>
      </c>
      <c r="B850" s="5">
        <v>45737</v>
      </c>
      <c r="C850" t="s">
        <v>114</v>
      </c>
      <c r="D850" t="s">
        <v>64</v>
      </c>
      <c r="E850">
        <v>3</v>
      </c>
      <c r="F850" s="6">
        <v>420</v>
      </c>
      <c r="G850" s="7">
        <v>5</v>
      </c>
      <c r="H850" s="6">
        <v>1197</v>
      </c>
      <c r="I850">
        <v>0</v>
      </c>
      <c r="J850" s="6">
        <v>0</v>
      </c>
      <c r="K850">
        <v>3</v>
      </c>
      <c r="L850" s="6">
        <v>1197</v>
      </c>
      <c r="M850" s="6">
        <v>829.33</v>
      </c>
      <c r="N850" s="6">
        <v>367.67</v>
      </c>
      <c r="O850" s="6">
        <v>90.2</v>
      </c>
      <c r="P850" s="6">
        <v>277.47000000000003</v>
      </c>
      <c r="Q850" t="s">
        <v>59</v>
      </c>
      <c r="R850" t="s">
        <v>66</v>
      </c>
      <c r="S850" t="s">
        <v>61</v>
      </c>
    </row>
    <row r="851" spans="1:19" x14ac:dyDescent="0.35">
      <c r="A851" t="s">
        <v>976</v>
      </c>
      <c r="B851" s="5">
        <v>45756</v>
      </c>
      <c r="C851" t="s">
        <v>117</v>
      </c>
      <c r="D851" t="s">
        <v>74</v>
      </c>
      <c r="E851">
        <v>1</v>
      </c>
      <c r="F851" s="6">
        <v>95</v>
      </c>
      <c r="G851" s="7">
        <v>0</v>
      </c>
      <c r="H851" s="6">
        <v>95</v>
      </c>
      <c r="I851">
        <v>0</v>
      </c>
      <c r="J851" s="6">
        <v>0</v>
      </c>
      <c r="K851">
        <v>1</v>
      </c>
      <c r="L851" s="6">
        <v>95</v>
      </c>
      <c r="M851" s="6">
        <v>61.15</v>
      </c>
      <c r="N851" s="6">
        <v>33.85</v>
      </c>
      <c r="O851" s="6">
        <v>9.52</v>
      </c>
      <c r="P851" s="6">
        <v>24.33</v>
      </c>
      <c r="Q851" t="s">
        <v>75</v>
      </c>
      <c r="R851" t="s">
        <v>60</v>
      </c>
      <c r="S851" t="s">
        <v>61</v>
      </c>
    </row>
    <row r="852" spans="1:19" x14ac:dyDescent="0.35">
      <c r="A852" t="s">
        <v>977</v>
      </c>
      <c r="B852" s="5">
        <v>45687</v>
      </c>
      <c r="C852" t="s">
        <v>107</v>
      </c>
      <c r="D852" t="s">
        <v>243</v>
      </c>
      <c r="E852">
        <v>4</v>
      </c>
      <c r="F852" s="6">
        <v>125</v>
      </c>
      <c r="G852" s="7">
        <v>0</v>
      </c>
      <c r="H852" s="6">
        <v>500</v>
      </c>
      <c r="I852">
        <v>0</v>
      </c>
      <c r="J852" s="6">
        <v>0</v>
      </c>
      <c r="K852">
        <v>4</v>
      </c>
      <c r="L852" s="6">
        <v>500</v>
      </c>
      <c r="M852" s="6">
        <v>350.04</v>
      </c>
      <c r="N852" s="6">
        <v>149.96</v>
      </c>
      <c r="O852" s="6">
        <v>55.96</v>
      </c>
      <c r="P852" s="6">
        <v>94</v>
      </c>
      <c r="R852" t="s">
        <v>66</v>
      </c>
      <c r="S852" t="s">
        <v>76</v>
      </c>
    </row>
    <row r="853" spans="1:19" x14ac:dyDescent="0.35">
      <c r="A853" t="s">
        <v>978</v>
      </c>
      <c r="B853" s="5">
        <v>45922</v>
      </c>
      <c r="C853" t="s">
        <v>104</v>
      </c>
      <c r="D853" t="s">
        <v>105</v>
      </c>
      <c r="E853">
        <v>5</v>
      </c>
      <c r="F853" s="6">
        <v>65</v>
      </c>
      <c r="G853" s="7">
        <v>0</v>
      </c>
      <c r="H853" s="6">
        <v>325</v>
      </c>
      <c r="I853">
        <v>0</v>
      </c>
      <c r="J853" s="6">
        <v>0</v>
      </c>
      <c r="K853">
        <v>5</v>
      </c>
      <c r="L853" s="6">
        <v>325</v>
      </c>
      <c r="M853" s="6">
        <v>205.77</v>
      </c>
      <c r="N853" s="6">
        <v>119.23</v>
      </c>
      <c r="O853" s="6">
        <v>40.58</v>
      </c>
      <c r="P853" s="6">
        <v>78.650000000000006</v>
      </c>
      <c r="Q853" t="s">
        <v>81</v>
      </c>
      <c r="R853" t="s">
        <v>60</v>
      </c>
      <c r="S853" t="s">
        <v>61</v>
      </c>
    </row>
    <row r="854" spans="1:19" x14ac:dyDescent="0.35">
      <c r="A854" t="s">
        <v>979</v>
      </c>
      <c r="B854" s="5">
        <v>45689</v>
      </c>
      <c r="C854" t="s">
        <v>84</v>
      </c>
      <c r="D854" t="s">
        <v>85</v>
      </c>
      <c r="E854">
        <v>8</v>
      </c>
      <c r="F854" s="6">
        <v>48</v>
      </c>
      <c r="G854" s="7">
        <v>5</v>
      </c>
      <c r="H854" s="6">
        <v>364.8</v>
      </c>
      <c r="I854">
        <v>0</v>
      </c>
      <c r="J854" s="6">
        <v>0</v>
      </c>
      <c r="K854">
        <v>8</v>
      </c>
      <c r="L854" s="6">
        <v>364.8</v>
      </c>
      <c r="M854" s="6">
        <v>291.64</v>
      </c>
      <c r="N854" s="6">
        <v>73.16</v>
      </c>
      <c r="O854" s="6">
        <v>19.989999999999998</v>
      </c>
      <c r="P854" s="6">
        <v>53.17</v>
      </c>
      <c r="Q854" t="s">
        <v>81</v>
      </c>
      <c r="R854" t="s">
        <v>86</v>
      </c>
      <c r="S854" t="s">
        <v>61</v>
      </c>
    </row>
    <row r="855" spans="1:19" x14ac:dyDescent="0.35">
      <c r="A855" t="s">
        <v>980</v>
      </c>
      <c r="B855" s="5">
        <v>45703</v>
      </c>
      <c r="C855" t="s">
        <v>114</v>
      </c>
      <c r="D855" t="s">
        <v>64</v>
      </c>
      <c r="E855">
        <v>2</v>
      </c>
      <c r="F855" s="6">
        <v>420</v>
      </c>
      <c r="G855" s="7">
        <v>10</v>
      </c>
      <c r="H855" s="6">
        <v>756</v>
      </c>
      <c r="I855">
        <v>0</v>
      </c>
      <c r="J855" s="6">
        <v>0</v>
      </c>
      <c r="K855">
        <v>2</v>
      </c>
      <c r="L855" s="6">
        <v>756</v>
      </c>
      <c r="M855" s="6">
        <v>484.87</v>
      </c>
      <c r="N855" s="6">
        <v>271.13</v>
      </c>
      <c r="O855" s="6">
        <v>93.35</v>
      </c>
      <c r="P855" s="6">
        <v>177.78</v>
      </c>
      <c r="Q855" t="s">
        <v>75</v>
      </c>
      <c r="R855" t="s">
        <v>82</v>
      </c>
      <c r="S855" t="s">
        <v>76</v>
      </c>
    </row>
    <row r="856" spans="1:19" x14ac:dyDescent="0.35">
      <c r="A856" t="s">
        <v>981</v>
      </c>
      <c r="B856" s="5">
        <v>45835</v>
      </c>
      <c r="C856" t="s">
        <v>73</v>
      </c>
      <c r="D856" t="s">
        <v>74</v>
      </c>
      <c r="E856">
        <v>1</v>
      </c>
      <c r="F856" s="6">
        <v>280</v>
      </c>
      <c r="G856" s="7">
        <v>2</v>
      </c>
      <c r="H856" s="6">
        <v>274.39999999999998</v>
      </c>
      <c r="I856">
        <v>0</v>
      </c>
      <c r="J856" s="6">
        <v>0</v>
      </c>
      <c r="K856">
        <v>1</v>
      </c>
      <c r="L856" s="6">
        <v>274.39999999999998</v>
      </c>
      <c r="M856" s="6">
        <v>189.15</v>
      </c>
      <c r="N856" s="6">
        <v>85.25</v>
      </c>
      <c r="O856" s="6">
        <v>26.7</v>
      </c>
      <c r="P856" s="6">
        <v>58.55</v>
      </c>
      <c r="Q856" t="s">
        <v>81</v>
      </c>
      <c r="R856" t="s">
        <v>82</v>
      </c>
      <c r="S856" t="s">
        <v>71</v>
      </c>
    </row>
    <row r="857" spans="1:19" x14ac:dyDescent="0.35">
      <c r="A857" t="s">
        <v>982</v>
      </c>
      <c r="B857" s="5">
        <v>45853</v>
      </c>
      <c r="C857" t="s">
        <v>97</v>
      </c>
      <c r="D857" t="s">
        <v>57</v>
      </c>
      <c r="E857">
        <v>2</v>
      </c>
      <c r="F857" s="6">
        <v>55</v>
      </c>
      <c r="G857" s="7">
        <v>5</v>
      </c>
      <c r="H857" s="6">
        <v>104.5</v>
      </c>
      <c r="I857">
        <v>0</v>
      </c>
      <c r="J857" s="6">
        <v>0</v>
      </c>
      <c r="K857">
        <v>2</v>
      </c>
      <c r="L857" s="6">
        <v>104.5</v>
      </c>
      <c r="M857" s="6">
        <v>72.56</v>
      </c>
      <c r="N857" s="6">
        <v>31.94</v>
      </c>
      <c r="O857" s="6">
        <v>8.58</v>
      </c>
      <c r="P857" s="6">
        <v>23.36</v>
      </c>
      <c r="Q857" t="s">
        <v>81</v>
      </c>
      <c r="R857" t="s">
        <v>60</v>
      </c>
      <c r="S857" t="s">
        <v>61</v>
      </c>
    </row>
    <row r="858" spans="1:19" x14ac:dyDescent="0.35">
      <c r="A858" t="s">
        <v>983</v>
      </c>
      <c r="B858" s="5">
        <v>45694</v>
      </c>
      <c r="C858" t="s">
        <v>56</v>
      </c>
      <c r="D858" t="s">
        <v>57</v>
      </c>
      <c r="E858">
        <v>6</v>
      </c>
      <c r="F858" s="6">
        <v>40</v>
      </c>
      <c r="G858" s="7">
        <v>5</v>
      </c>
      <c r="H858" s="6">
        <v>228</v>
      </c>
      <c r="I858">
        <v>0</v>
      </c>
      <c r="J858" s="6">
        <v>0</v>
      </c>
      <c r="K858">
        <v>6</v>
      </c>
      <c r="L858" s="6">
        <v>228</v>
      </c>
      <c r="M858" s="6">
        <v>142.41999999999999</v>
      </c>
      <c r="N858" s="6">
        <v>85.58</v>
      </c>
      <c r="O858" s="6">
        <v>22.85</v>
      </c>
      <c r="P858" s="6">
        <v>62.73</v>
      </c>
      <c r="Q858" t="s">
        <v>65</v>
      </c>
      <c r="R858" t="s">
        <v>60</v>
      </c>
      <c r="S858" t="s">
        <v>61</v>
      </c>
    </row>
    <row r="859" spans="1:19" x14ac:dyDescent="0.35">
      <c r="A859" t="s">
        <v>984</v>
      </c>
      <c r="B859" s="5">
        <v>45680</v>
      </c>
      <c r="C859" t="s">
        <v>56</v>
      </c>
      <c r="D859" t="s">
        <v>57</v>
      </c>
      <c r="E859">
        <v>1</v>
      </c>
      <c r="F859" s="6">
        <v>40</v>
      </c>
      <c r="G859" s="7">
        <v>10</v>
      </c>
      <c r="H859" s="6">
        <v>36</v>
      </c>
      <c r="I859">
        <v>0</v>
      </c>
      <c r="J859" s="6">
        <v>0</v>
      </c>
      <c r="K859">
        <v>1</v>
      </c>
      <c r="L859" s="6">
        <v>36</v>
      </c>
      <c r="M859" s="6">
        <v>30.6</v>
      </c>
      <c r="N859" s="6">
        <v>5.4</v>
      </c>
      <c r="O859" s="6">
        <v>3.33</v>
      </c>
      <c r="P859" s="6">
        <v>2.0699999999999998</v>
      </c>
      <c r="Q859" t="s">
        <v>59</v>
      </c>
      <c r="R859" t="s">
        <v>66</v>
      </c>
      <c r="S859" t="s">
        <v>67</v>
      </c>
    </row>
    <row r="860" spans="1:19" x14ac:dyDescent="0.35">
      <c r="A860" t="s">
        <v>985</v>
      </c>
      <c r="B860" s="5">
        <v>45839</v>
      </c>
      <c r="C860" t="s">
        <v>100</v>
      </c>
      <c r="D860" t="s">
        <v>64</v>
      </c>
      <c r="E860">
        <v>2</v>
      </c>
      <c r="F860" s="6">
        <v>310</v>
      </c>
      <c r="G860" s="7">
        <v>0</v>
      </c>
      <c r="H860" s="6">
        <v>620</v>
      </c>
      <c r="I860">
        <v>0</v>
      </c>
      <c r="J860" s="6">
        <v>0</v>
      </c>
      <c r="K860">
        <v>2</v>
      </c>
      <c r="L860" s="6">
        <v>620</v>
      </c>
      <c r="M860" s="6">
        <v>423.68</v>
      </c>
      <c r="N860" s="6">
        <v>196.32</v>
      </c>
      <c r="O860" s="6">
        <v>67.349999999999994</v>
      </c>
      <c r="P860" s="6">
        <v>128.97</v>
      </c>
      <c r="Q860" t="s">
        <v>81</v>
      </c>
      <c r="R860" t="s">
        <v>86</v>
      </c>
      <c r="S860" t="s">
        <v>76</v>
      </c>
    </row>
    <row r="861" spans="1:19" x14ac:dyDescent="0.35">
      <c r="A861" t="s">
        <v>986</v>
      </c>
      <c r="B861" s="5">
        <v>45850</v>
      </c>
      <c r="C861" t="s">
        <v>97</v>
      </c>
      <c r="D861" t="s">
        <v>57</v>
      </c>
      <c r="E861">
        <v>3</v>
      </c>
      <c r="F861" s="6">
        <v>55</v>
      </c>
      <c r="G861" s="7">
        <v>0</v>
      </c>
      <c r="H861" s="6">
        <v>165</v>
      </c>
      <c r="I861">
        <v>0</v>
      </c>
      <c r="J861" s="6">
        <v>0</v>
      </c>
      <c r="K861">
        <v>3</v>
      </c>
      <c r="L861" s="6">
        <v>165</v>
      </c>
      <c r="M861" s="6">
        <v>121.53</v>
      </c>
      <c r="N861" s="6">
        <v>43.47</v>
      </c>
      <c r="O861" s="6">
        <v>8.64</v>
      </c>
      <c r="P861" s="6">
        <v>34.83</v>
      </c>
      <c r="Q861" t="s">
        <v>75</v>
      </c>
      <c r="R861" t="s">
        <v>176</v>
      </c>
      <c r="S861" t="s">
        <v>76</v>
      </c>
    </row>
    <row r="862" spans="1:19" x14ac:dyDescent="0.35">
      <c r="A862" t="s">
        <v>987</v>
      </c>
      <c r="B862" s="5">
        <v>45820</v>
      </c>
      <c r="C862" t="s">
        <v>63</v>
      </c>
      <c r="D862" t="s">
        <v>64</v>
      </c>
      <c r="E862">
        <v>3</v>
      </c>
      <c r="F862" s="6">
        <v>145</v>
      </c>
      <c r="G862" s="7">
        <v>10</v>
      </c>
      <c r="H862" s="6">
        <v>391.5</v>
      </c>
      <c r="I862">
        <v>0</v>
      </c>
      <c r="J862" s="6">
        <v>0</v>
      </c>
      <c r="K862">
        <v>3</v>
      </c>
      <c r="L862" s="6">
        <v>391.5</v>
      </c>
      <c r="M862" s="6">
        <v>330.28</v>
      </c>
      <c r="N862" s="6">
        <v>61.22</v>
      </c>
      <c r="O862" s="6">
        <v>30.79</v>
      </c>
      <c r="P862" s="6">
        <v>30.43</v>
      </c>
      <c r="Q862" t="s">
        <v>81</v>
      </c>
      <c r="R862" t="s">
        <v>60</v>
      </c>
      <c r="S862" t="s">
        <v>67</v>
      </c>
    </row>
    <row r="863" spans="1:19" x14ac:dyDescent="0.35">
      <c r="A863" t="s">
        <v>988</v>
      </c>
      <c r="B863" s="5">
        <v>45971</v>
      </c>
      <c r="C863" t="s">
        <v>97</v>
      </c>
      <c r="D863" t="s">
        <v>57</v>
      </c>
      <c r="E863">
        <v>6</v>
      </c>
      <c r="F863" s="6">
        <v>55</v>
      </c>
      <c r="G863" s="7">
        <v>10</v>
      </c>
      <c r="H863" s="6">
        <v>297</v>
      </c>
      <c r="I863">
        <v>0</v>
      </c>
      <c r="J863" s="6">
        <v>0</v>
      </c>
      <c r="K863">
        <v>6</v>
      </c>
      <c r="L863" s="6">
        <v>297</v>
      </c>
      <c r="M863" s="6">
        <v>211.48</v>
      </c>
      <c r="N863" s="6">
        <v>85.52</v>
      </c>
      <c r="O863" s="6">
        <v>36.14</v>
      </c>
      <c r="P863" s="6">
        <v>49.38</v>
      </c>
      <c r="Q863" t="s">
        <v>65</v>
      </c>
      <c r="R863" t="s">
        <v>82</v>
      </c>
      <c r="S863" t="s">
        <v>71</v>
      </c>
    </row>
    <row r="864" spans="1:19" x14ac:dyDescent="0.35">
      <c r="A864" t="s">
        <v>989</v>
      </c>
      <c r="B864" s="5">
        <v>45893</v>
      </c>
      <c r="C864" t="s">
        <v>78</v>
      </c>
      <c r="D864" t="s">
        <v>79</v>
      </c>
      <c r="E864">
        <v>2</v>
      </c>
      <c r="F864" s="6">
        <v>120</v>
      </c>
      <c r="G864" s="7">
        <v>0</v>
      </c>
      <c r="H864" s="6">
        <v>240</v>
      </c>
      <c r="I864">
        <v>0</v>
      </c>
      <c r="J864" s="6">
        <v>0</v>
      </c>
      <c r="K864">
        <v>2</v>
      </c>
      <c r="L864" s="6">
        <v>240</v>
      </c>
      <c r="M864" s="6">
        <v>160.30000000000001</v>
      </c>
      <c r="N864" s="6">
        <v>79.7</v>
      </c>
      <c r="O864" s="6">
        <v>24.35</v>
      </c>
      <c r="P864" s="6">
        <v>55.35</v>
      </c>
      <c r="Q864" t="s">
        <v>59</v>
      </c>
      <c r="R864" t="s">
        <v>176</v>
      </c>
      <c r="S864" t="s">
        <v>67</v>
      </c>
    </row>
    <row r="865" spans="1:19" x14ac:dyDescent="0.35">
      <c r="A865" t="s">
        <v>990</v>
      </c>
      <c r="B865" s="5">
        <v>45796</v>
      </c>
      <c r="C865" t="s">
        <v>63</v>
      </c>
      <c r="D865" t="s">
        <v>64</v>
      </c>
      <c r="E865">
        <v>5</v>
      </c>
      <c r="F865" s="6">
        <v>145</v>
      </c>
      <c r="G865" s="7">
        <v>10</v>
      </c>
      <c r="H865" s="6">
        <v>652.5</v>
      </c>
      <c r="I865">
        <v>0</v>
      </c>
      <c r="J865" s="6">
        <v>0</v>
      </c>
      <c r="K865">
        <v>5</v>
      </c>
      <c r="L865" s="6">
        <v>652.5</v>
      </c>
      <c r="M865" s="6">
        <v>480.2</v>
      </c>
      <c r="N865" s="6">
        <v>172.3</v>
      </c>
      <c r="O865" s="6">
        <v>83.67</v>
      </c>
      <c r="P865" s="6">
        <v>88.63</v>
      </c>
      <c r="Q865" t="s">
        <v>65</v>
      </c>
      <c r="R865" t="s">
        <v>60</v>
      </c>
      <c r="S865" t="s">
        <v>67</v>
      </c>
    </row>
    <row r="866" spans="1:19" x14ac:dyDescent="0.35">
      <c r="A866" t="s">
        <v>991</v>
      </c>
      <c r="B866" s="5">
        <v>45751</v>
      </c>
      <c r="C866" t="s">
        <v>73</v>
      </c>
      <c r="D866" t="s">
        <v>74</v>
      </c>
      <c r="E866">
        <v>2</v>
      </c>
      <c r="F866" s="6">
        <v>280</v>
      </c>
      <c r="G866" s="7">
        <v>5</v>
      </c>
      <c r="H866" s="6">
        <v>532</v>
      </c>
      <c r="I866">
        <v>0</v>
      </c>
      <c r="J866" s="6">
        <v>0</v>
      </c>
      <c r="K866">
        <v>2</v>
      </c>
      <c r="L866" s="6">
        <v>532</v>
      </c>
      <c r="M866" s="6">
        <v>415.68</v>
      </c>
      <c r="N866" s="6">
        <v>116.32</v>
      </c>
      <c r="O866" s="6">
        <v>30.81</v>
      </c>
      <c r="P866" s="6">
        <v>85.51</v>
      </c>
      <c r="Q866" t="s">
        <v>65</v>
      </c>
      <c r="R866" t="s">
        <v>86</v>
      </c>
      <c r="S866" t="s">
        <v>61</v>
      </c>
    </row>
    <row r="867" spans="1:19" x14ac:dyDescent="0.35">
      <c r="A867" t="s">
        <v>992</v>
      </c>
      <c r="B867" s="5">
        <v>45734</v>
      </c>
      <c r="C867" t="s">
        <v>104</v>
      </c>
      <c r="D867" t="s">
        <v>105</v>
      </c>
      <c r="E867">
        <v>3</v>
      </c>
      <c r="F867" s="6">
        <v>65</v>
      </c>
      <c r="G867" s="7">
        <v>2</v>
      </c>
      <c r="H867" s="6">
        <v>191.1</v>
      </c>
      <c r="I867">
        <v>0</v>
      </c>
      <c r="J867" s="6">
        <v>0</v>
      </c>
      <c r="K867">
        <v>3</v>
      </c>
      <c r="L867" s="6">
        <v>191.1</v>
      </c>
      <c r="M867" s="6">
        <v>120.3</v>
      </c>
      <c r="N867" s="6">
        <v>70.8</v>
      </c>
      <c r="O867" s="6">
        <v>19.48</v>
      </c>
      <c r="P867" s="6">
        <v>51.32</v>
      </c>
      <c r="Q867" t="s">
        <v>65</v>
      </c>
      <c r="R867" t="s">
        <v>86</v>
      </c>
      <c r="S867" t="s">
        <v>71</v>
      </c>
    </row>
    <row r="868" spans="1:19" x14ac:dyDescent="0.35">
      <c r="A868" t="s">
        <v>993</v>
      </c>
      <c r="B868" s="5">
        <v>45734</v>
      </c>
      <c r="C868" t="s">
        <v>109</v>
      </c>
      <c r="D868" t="s">
        <v>85</v>
      </c>
      <c r="E868">
        <v>4</v>
      </c>
      <c r="F868" s="6">
        <v>180</v>
      </c>
      <c r="G868" s="7">
        <v>0</v>
      </c>
      <c r="H868" s="6">
        <v>720</v>
      </c>
      <c r="I868">
        <v>0</v>
      </c>
      <c r="J868" s="6">
        <v>0</v>
      </c>
      <c r="K868">
        <v>4</v>
      </c>
      <c r="L868" s="6">
        <v>720</v>
      </c>
      <c r="M868" s="6">
        <v>473.86</v>
      </c>
      <c r="N868" s="6">
        <v>246.14</v>
      </c>
      <c r="O868" s="6">
        <v>61.67</v>
      </c>
      <c r="P868" s="6">
        <v>184.47</v>
      </c>
      <c r="Q868" t="s">
        <v>81</v>
      </c>
      <c r="R868" t="s">
        <v>86</v>
      </c>
      <c r="S868" t="s">
        <v>67</v>
      </c>
    </row>
    <row r="869" spans="1:19" x14ac:dyDescent="0.35">
      <c r="A869" t="s">
        <v>994</v>
      </c>
      <c r="B869" s="5">
        <v>45741</v>
      </c>
      <c r="C869" t="s">
        <v>100</v>
      </c>
      <c r="D869" t="s">
        <v>64</v>
      </c>
      <c r="E869">
        <v>3</v>
      </c>
      <c r="F869" s="6">
        <v>310</v>
      </c>
      <c r="G869" s="7">
        <v>0</v>
      </c>
      <c r="H869" s="6">
        <v>930</v>
      </c>
      <c r="I869">
        <v>0</v>
      </c>
      <c r="J869" s="6">
        <v>0</v>
      </c>
      <c r="K869">
        <v>3</v>
      </c>
      <c r="L869" s="6">
        <v>930</v>
      </c>
      <c r="M869" s="6">
        <v>757.83</v>
      </c>
      <c r="N869" s="6">
        <v>172.17</v>
      </c>
      <c r="O869" s="6">
        <v>96.57</v>
      </c>
      <c r="P869" s="6">
        <v>75.599999999999994</v>
      </c>
      <c r="Q869" t="s">
        <v>59</v>
      </c>
      <c r="R869" t="s">
        <v>86</v>
      </c>
      <c r="S869" t="s">
        <v>67</v>
      </c>
    </row>
    <row r="870" spans="1:19" x14ac:dyDescent="0.35">
      <c r="A870" t="s">
        <v>995</v>
      </c>
      <c r="B870" s="5">
        <v>45866</v>
      </c>
      <c r="C870" t="s">
        <v>107</v>
      </c>
      <c r="D870" t="s">
        <v>74</v>
      </c>
      <c r="E870">
        <v>6</v>
      </c>
      <c r="F870" s="6">
        <v>125</v>
      </c>
      <c r="G870" s="7">
        <v>0</v>
      </c>
      <c r="H870" s="6">
        <v>750</v>
      </c>
      <c r="I870">
        <v>0</v>
      </c>
      <c r="J870" s="6">
        <v>0</v>
      </c>
      <c r="K870">
        <v>6</v>
      </c>
      <c r="L870" s="6">
        <v>750</v>
      </c>
      <c r="M870" s="6">
        <v>592.96</v>
      </c>
      <c r="N870" s="6">
        <v>157.04</v>
      </c>
      <c r="O870" s="6">
        <v>84.93</v>
      </c>
      <c r="P870" s="6">
        <v>72.11</v>
      </c>
      <c r="Q870" t="s">
        <v>65</v>
      </c>
      <c r="R870" t="s">
        <v>60</v>
      </c>
      <c r="S870" t="s">
        <v>61</v>
      </c>
    </row>
    <row r="871" spans="1:19" x14ac:dyDescent="0.35">
      <c r="A871" t="s">
        <v>996</v>
      </c>
      <c r="B871" s="5">
        <v>45720</v>
      </c>
      <c r="C871" t="s">
        <v>104</v>
      </c>
      <c r="D871" t="s">
        <v>105</v>
      </c>
      <c r="E871">
        <v>1</v>
      </c>
      <c r="F871" s="6">
        <v>65</v>
      </c>
      <c r="G871" s="7">
        <v>5</v>
      </c>
      <c r="H871" s="6">
        <v>61.75</v>
      </c>
      <c r="I871">
        <v>0</v>
      </c>
      <c r="J871" s="6">
        <v>0</v>
      </c>
      <c r="K871">
        <v>1</v>
      </c>
      <c r="L871" s="6">
        <v>61.75</v>
      </c>
      <c r="M871" s="6">
        <v>43.62</v>
      </c>
      <c r="N871" s="6">
        <v>18.13</v>
      </c>
      <c r="O871" s="6">
        <v>6.43</v>
      </c>
      <c r="P871" s="6">
        <v>11.7</v>
      </c>
      <c r="Q871" t="s">
        <v>81</v>
      </c>
      <c r="R871" t="s">
        <v>60</v>
      </c>
      <c r="S871" t="s">
        <v>67</v>
      </c>
    </row>
    <row r="872" spans="1:19" x14ac:dyDescent="0.35">
      <c r="A872" t="s">
        <v>997</v>
      </c>
      <c r="B872" s="5">
        <v>45936</v>
      </c>
      <c r="C872" t="s">
        <v>92</v>
      </c>
      <c r="D872" t="s">
        <v>79</v>
      </c>
      <c r="E872">
        <v>2</v>
      </c>
      <c r="F872" s="6">
        <v>85</v>
      </c>
      <c r="G872" s="7">
        <v>15</v>
      </c>
      <c r="H872" s="6">
        <v>144.5</v>
      </c>
      <c r="I872">
        <v>0</v>
      </c>
      <c r="J872" s="6">
        <v>0</v>
      </c>
      <c r="K872">
        <v>2</v>
      </c>
      <c r="L872" s="6">
        <v>144.5</v>
      </c>
      <c r="M872" s="6">
        <v>121.95</v>
      </c>
      <c r="N872" s="6">
        <v>22.55</v>
      </c>
      <c r="O872" s="6">
        <v>12.1</v>
      </c>
      <c r="P872" s="6">
        <v>10.45</v>
      </c>
      <c r="Q872" t="s">
        <v>81</v>
      </c>
      <c r="R872" t="s">
        <v>82</v>
      </c>
      <c r="S872" t="s">
        <v>67</v>
      </c>
    </row>
    <row r="873" spans="1:19" x14ac:dyDescent="0.35">
      <c r="A873" t="s">
        <v>998</v>
      </c>
      <c r="B873" s="5">
        <v>45906</v>
      </c>
      <c r="C873" t="s">
        <v>90</v>
      </c>
      <c r="D873" t="s">
        <v>70</v>
      </c>
      <c r="E873">
        <v>4</v>
      </c>
      <c r="F873" s="6">
        <v>38</v>
      </c>
      <c r="G873" s="7">
        <v>0</v>
      </c>
      <c r="H873" s="6">
        <v>152</v>
      </c>
      <c r="I873">
        <v>0</v>
      </c>
      <c r="J873" s="6">
        <v>0</v>
      </c>
      <c r="K873">
        <v>4</v>
      </c>
      <c r="L873" s="6">
        <v>152</v>
      </c>
      <c r="M873" s="6">
        <v>101.5</v>
      </c>
      <c r="N873" s="6">
        <v>50.5</v>
      </c>
      <c r="O873" s="6">
        <v>8.34</v>
      </c>
      <c r="P873" s="6">
        <v>42.16</v>
      </c>
      <c r="Q873" t="s">
        <v>81</v>
      </c>
      <c r="R873" t="s">
        <v>86</v>
      </c>
      <c r="S873" t="s">
        <v>76</v>
      </c>
    </row>
    <row r="874" spans="1:19" x14ac:dyDescent="0.35">
      <c r="A874" t="s">
        <v>999</v>
      </c>
      <c r="B874" s="5">
        <v>45703</v>
      </c>
      <c r="C874" t="s">
        <v>104</v>
      </c>
      <c r="D874" t="s">
        <v>105</v>
      </c>
      <c r="E874">
        <v>5</v>
      </c>
      <c r="F874" s="6">
        <v>65</v>
      </c>
      <c r="G874" s="7">
        <v>0</v>
      </c>
      <c r="H874" s="6">
        <v>325</v>
      </c>
      <c r="I874">
        <v>0</v>
      </c>
      <c r="J874" s="6">
        <v>0</v>
      </c>
      <c r="K874">
        <v>5</v>
      </c>
      <c r="L874" s="6">
        <v>325</v>
      </c>
      <c r="M874" s="6">
        <v>216.64</v>
      </c>
      <c r="N874" s="6">
        <v>108.36</v>
      </c>
      <c r="O874" s="6">
        <v>40.56</v>
      </c>
      <c r="P874" s="6">
        <v>67.8</v>
      </c>
      <c r="Q874" t="s">
        <v>75</v>
      </c>
      <c r="R874" t="s">
        <v>82</v>
      </c>
      <c r="S874" t="s">
        <v>67</v>
      </c>
    </row>
    <row r="875" spans="1:19" x14ac:dyDescent="0.35">
      <c r="A875" t="s">
        <v>1000</v>
      </c>
      <c r="B875" s="5">
        <v>45928</v>
      </c>
      <c r="C875" t="s">
        <v>125</v>
      </c>
      <c r="D875" t="s">
        <v>85</v>
      </c>
      <c r="E875">
        <v>2</v>
      </c>
      <c r="F875" s="6">
        <v>125</v>
      </c>
      <c r="G875" s="7">
        <v>0</v>
      </c>
      <c r="H875" s="6">
        <v>250</v>
      </c>
      <c r="I875">
        <v>0</v>
      </c>
      <c r="J875" s="6">
        <v>0</v>
      </c>
      <c r="K875">
        <v>2</v>
      </c>
      <c r="L875" s="6">
        <v>250</v>
      </c>
      <c r="M875" s="6">
        <v>164.44</v>
      </c>
      <c r="N875" s="6">
        <v>85.56</v>
      </c>
      <c r="O875" s="6">
        <v>31.44</v>
      </c>
      <c r="P875" s="6">
        <v>54.12</v>
      </c>
      <c r="Q875" t="s">
        <v>75</v>
      </c>
      <c r="R875" t="s">
        <v>82</v>
      </c>
      <c r="S875" t="s">
        <v>76</v>
      </c>
    </row>
    <row r="876" spans="1:19" x14ac:dyDescent="0.35">
      <c r="A876" t="s">
        <v>1001</v>
      </c>
      <c r="B876" s="5">
        <v>45768</v>
      </c>
      <c r="C876" t="s">
        <v>109</v>
      </c>
      <c r="D876" t="s">
        <v>85</v>
      </c>
      <c r="E876">
        <v>1</v>
      </c>
      <c r="F876" s="6">
        <v>180</v>
      </c>
      <c r="G876" s="7">
        <v>10</v>
      </c>
      <c r="H876" s="6">
        <v>162</v>
      </c>
      <c r="I876">
        <v>0</v>
      </c>
      <c r="J876" s="6">
        <v>0</v>
      </c>
      <c r="K876">
        <v>1</v>
      </c>
      <c r="L876" s="6">
        <v>162</v>
      </c>
      <c r="M876" s="6">
        <v>116.17</v>
      </c>
      <c r="N876" s="6">
        <v>45.83</v>
      </c>
      <c r="O876" s="6">
        <v>17.25</v>
      </c>
      <c r="P876" s="6">
        <v>28.58</v>
      </c>
      <c r="Q876" t="s">
        <v>75</v>
      </c>
      <c r="R876" t="s">
        <v>60</v>
      </c>
      <c r="S876" t="s">
        <v>67</v>
      </c>
    </row>
    <row r="877" spans="1:19" x14ac:dyDescent="0.35">
      <c r="A877" t="s">
        <v>1002</v>
      </c>
      <c r="B877" s="5">
        <v>46014</v>
      </c>
      <c r="C877" t="s">
        <v>208</v>
      </c>
      <c r="D877" t="s">
        <v>85</v>
      </c>
      <c r="E877">
        <v>5</v>
      </c>
      <c r="F877" s="6">
        <v>20</v>
      </c>
      <c r="G877" s="7">
        <v>5</v>
      </c>
      <c r="H877" s="6">
        <v>95</v>
      </c>
      <c r="I877">
        <v>0</v>
      </c>
      <c r="J877" s="6">
        <v>0</v>
      </c>
      <c r="K877">
        <v>5</v>
      </c>
      <c r="L877" s="6">
        <v>95</v>
      </c>
      <c r="M877" s="6">
        <v>66.89</v>
      </c>
      <c r="N877" s="6">
        <v>28.11</v>
      </c>
      <c r="O877" s="6">
        <v>8.81</v>
      </c>
      <c r="P877" s="6">
        <v>19.3</v>
      </c>
      <c r="Q877" t="s">
        <v>59</v>
      </c>
      <c r="R877" t="s">
        <v>86</v>
      </c>
      <c r="S877" t="s">
        <v>71</v>
      </c>
    </row>
    <row r="878" spans="1:19" x14ac:dyDescent="0.35">
      <c r="A878" t="s">
        <v>1003</v>
      </c>
      <c r="B878" s="5">
        <v>45908</v>
      </c>
      <c r="C878" t="s">
        <v>104</v>
      </c>
      <c r="D878" t="s">
        <v>105</v>
      </c>
      <c r="E878">
        <v>2</v>
      </c>
      <c r="F878" s="6">
        <v>65</v>
      </c>
      <c r="G878" s="7">
        <v>0</v>
      </c>
      <c r="H878" s="6">
        <v>130</v>
      </c>
      <c r="I878">
        <v>0</v>
      </c>
      <c r="J878" s="6">
        <v>0</v>
      </c>
      <c r="K878">
        <v>2</v>
      </c>
      <c r="L878" s="6">
        <v>130</v>
      </c>
      <c r="M878" s="6">
        <v>85.8</v>
      </c>
      <c r="N878" s="6">
        <v>44.2</v>
      </c>
      <c r="O878" s="6">
        <v>13.87</v>
      </c>
      <c r="P878" s="6">
        <v>30.33</v>
      </c>
      <c r="Q878" t="s">
        <v>75</v>
      </c>
      <c r="R878" t="s">
        <v>86</v>
      </c>
      <c r="S878" t="s">
        <v>67</v>
      </c>
    </row>
    <row r="879" spans="1:19" x14ac:dyDescent="0.35">
      <c r="A879" t="s">
        <v>1004</v>
      </c>
      <c r="B879" s="5">
        <v>45848</v>
      </c>
      <c r="C879" t="s">
        <v>90</v>
      </c>
      <c r="D879" t="s">
        <v>70</v>
      </c>
      <c r="E879">
        <v>1</v>
      </c>
      <c r="F879" s="6">
        <v>38</v>
      </c>
      <c r="G879" s="7">
        <v>0</v>
      </c>
      <c r="H879" s="6">
        <v>38</v>
      </c>
      <c r="I879">
        <v>0</v>
      </c>
      <c r="J879" s="6">
        <v>0</v>
      </c>
      <c r="K879">
        <v>1</v>
      </c>
      <c r="L879" s="6">
        <v>38</v>
      </c>
      <c r="M879" s="6">
        <v>30.38</v>
      </c>
      <c r="N879" s="6">
        <v>7.62</v>
      </c>
      <c r="O879" s="6">
        <v>4.38</v>
      </c>
      <c r="P879" s="6">
        <v>3.24</v>
      </c>
      <c r="Q879" t="s">
        <v>59</v>
      </c>
      <c r="R879" t="s">
        <v>66</v>
      </c>
      <c r="S879" t="s">
        <v>67</v>
      </c>
    </row>
    <row r="880" spans="1:19" x14ac:dyDescent="0.35">
      <c r="A880" t="s">
        <v>1005</v>
      </c>
      <c r="B880" s="5">
        <v>45900</v>
      </c>
      <c r="C880" t="s">
        <v>88</v>
      </c>
      <c r="D880" t="s">
        <v>57</v>
      </c>
      <c r="E880">
        <v>2</v>
      </c>
      <c r="F880" s="6">
        <v>30</v>
      </c>
      <c r="G880" s="7">
        <v>0</v>
      </c>
      <c r="H880" s="6">
        <v>60</v>
      </c>
      <c r="I880">
        <v>0</v>
      </c>
      <c r="J880" s="6">
        <v>0</v>
      </c>
      <c r="K880">
        <v>2</v>
      </c>
      <c r="L880" s="6">
        <v>60</v>
      </c>
      <c r="M880" s="6">
        <v>47.75</v>
      </c>
      <c r="N880" s="6">
        <v>12.25</v>
      </c>
      <c r="O880" s="6">
        <v>3.01</v>
      </c>
      <c r="P880" s="6">
        <v>9.24</v>
      </c>
      <c r="Q880" t="s">
        <v>65</v>
      </c>
      <c r="R880" t="s">
        <v>66</v>
      </c>
      <c r="S880" t="s">
        <v>71</v>
      </c>
    </row>
    <row r="881" spans="1:19" x14ac:dyDescent="0.35">
      <c r="A881" t="s">
        <v>1006</v>
      </c>
      <c r="B881" s="5">
        <v>45886</v>
      </c>
      <c r="C881" t="s">
        <v>376</v>
      </c>
      <c r="D881" t="s">
        <v>64</v>
      </c>
      <c r="E881">
        <v>3</v>
      </c>
      <c r="F881" s="6">
        <v>145</v>
      </c>
      <c r="G881" s="7">
        <v>2</v>
      </c>
      <c r="H881" s="6">
        <v>426.3</v>
      </c>
      <c r="I881">
        <v>0</v>
      </c>
      <c r="J881" s="6">
        <v>0</v>
      </c>
      <c r="K881">
        <v>3</v>
      </c>
      <c r="L881" s="6">
        <v>426.3</v>
      </c>
      <c r="M881" s="6">
        <v>309.91000000000003</v>
      </c>
      <c r="N881" s="6">
        <v>116.39</v>
      </c>
      <c r="O881" s="6">
        <v>30.35</v>
      </c>
      <c r="P881" s="6">
        <v>86.04</v>
      </c>
      <c r="Q881" t="s">
        <v>59</v>
      </c>
      <c r="R881" t="s">
        <v>86</v>
      </c>
      <c r="S881" t="s">
        <v>67</v>
      </c>
    </row>
    <row r="882" spans="1:19" x14ac:dyDescent="0.35">
      <c r="A882" t="s">
        <v>1007</v>
      </c>
      <c r="B882" s="5">
        <v>46012</v>
      </c>
      <c r="C882" t="s">
        <v>69</v>
      </c>
      <c r="D882" t="s">
        <v>70</v>
      </c>
      <c r="E882">
        <v>3</v>
      </c>
      <c r="F882" s="6">
        <v>210</v>
      </c>
      <c r="G882" s="7">
        <v>0</v>
      </c>
      <c r="H882" s="6">
        <v>630</v>
      </c>
      <c r="I882">
        <v>0</v>
      </c>
      <c r="J882" s="6">
        <v>0</v>
      </c>
      <c r="K882">
        <v>3</v>
      </c>
      <c r="L882" s="6">
        <v>630</v>
      </c>
      <c r="M882" s="6">
        <v>393.32</v>
      </c>
      <c r="N882" s="6">
        <v>236.68</v>
      </c>
      <c r="O882" s="6">
        <v>35.450000000000003</v>
      </c>
      <c r="P882" s="6">
        <v>201.23</v>
      </c>
      <c r="Q882" t="s">
        <v>65</v>
      </c>
      <c r="R882" t="s">
        <v>86</v>
      </c>
      <c r="S882" t="s">
        <v>67</v>
      </c>
    </row>
    <row r="883" spans="1:19" x14ac:dyDescent="0.35">
      <c r="A883" t="s">
        <v>1008</v>
      </c>
      <c r="B883" s="5">
        <v>45936</v>
      </c>
      <c r="C883" t="s">
        <v>121</v>
      </c>
      <c r="D883" t="s">
        <v>70</v>
      </c>
      <c r="E883">
        <v>1</v>
      </c>
      <c r="F883" s="6">
        <v>110</v>
      </c>
      <c r="G883" s="7">
        <v>0</v>
      </c>
      <c r="H883" s="6">
        <v>110</v>
      </c>
      <c r="I883">
        <v>0</v>
      </c>
      <c r="J883" s="6">
        <v>0</v>
      </c>
      <c r="K883">
        <v>1</v>
      </c>
      <c r="L883" s="6">
        <v>110</v>
      </c>
      <c r="M883" s="6">
        <v>91.39</v>
      </c>
      <c r="N883" s="6">
        <v>18.61</v>
      </c>
      <c r="O883" s="6">
        <v>13.68</v>
      </c>
      <c r="P883" s="6">
        <v>4.93</v>
      </c>
      <c r="Q883" t="s">
        <v>75</v>
      </c>
      <c r="R883" t="s">
        <v>82</v>
      </c>
      <c r="S883" t="s">
        <v>71</v>
      </c>
    </row>
    <row r="884" spans="1:19" x14ac:dyDescent="0.35">
      <c r="A884" t="s">
        <v>1009</v>
      </c>
      <c r="B884" s="5">
        <v>45864</v>
      </c>
      <c r="C884" t="s">
        <v>78</v>
      </c>
      <c r="D884" t="s">
        <v>79</v>
      </c>
      <c r="E884">
        <v>6</v>
      </c>
      <c r="F884" s="6">
        <v>120</v>
      </c>
      <c r="G884" s="7">
        <v>0</v>
      </c>
      <c r="H884" s="6">
        <v>720</v>
      </c>
      <c r="I884">
        <v>0</v>
      </c>
      <c r="J884" s="6">
        <v>0</v>
      </c>
      <c r="K884">
        <v>6</v>
      </c>
      <c r="L884" s="6">
        <v>720</v>
      </c>
      <c r="M884" s="6">
        <v>542.46</v>
      </c>
      <c r="N884" s="6">
        <v>177.54</v>
      </c>
      <c r="O884" s="6">
        <v>62.5</v>
      </c>
      <c r="P884" s="6">
        <v>115.04</v>
      </c>
      <c r="Q884" t="s">
        <v>81</v>
      </c>
      <c r="R884" t="s">
        <v>60</v>
      </c>
      <c r="S884" t="s">
        <v>61</v>
      </c>
    </row>
    <row r="885" spans="1:19" x14ac:dyDescent="0.35">
      <c r="A885" t="s">
        <v>1010</v>
      </c>
      <c r="B885" s="5">
        <v>45940</v>
      </c>
      <c r="C885" t="s">
        <v>117</v>
      </c>
      <c r="D885" t="s">
        <v>74</v>
      </c>
      <c r="E885">
        <v>5</v>
      </c>
      <c r="F885" s="6">
        <v>95</v>
      </c>
      <c r="G885" s="7">
        <v>0</v>
      </c>
      <c r="H885" s="6">
        <v>475</v>
      </c>
      <c r="I885">
        <v>0</v>
      </c>
      <c r="J885" s="6">
        <v>0</v>
      </c>
      <c r="K885">
        <v>5</v>
      </c>
      <c r="L885" s="6">
        <v>475</v>
      </c>
      <c r="M885" s="6">
        <v>363.01</v>
      </c>
      <c r="N885" s="6">
        <v>111.99</v>
      </c>
      <c r="O885" s="6">
        <v>42.66</v>
      </c>
      <c r="P885" s="6">
        <v>69.33</v>
      </c>
      <c r="Q885" t="s">
        <v>81</v>
      </c>
      <c r="R885" t="s">
        <v>60</v>
      </c>
      <c r="S885" t="s">
        <v>76</v>
      </c>
    </row>
    <row r="886" spans="1:19" x14ac:dyDescent="0.35">
      <c r="A886" t="s">
        <v>1011</v>
      </c>
      <c r="B886" s="5">
        <v>45981</v>
      </c>
      <c r="C886" t="s">
        <v>107</v>
      </c>
      <c r="D886" t="s">
        <v>74</v>
      </c>
      <c r="E886">
        <v>1</v>
      </c>
      <c r="F886" s="6">
        <v>125</v>
      </c>
      <c r="G886" s="7">
        <v>0</v>
      </c>
      <c r="H886" s="6">
        <v>125</v>
      </c>
      <c r="I886">
        <v>0</v>
      </c>
      <c r="J886" s="6">
        <v>0</v>
      </c>
      <c r="K886">
        <v>1</v>
      </c>
      <c r="L886" s="6">
        <v>125</v>
      </c>
      <c r="M886" s="6">
        <v>106.69</v>
      </c>
      <c r="N886" s="6">
        <v>18.309999999999999</v>
      </c>
      <c r="O886" s="6">
        <v>14.31</v>
      </c>
      <c r="P886" s="6">
        <v>4</v>
      </c>
      <c r="Q886" t="s">
        <v>65</v>
      </c>
      <c r="R886" t="s">
        <v>60</v>
      </c>
      <c r="S886" t="s">
        <v>61</v>
      </c>
    </row>
    <row r="887" spans="1:19" x14ac:dyDescent="0.35">
      <c r="A887" t="s">
        <v>1012</v>
      </c>
      <c r="B887" s="5">
        <v>45851</v>
      </c>
      <c r="C887" t="s">
        <v>114</v>
      </c>
      <c r="D887" t="s">
        <v>64</v>
      </c>
      <c r="E887">
        <v>3</v>
      </c>
      <c r="F887" s="6">
        <v>420</v>
      </c>
      <c r="G887" s="7">
        <v>5</v>
      </c>
      <c r="H887" s="6">
        <v>1197</v>
      </c>
      <c r="I887">
        <v>0</v>
      </c>
      <c r="J887" s="6">
        <v>0</v>
      </c>
      <c r="K887">
        <v>3</v>
      </c>
      <c r="L887" s="6">
        <v>1197</v>
      </c>
      <c r="M887" s="6">
        <v>838.55</v>
      </c>
      <c r="N887" s="6">
        <v>358.45</v>
      </c>
      <c r="O887" s="6">
        <v>101.29</v>
      </c>
      <c r="P887" s="6">
        <v>257.16000000000003</v>
      </c>
      <c r="Q887" t="s">
        <v>65</v>
      </c>
      <c r="R887" t="s">
        <v>60</v>
      </c>
      <c r="S887" t="s">
        <v>61</v>
      </c>
    </row>
    <row r="888" spans="1:19" x14ac:dyDescent="0.35">
      <c r="A888" t="s">
        <v>1013</v>
      </c>
      <c r="B888" s="5">
        <v>45709</v>
      </c>
      <c r="C888" t="s">
        <v>90</v>
      </c>
      <c r="D888" t="s">
        <v>70</v>
      </c>
      <c r="E888">
        <v>4</v>
      </c>
      <c r="F888" s="6">
        <v>38</v>
      </c>
      <c r="G888" s="7">
        <v>2</v>
      </c>
      <c r="H888" s="6">
        <v>148.96</v>
      </c>
      <c r="I888">
        <v>0</v>
      </c>
      <c r="J888" s="6">
        <v>0</v>
      </c>
      <c r="K888">
        <v>4</v>
      </c>
      <c r="L888" s="6">
        <v>148.96</v>
      </c>
      <c r="M888" s="6">
        <v>103.43</v>
      </c>
      <c r="N888" s="6">
        <v>45.53</v>
      </c>
      <c r="O888" s="6">
        <v>8.5299999999999994</v>
      </c>
      <c r="P888" s="6">
        <v>37</v>
      </c>
      <c r="Q888" t="s">
        <v>65</v>
      </c>
      <c r="R888" t="s">
        <v>86</v>
      </c>
      <c r="S888" t="s">
        <v>67</v>
      </c>
    </row>
    <row r="889" spans="1:19" x14ac:dyDescent="0.35">
      <c r="A889" t="s">
        <v>1014</v>
      </c>
      <c r="B889" s="5">
        <v>45888</v>
      </c>
      <c r="C889" t="s">
        <v>107</v>
      </c>
      <c r="D889" t="s">
        <v>74</v>
      </c>
      <c r="E889">
        <v>1</v>
      </c>
      <c r="F889" s="6">
        <v>125</v>
      </c>
      <c r="G889" s="7">
        <v>0</v>
      </c>
      <c r="H889" s="6">
        <v>125</v>
      </c>
      <c r="I889">
        <v>0</v>
      </c>
      <c r="J889" s="6">
        <v>0</v>
      </c>
      <c r="K889">
        <v>1</v>
      </c>
      <c r="L889" s="6">
        <v>125</v>
      </c>
      <c r="M889" s="6">
        <v>87.1</v>
      </c>
      <c r="N889" s="6">
        <v>37.9</v>
      </c>
      <c r="O889" s="6">
        <v>12.79</v>
      </c>
      <c r="P889" s="6">
        <v>25.11</v>
      </c>
      <c r="Q889" t="s">
        <v>75</v>
      </c>
      <c r="R889" t="s">
        <v>82</v>
      </c>
      <c r="S889" t="s">
        <v>61</v>
      </c>
    </row>
    <row r="890" spans="1:19" x14ac:dyDescent="0.35">
      <c r="A890" t="s">
        <v>1015</v>
      </c>
      <c r="B890" s="5">
        <v>45715</v>
      </c>
      <c r="C890" t="s">
        <v>69</v>
      </c>
      <c r="D890" t="s">
        <v>70</v>
      </c>
      <c r="E890">
        <v>1</v>
      </c>
      <c r="F890" s="6">
        <v>210</v>
      </c>
      <c r="G890" s="7">
        <v>15</v>
      </c>
      <c r="H890" s="6">
        <v>178.5</v>
      </c>
      <c r="I890">
        <v>0</v>
      </c>
      <c r="J890" s="6">
        <v>0</v>
      </c>
      <c r="K890">
        <v>1</v>
      </c>
      <c r="L890" s="6">
        <v>178.5</v>
      </c>
      <c r="M890" s="6">
        <v>136.94999999999999</v>
      </c>
      <c r="N890" s="6">
        <v>41.55</v>
      </c>
      <c r="O890" s="6">
        <v>9.8800000000000008</v>
      </c>
      <c r="P890" s="6">
        <v>31.67</v>
      </c>
      <c r="Q890" t="s">
        <v>75</v>
      </c>
      <c r="R890" t="s">
        <v>82</v>
      </c>
      <c r="S890" t="s">
        <v>71</v>
      </c>
    </row>
    <row r="891" spans="1:19" x14ac:dyDescent="0.35">
      <c r="A891" t="s">
        <v>1016</v>
      </c>
      <c r="B891" s="5">
        <v>45870</v>
      </c>
      <c r="C891" t="s">
        <v>557</v>
      </c>
      <c r="D891" t="s">
        <v>74</v>
      </c>
      <c r="E891">
        <v>8</v>
      </c>
      <c r="F891" s="6">
        <v>95</v>
      </c>
      <c r="G891" s="7">
        <v>5</v>
      </c>
      <c r="H891" s="6">
        <v>722</v>
      </c>
      <c r="I891">
        <v>0</v>
      </c>
      <c r="J891" s="6">
        <v>0</v>
      </c>
      <c r="K891">
        <v>8</v>
      </c>
      <c r="L891" s="6">
        <v>722</v>
      </c>
      <c r="M891" s="6">
        <v>484.38</v>
      </c>
      <c r="N891" s="6">
        <v>237.62</v>
      </c>
      <c r="O891" s="6">
        <v>75.86</v>
      </c>
      <c r="P891" s="6">
        <v>161.76</v>
      </c>
      <c r="Q891" t="s">
        <v>65</v>
      </c>
      <c r="R891" t="s">
        <v>66</v>
      </c>
      <c r="S891" t="s">
        <v>61</v>
      </c>
    </row>
    <row r="892" spans="1:19" x14ac:dyDescent="0.35">
      <c r="A892" t="s">
        <v>1017</v>
      </c>
      <c r="B892" s="5">
        <v>45974</v>
      </c>
      <c r="C892" t="s">
        <v>643</v>
      </c>
      <c r="D892" t="s">
        <v>70</v>
      </c>
      <c r="E892">
        <v>5</v>
      </c>
      <c r="F892" s="6">
        <v>210</v>
      </c>
      <c r="G892" s="7">
        <v>0</v>
      </c>
      <c r="H892" s="6">
        <v>1050</v>
      </c>
      <c r="I892">
        <v>0</v>
      </c>
      <c r="J892" s="6">
        <v>0</v>
      </c>
      <c r="K892">
        <v>5</v>
      </c>
      <c r="L892" s="6">
        <v>1050</v>
      </c>
      <c r="M892" s="6">
        <v>825.53</v>
      </c>
      <c r="N892" s="6">
        <v>224.47</v>
      </c>
      <c r="O892" s="6">
        <v>128.72999999999999</v>
      </c>
      <c r="P892" s="6">
        <v>95.74</v>
      </c>
      <c r="Q892" t="s">
        <v>65</v>
      </c>
      <c r="R892" t="s">
        <v>86</v>
      </c>
      <c r="S892" t="s">
        <v>71</v>
      </c>
    </row>
    <row r="893" spans="1:19" x14ac:dyDescent="0.35">
      <c r="A893" t="s">
        <v>1018</v>
      </c>
      <c r="B893" s="5">
        <v>46020</v>
      </c>
      <c r="C893" t="s">
        <v>92</v>
      </c>
      <c r="D893" t="s">
        <v>79</v>
      </c>
      <c r="E893">
        <v>2</v>
      </c>
      <c r="F893" s="6">
        <v>85</v>
      </c>
      <c r="G893" s="7">
        <v>0</v>
      </c>
      <c r="H893" s="6">
        <v>170</v>
      </c>
      <c r="I893">
        <v>0</v>
      </c>
      <c r="J893" s="6">
        <v>0</v>
      </c>
      <c r="K893">
        <v>2</v>
      </c>
      <c r="L893" s="6">
        <v>170</v>
      </c>
      <c r="M893" s="6">
        <v>108.27</v>
      </c>
      <c r="N893" s="6">
        <v>61.73</v>
      </c>
      <c r="O893" s="6">
        <v>12.91</v>
      </c>
      <c r="P893" s="6">
        <v>48.82</v>
      </c>
      <c r="Q893" t="s">
        <v>81</v>
      </c>
      <c r="R893" t="s">
        <v>60</v>
      </c>
      <c r="S893" t="s">
        <v>71</v>
      </c>
    </row>
    <row r="894" spans="1:19" x14ac:dyDescent="0.35">
      <c r="A894" t="s">
        <v>1019</v>
      </c>
      <c r="B894" s="5">
        <v>45922</v>
      </c>
      <c r="C894" t="s">
        <v>88</v>
      </c>
      <c r="D894" t="s">
        <v>57</v>
      </c>
      <c r="E894">
        <v>4</v>
      </c>
      <c r="F894" s="6">
        <v>30</v>
      </c>
      <c r="G894" s="7">
        <v>0</v>
      </c>
      <c r="H894" s="6">
        <v>120</v>
      </c>
      <c r="I894">
        <v>0</v>
      </c>
      <c r="J894" s="6">
        <v>0</v>
      </c>
      <c r="K894">
        <v>4</v>
      </c>
      <c r="L894" s="6">
        <v>120</v>
      </c>
      <c r="M894" s="6">
        <v>88.41</v>
      </c>
      <c r="N894" s="6">
        <v>31.59</v>
      </c>
      <c r="O894" s="6">
        <v>14.32</v>
      </c>
      <c r="P894" s="6">
        <v>17.27</v>
      </c>
      <c r="Q894" t="s">
        <v>59</v>
      </c>
      <c r="R894" t="s">
        <v>60</v>
      </c>
      <c r="S894" t="s">
        <v>67</v>
      </c>
    </row>
    <row r="895" spans="1:19" x14ac:dyDescent="0.35">
      <c r="A895" t="s">
        <v>1020</v>
      </c>
      <c r="B895" s="5">
        <v>45820</v>
      </c>
      <c r="C895" t="s">
        <v>90</v>
      </c>
      <c r="D895" t="s">
        <v>70</v>
      </c>
      <c r="E895">
        <v>5</v>
      </c>
      <c r="F895" s="6">
        <v>38</v>
      </c>
      <c r="G895" s="7">
        <v>2</v>
      </c>
      <c r="H895" s="6">
        <v>186.2</v>
      </c>
      <c r="I895">
        <v>0</v>
      </c>
      <c r="J895" s="6">
        <v>0</v>
      </c>
      <c r="K895">
        <v>5</v>
      </c>
      <c r="L895" s="6">
        <v>186.2</v>
      </c>
      <c r="M895" s="6">
        <v>136.52000000000001</v>
      </c>
      <c r="N895" s="6">
        <v>49.68</v>
      </c>
      <c r="O895" s="6">
        <v>10</v>
      </c>
      <c r="P895" s="6">
        <v>39.68</v>
      </c>
      <c r="Q895" t="s">
        <v>59</v>
      </c>
      <c r="R895" t="s">
        <v>86</v>
      </c>
      <c r="S895" t="s">
        <v>61</v>
      </c>
    </row>
    <row r="896" spans="1:19" x14ac:dyDescent="0.35">
      <c r="A896" t="s">
        <v>1021</v>
      </c>
      <c r="B896" s="5">
        <v>45775</v>
      </c>
      <c r="C896" t="s">
        <v>109</v>
      </c>
      <c r="D896" t="s">
        <v>85</v>
      </c>
      <c r="E896">
        <v>3</v>
      </c>
      <c r="F896" s="6">
        <v>180</v>
      </c>
      <c r="G896" s="7">
        <v>0</v>
      </c>
      <c r="H896" s="6">
        <v>540</v>
      </c>
      <c r="I896">
        <v>0</v>
      </c>
      <c r="J896" s="6">
        <v>0</v>
      </c>
      <c r="K896">
        <v>3</v>
      </c>
      <c r="L896" s="6">
        <v>540</v>
      </c>
      <c r="M896" s="6">
        <v>374.48</v>
      </c>
      <c r="N896" s="6">
        <v>165.52</v>
      </c>
      <c r="O896" s="6">
        <v>37.340000000000003</v>
      </c>
      <c r="P896" s="6">
        <v>128.18</v>
      </c>
      <c r="Q896" t="s">
        <v>81</v>
      </c>
      <c r="R896" t="s">
        <v>86</v>
      </c>
      <c r="S896" t="s">
        <v>76</v>
      </c>
    </row>
    <row r="897" spans="1:19" x14ac:dyDescent="0.35">
      <c r="A897" t="s">
        <v>1022</v>
      </c>
      <c r="B897" s="5">
        <v>45683</v>
      </c>
      <c r="C897" t="s">
        <v>121</v>
      </c>
      <c r="D897" t="s">
        <v>70</v>
      </c>
      <c r="E897">
        <v>3</v>
      </c>
      <c r="F897" s="6">
        <v>110</v>
      </c>
      <c r="G897" s="7">
        <v>0</v>
      </c>
      <c r="H897" s="6">
        <v>330</v>
      </c>
      <c r="I897">
        <v>0</v>
      </c>
      <c r="J897" s="6">
        <v>0</v>
      </c>
      <c r="K897">
        <v>3</v>
      </c>
      <c r="L897" s="6">
        <v>330</v>
      </c>
      <c r="M897" s="6">
        <v>262.49</v>
      </c>
      <c r="N897" s="6">
        <v>67.510000000000005</v>
      </c>
      <c r="O897" s="6">
        <v>35.96</v>
      </c>
      <c r="P897" s="6">
        <v>31.55</v>
      </c>
      <c r="Q897" t="s">
        <v>81</v>
      </c>
      <c r="R897" t="s">
        <v>86</v>
      </c>
      <c r="S897" t="s">
        <v>67</v>
      </c>
    </row>
    <row r="898" spans="1:19" x14ac:dyDescent="0.35">
      <c r="A898" t="s">
        <v>1023</v>
      </c>
      <c r="B898" s="5">
        <v>46001</v>
      </c>
      <c r="C898" t="s">
        <v>92</v>
      </c>
      <c r="D898" t="s">
        <v>79</v>
      </c>
      <c r="E898">
        <v>4</v>
      </c>
      <c r="F898" s="6">
        <v>85</v>
      </c>
      <c r="G898" s="7">
        <v>0</v>
      </c>
      <c r="H898" s="6">
        <v>340</v>
      </c>
      <c r="I898">
        <v>0</v>
      </c>
      <c r="J898" s="6">
        <v>0</v>
      </c>
      <c r="K898">
        <v>4</v>
      </c>
      <c r="L898" s="6">
        <v>340</v>
      </c>
      <c r="M898" s="6">
        <v>280.95999999999998</v>
      </c>
      <c r="N898" s="6">
        <v>59.04</v>
      </c>
      <c r="O898" s="6">
        <v>24.14</v>
      </c>
      <c r="P898" s="6">
        <v>34.9</v>
      </c>
      <c r="Q898" t="s">
        <v>75</v>
      </c>
      <c r="R898" t="s">
        <v>66</v>
      </c>
      <c r="S898" t="s">
        <v>76</v>
      </c>
    </row>
    <row r="899" spans="1:19" x14ac:dyDescent="0.35">
      <c r="A899" t="s">
        <v>1024</v>
      </c>
      <c r="B899" s="5">
        <v>45895</v>
      </c>
      <c r="C899" t="s">
        <v>69</v>
      </c>
      <c r="D899" t="s">
        <v>70</v>
      </c>
      <c r="E899">
        <v>2</v>
      </c>
      <c r="F899" s="6">
        <v>210</v>
      </c>
      <c r="G899" s="7">
        <v>5</v>
      </c>
      <c r="H899" s="6">
        <v>399</v>
      </c>
      <c r="I899">
        <v>0</v>
      </c>
      <c r="J899" s="6">
        <v>0</v>
      </c>
      <c r="K899">
        <v>2</v>
      </c>
      <c r="L899" s="6">
        <v>399</v>
      </c>
      <c r="M899" s="6">
        <v>281.51</v>
      </c>
      <c r="N899" s="6">
        <v>117.49</v>
      </c>
      <c r="O899" s="6">
        <v>50.65</v>
      </c>
      <c r="P899" s="6">
        <v>66.84</v>
      </c>
      <c r="Q899" t="s">
        <v>65</v>
      </c>
      <c r="R899" t="s">
        <v>82</v>
      </c>
      <c r="S899" t="s">
        <v>61</v>
      </c>
    </row>
    <row r="900" spans="1:19" x14ac:dyDescent="0.35">
      <c r="A900" t="s">
        <v>1025</v>
      </c>
      <c r="B900" s="5">
        <v>45987</v>
      </c>
      <c r="C900" t="s">
        <v>63</v>
      </c>
      <c r="D900" t="s">
        <v>64</v>
      </c>
      <c r="E900">
        <v>3</v>
      </c>
      <c r="F900" s="6">
        <v>145</v>
      </c>
      <c r="G900" s="7">
        <v>0</v>
      </c>
      <c r="H900" s="6">
        <v>435</v>
      </c>
      <c r="I900">
        <v>0</v>
      </c>
      <c r="J900" s="6">
        <v>0</v>
      </c>
      <c r="K900">
        <v>3</v>
      </c>
      <c r="L900" s="6">
        <v>435</v>
      </c>
      <c r="M900" s="6">
        <v>312.45999999999998</v>
      </c>
      <c r="N900" s="6">
        <v>122.54</v>
      </c>
      <c r="O900" s="6">
        <v>48.59</v>
      </c>
      <c r="P900" s="6">
        <v>73.95</v>
      </c>
      <c r="Q900" t="s">
        <v>75</v>
      </c>
      <c r="R900" t="s">
        <v>60</v>
      </c>
      <c r="S900" t="s">
        <v>76</v>
      </c>
    </row>
    <row r="901" spans="1:19" x14ac:dyDescent="0.35">
      <c r="A901" t="s">
        <v>1026</v>
      </c>
      <c r="B901" s="5">
        <v>45803</v>
      </c>
      <c r="C901" t="s">
        <v>73</v>
      </c>
      <c r="D901" t="s">
        <v>74</v>
      </c>
      <c r="E901">
        <v>1</v>
      </c>
      <c r="F901" s="6">
        <v>280</v>
      </c>
      <c r="G901" s="7">
        <v>0</v>
      </c>
      <c r="H901" s="6">
        <v>280</v>
      </c>
      <c r="I901">
        <v>0</v>
      </c>
      <c r="J901" s="6">
        <v>0</v>
      </c>
      <c r="K901">
        <v>1</v>
      </c>
      <c r="L901" s="6">
        <v>280</v>
      </c>
      <c r="M901" s="6">
        <v>190.72</v>
      </c>
      <c r="N901" s="6">
        <v>89.28</v>
      </c>
      <c r="O901" s="6">
        <v>16.53</v>
      </c>
      <c r="P901" s="6">
        <v>72.75</v>
      </c>
      <c r="Q901" t="s">
        <v>81</v>
      </c>
      <c r="R901" t="s">
        <v>66</v>
      </c>
      <c r="S901" t="s">
        <v>67</v>
      </c>
    </row>
    <row r="902" spans="1:19" x14ac:dyDescent="0.35">
      <c r="A902" t="s">
        <v>1027</v>
      </c>
      <c r="B902" s="5">
        <v>45771</v>
      </c>
      <c r="C902" t="s">
        <v>117</v>
      </c>
      <c r="D902" t="s">
        <v>74</v>
      </c>
      <c r="E902">
        <v>5</v>
      </c>
      <c r="F902" s="6">
        <v>95</v>
      </c>
      <c r="G902" s="7">
        <v>0</v>
      </c>
      <c r="H902" s="6">
        <v>475</v>
      </c>
      <c r="I902">
        <v>0</v>
      </c>
      <c r="J902" s="6">
        <v>0</v>
      </c>
      <c r="K902">
        <v>5</v>
      </c>
      <c r="L902" s="6">
        <v>475</v>
      </c>
      <c r="M902" s="6">
        <v>309.44</v>
      </c>
      <c r="N902" s="6">
        <v>165.56</v>
      </c>
      <c r="O902" s="6">
        <v>59.18</v>
      </c>
      <c r="P902" s="6">
        <v>106.38</v>
      </c>
      <c r="Q902" t="s">
        <v>59</v>
      </c>
      <c r="R902" t="s">
        <v>86</v>
      </c>
      <c r="S902" t="s">
        <v>76</v>
      </c>
    </row>
    <row r="903" spans="1:19" x14ac:dyDescent="0.35">
      <c r="A903" t="s">
        <v>1028</v>
      </c>
      <c r="B903" s="5">
        <v>45856</v>
      </c>
      <c r="C903" t="s">
        <v>56</v>
      </c>
      <c r="D903" t="s">
        <v>57</v>
      </c>
      <c r="E903">
        <v>3</v>
      </c>
      <c r="F903" s="6">
        <v>40</v>
      </c>
      <c r="G903" s="7">
        <v>0</v>
      </c>
      <c r="H903" s="6">
        <v>120</v>
      </c>
      <c r="I903">
        <v>0</v>
      </c>
      <c r="J903" s="6">
        <v>0</v>
      </c>
      <c r="K903">
        <v>3</v>
      </c>
      <c r="L903" s="6">
        <v>120</v>
      </c>
      <c r="M903" s="6">
        <v>101.3</v>
      </c>
      <c r="N903" s="6">
        <v>18.7</v>
      </c>
      <c r="O903" s="6">
        <v>8.43</v>
      </c>
      <c r="P903" s="6">
        <v>10.27</v>
      </c>
      <c r="Q903" t="s">
        <v>59</v>
      </c>
      <c r="R903" t="s">
        <v>60</v>
      </c>
      <c r="S903" t="s">
        <v>61</v>
      </c>
    </row>
    <row r="904" spans="1:19" x14ac:dyDescent="0.35">
      <c r="A904" t="s">
        <v>1029</v>
      </c>
      <c r="B904" s="5">
        <v>46013</v>
      </c>
      <c r="C904" t="s">
        <v>56</v>
      </c>
      <c r="D904" t="s">
        <v>57</v>
      </c>
      <c r="E904">
        <v>3</v>
      </c>
      <c r="F904" s="6">
        <v>40</v>
      </c>
      <c r="G904" s="7">
        <v>0</v>
      </c>
      <c r="H904" s="6">
        <v>120</v>
      </c>
      <c r="I904">
        <v>0</v>
      </c>
      <c r="J904" s="6">
        <v>0</v>
      </c>
      <c r="K904">
        <v>3</v>
      </c>
      <c r="L904" s="6">
        <v>120</v>
      </c>
      <c r="M904" s="6">
        <v>82.1</v>
      </c>
      <c r="N904" s="6">
        <v>37.9</v>
      </c>
      <c r="O904" s="6">
        <v>7.42</v>
      </c>
      <c r="P904" s="6">
        <v>30.48</v>
      </c>
      <c r="Q904" t="s">
        <v>59</v>
      </c>
      <c r="R904" t="s">
        <v>60</v>
      </c>
      <c r="S904" t="s">
        <v>67</v>
      </c>
    </row>
    <row r="905" spans="1:19" x14ac:dyDescent="0.35">
      <c r="A905" t="s">
        <v>1030</v>
      </c>
      <c r="B905" s="5">
        <v>46022</v>
      </c>
      <c r="C905" t="s">
        <v>107</v>
      </c>
      <c r="D905" t="s">
        <v>74</v>
      </c>
      <c r="E905">
        <v>8</v>
      </c>
      <c r="F905" s="6">
        <v>125</v>
      </c>
      <c r="G905" s="7">
        <v>10</v>
      </c>
      <c r="H905" s="6">
        <v>900</v>
      </c>
      <c r="I905">
        <v>0</v>
      </c>
      <c r="J905" s="6">
        <v>0</v>
      </c>
      <c r="K905">
        <v>8</v>
      </c>
      <c r="L905" s="6">
        <v>900</v>
      </c>
      <c r="M905" s="6">
        <v>762.35</v>
      </c>
      <c r="N905" s="6">
        <v>137.65</v>
      </c>
      <c r="O905" s="6">
        <v>54.47</v>
      </c>
      <c r="P905" s="6">
        <v>83.18</v>
      </c>
      <c r="Q905" t="s">
        <v>81</v>
      </c>
      <c r="R905" t="s">
        <v>82</v>
      </c>
      <c r="S905" t="s">
        <v>61</v>
      </c>
    </row>
    <row r="906" spans="1:19" x14ac:dyDescent="0.35">
      <c r="A906" t="s">
        <v>1031</v>
      </c>
      <c r="B906" s="5">
        <v>45760</v>
      </c>
      <c r="C906" t="s">
        <v>97</v>
      </c>
      <c r="D906" t="s">
        <v>57</v>
      </c>
      <c r="E906">
        <v>3</v>
      </c>
      <c r="F906" s="6">
        <v>55</v>
      </c>
      <c r="G906" s="7">
        <v>2</v>
      </c>
      <c r="H906" s="6">
        <v>161.69999999999999</v>
      </c>
      <c r="I906">
        <v>0</v>
      </c>
      <c r="J906" s="6">
        <v>0</v>
      </c>
      <c r="K906">
        <v>3</v>
      </c>
      <c r="L906" s="6">
        <v>161.69999999999999</v>
      </c>
      <c r="M906" s="6">
        <v>113.57</v>
      </c>
      <c r="N906" s="6">
        <v>48.13</v>
      </c>
      <c r="O906" s="6">
        <v>9.0299999999999994</v>
      </c>
      <c r="P906" s="6">
        <v>39.1</v>
      </c>
      <c r="Q906" t="s">
        <v>65</v>
      </c>
      <c r="R906" t="s">
        <v>82</v>
      </c>
      <c r="S906" t="s">
        <v>67</v>
      </c>
    </row>
    <row r="907" spans="1:19" x14ac:dyDescent="0.35">
      <c r="A907" t="s">
        <v>1032</v>
      </c>
      <c r="B907" s="5">
        <v>45856</v>
      </c>
      <c r="C907" t="s">
        <v>95</v>
      </c>
      <c r="D907" t="s">
        <v>64</v>
      </c>
      <c r="E907">
        <v>4</v>
      </c>
      <c r="F907" s="6">
        <v>52</v>
      </c>
      <c r="G907" s="7">
        <v>0</v>
      </c>
      <c r="H907" s="6">
        <v>208</v>
      </c>
      <c r="I907">
        <v>0</v>
      </c>
      <c r="J907" s="6">
        <v>0</v>
      </c>
      <c r="K907">
        <v>4</v>
      </c>
      <c r="L907" s="6">
        <v>208</v>
      </c>
      <c r="M907" s="6">
        <v>166.58</v>
      </c>
      <c r="N907" s="6">
        <v>41.42</v>
      </c>
      <c r="O907" s="6">
        <v>23.37</v>
      </c>
      <c r="P907" s="6">
        <v>18.05</v>
      </c>
      <c r="Q907" t="s">
        <v>65</v>
      </c>
      <c r="R907" t="s">
        <v>82</v>
      </c>
      <c r="S907" t="s">
        <v>61</v>
      </c>
    </row>
    <row r="908" spans="1:19" x14ac:dyDescent="0.35">
      <c r="A908" t="s">
        <v>1033</v>
      </c>
      <c r="B908" s="5">
        <v>45814</v>
      </c>
      <c r="C908" t="s">
        <v>125</v>
      </c>
      <c r="D908" t="s">
        <v>85</v>
      </c>
      <c r="E908">
        <v>1</v>
      </c>
      <c r="F908" s="6">
        <v>125</v>
      </c>
      <c r="G908" s="7">
        <v>2</v>
      </c>
      <c r="H908" s="6">
        <v>122.5</v>
      </c>
      <c r="I908">
        <v>0</v>
      </c>
      <c r="J908" s="6">
        <v>0</v>
      </c>
      <c r="K908">
        <v>1</v>
      </c>
      <c r="L908" s="6">
        <v>122.5</v>
      </c>
      <c r="M908" s="6">
        <v>101.32</v>
      </c>
      <c r="N908" s="6">
        <v>21.18</v>
      </c>
      <c r="O908" s="6">
        <v>14.09</v>
      </c>
      <c r="P908" s="6">
        <v>7.09</v>
      </c>
      <c r="Q908" t="s">
        <v>75</v>
      </c>
      <c r="R908" t="s">
        <v>66</v>
      </c>
      <c r="S908" t="s">
        <v>76</v>
      </c>
    </row>
    <row r="909" spans="1:19" x14ac:dyDescent="0.35">
      <c r="A909" t="s">
        <v>1034</v>
      </c>
      <c r="B909" s="5">
        <v>45875</v>
      </c>
      <c r="C909" t="s">
        <v>78</v>
      </c>
      <c r="D909" t="s">
        <v>79</v>
      </c>
      <c r="E909">
        <v>8</v>
      </c>
      <c r="F909" s="6">
        <v>120</v>
      </c>
      <c r="G909" s="7">
        <v>2</v>
      </c>
      <c r="H909" s="6">
        <v>940.8</v>
      </c>
      <c r="I909">
        <v>0</v>
      </c>
      <c r="J909" s="6">
        <v>0</v>
      </c>
      <c r="K909">
        <v>8</v>
      </c>
      <c r="L909" s="6">
        <v>940.8</v>
      </c>
      <c r="M909" s="6">
        <v>672.47</v>
      </c>
      <c r="N909" s="6">
        <v>268.33</v>
      </c>
      <c r="O909" s="6">
        <v>120.96</v>
      </c>
      <c r="P909" s="6">
        <v>147.37</v>
      </c>
      <c r="Q909" t="s">
        <v>65</v>
      </c>
      <c r="R909" t="s">
        <v>66</v>
      </c>
      <c r="S909" t="s">
        <v>67</v>
      </c>
    </row>
    <row r="910" spans="1:19" x14ac:dyDescent="0.35">
      <c r="A910" t="s">
        <v>1035</v>
      </c>
      <c r="B910" s="5">
        <v>45950</v>
      </c>
      <c r="C910" t="s">
        <v>97</v>
      </c>
      <c r="D910" t="s">
        <v>57</v>
      </c>
      <c r="E910">
        <v>2</v>
      </c>
      <c r="F910" s="6">
        <v>55</v>
      </c>
      <c r="G910" s="7">
        <v>0</v>
      </c>
      <c r="H910" s="6">
        <v>110</v>
      </c>
      <c r="I910">
        <v>2</v>
      </c>
      <c r="J910" s="6">
        <v>110</v>
      </c>
      <c r="K910">
        <v>0</v>
      </c>
      <c r="L910" s="6">
        <v>0</v>
      </c>
      <c r="M910" s="6">
        <v>0</v>
      </c>
      <c r="N910" s="6">
        <v>0</v>
      </c>
      <c r="O910" s="6">
        <v>0</v>
      </c>
      <c r="P910" s="6">
        <v>0</v>
      </c>
      <c r="Q910" t="s">
        <v>59</v>
      </c>
      <c r="R910" t="s">
        <v>60</v>
      </c>
      <c r="S910" t="s">
        <v>71</v>
      </c>
    </row>
    <row r="911" spans="1:19" x14ac:dyDescent="0.35">
      <c r="A911" t="s">
        <v>1036</v>
      </c>
      <c r="B911" s="5">
        <v>45705</v>
      </c>
      <c r="C911" t="s">
        <v>104</v>
      </c>
      <c r="D911" t="s">
        <v>226</v>
      </c>
      <c r="E911">
        <v>3</v>
      </c>
      <c r="F911" s="6">
        <v>65</v>
      </c>
      <c r="G911" s="7">
        <v>0</v>
      </c>
      <c r="H911" s="6">
        <v>195</v>
      </c>
      <c r="I911">
        <v>0</v>
      </c>
      <c r="J911" s="6">
        <v>0</v>
      </c>
      <c r="K911">
        <v>3</v>
      </c>
      <c r="L911" s="6">
        <v>195</v>
      </c>
      <c r="M911" s="6">
        <v>135.91</v>
      </c>
      <c r="N911" s="6">
        <v>59.09</v>
      </c>
      <c r="O911" s="6">
        <v>19.760000000000002</v>
      </c>
      <c r="P911" s="6">
        <v>39.33</v>
      </c>
      <c r="Q911" t="s">
        <v>81</v>
      </c>
      <c r="R911" t="s">
        <v>82</v>
      </c>
      <c r="S911" t="s">
        <v>67</v>
      </c>
    </row>
    <row r="912" spans="1:19" x14ac:dyDescent="0.35">
      <c r="A912" t="s">
        <v>1037</v>
      </c>
      <c r="B912" s="5">
        <v>46014</v>
      </c>
      <c r="C912" t="s">
        <v>90</v>
      </c>
      <c r="D912" t="s">
        <v>70</v>
      </c>
      <c r="E912">
        <v>5</v>
      </c>
      <c r="F912" s="6">
        <v>38</v>
      </c>
      <c r="G912" s="7">
        <v>2</v>
      </c>
      <c r="H912" s="6">
        <v>186.2</v>
      </c>
      <c r="I912">
        <v>0</v>
      </c>
      <c r="J912" s="6">
        <v>0</v>
      </c>
      <c r="K912">
        <v>5</v>
      </c>
      <c r="L912" s="6">
        <v>186.2</v>
      </c>
      <c r="M912" s="6">
        <v>140.93</v>
      </c>
      <c r="N912" s="6">
        <v>45.27</v>
      </c>
      <c r="O912" s="6">
        <v>11.4</v>
      </c>
      <c r="P912" s="6">
        <v>33.869999999999997</v>
      </c>
      <c r="Q912" t="s">
        <v>59</v>
      </c>
      <c r="R912" t="s">
        <v>66</v>
      </c>
      <c r="S912" t="s">
        <v>71</v>
      </c>
    </row>
    <row r="913" spans="1:19" x14ac:dyDescent="0.35">
      <c r="A913" t="s">
        <v>1038</v>
      </c>
      <c r="B913" s="5">
        <v>45746</v>
      </c>
      <c r="C913" t="s">
        <v>107</v>
      </c>
      <c r="D913" t="s">
        <v>74</v>
      </c>
      <c r="E913">
        <v>8</v>
      </c>
      <c r="F913" s="6">
        <v>125</v>
      </c>
      <c r="G913" s="7">
        <v>10</v>
      </c>
      <c r="H913" s="6">
        <v>900</v>
      </c>
      <c r="I913">
        <v>0</v>
      </c>
      <c r="J913" s="6">
        <v>0</v>
      </c>
      <c r="K913">
        <v>8</v>
      </c>
      <c r="L913" s="6">
        <v>900</v>
      </c>
      <c r="M913" s="6">
        <v>677.84</v>
      </c>
      <c r="N913" s="6">
        <v>222.16</v>
      </c>
      <c r="O913" s="6">
        <v>114.25</v>
      </c>
      <c r="P913" s="6">
        <v>107.91</v>
      </c>
      <c r="Q913" t="s">
        <v>75</v>
      </c>
      <c r="R913" t="s">
        <v>66</v>
      </c>
      <c r="S913" t="s">
        <v>67</v>
      </c>
    </row>
    <row r="914" spans="1:19" x14ac:dyDescent="0.35">
      <c r="A914" t="s">
        <v>1039</v>
      </c>
      <c r="B914" s="5">
        <v>45802</v>
      </c>
      <c r="C914" t="s">
        <v>350</v>
      </c>
      <c r="D914" t="s">
        <v>85</v>
      </c>
      <c r="E914">
        <v>10</v>
      </c>
      <c r="F914" s="6">
        <v>48</v>
      </c>
      <c r="G914" s="7">
        <v>0</v>
      </c>
      <c r="H914" s="6">
        <v>480</v>
      </c>
      <c r="I914">
        <v>0</v>
      </c>
      <c r="J914" s="6">
        <v>0</v>
      </c>
      <c r="K914">
        <v>10</v>
      </c>
      <c r="L914" s="6">
        <v>480</v>
      </c>
      <c r="M914" s="6">
        <v>353.76</v>
      </c>
      <c r="N914" s="6">
        <v>126.24</v>
      </c>
      <c r="O914" s="6">
        <v>48.55</v>
      </c>
      <c r="P914" s="6">
        <v>77.69</v>
      </c>
      <c r="Q914" t="s">
        <v>65</v>
      </c>
      <c r="R914" t="s">
        <v>82</v>
      </c>
      <c r="S914" t="s">
        <v>61</v>
      </c>
    </row>
    <row r="915" spans="1:19" x14ac:dyDescent="0.35">
      <c r="A915" t="s">
        <v>1040</v>
      </c>
      <c r="B915" s="5">
        <v>45835</v>
      </c>
      <c r="C915" t="s">
        <v>107</v>
      </c>
      <c r="D915" t="s">
        <v>74</v>
      </c>
      <c r="E915">
        <v>4</v>
      </c>
      <c r="F915" s="6">
        <v>125</v>
      </c>
      <c r="G915" s="7">
        <v>0</v>
      </c>
      <c r="H915" s="6">
        <v>500</v>
      </c>
      <c r="I915">
        <v>0</v>
      </c>
      <c r="J915" s="6">
        <v>0</v>
      </c>
      <c r="K915">
        <v>4</v>
      </c>
      <c r="L915" s="6">
        <v>500</v>
      </c>
      <c r="M915" s="6">
        <v>340.8</v>
      </c>
      <c r="N915" s="6">
        <v>159.19999999999999</v>
      </c>
      <c r="O915" s="6">
        <v>44.2</v>
      </c>
      <c r="P915" s="6">
        <v>115</v>
      </c>
      <c r="Q915" t="s">
        <v>75</v>
      </c>
      <c r="R915" t="s">
        <v>82</v>
      </c>
      <c r="S915" t="s">
        <v>71</v>
      </c>
    </row>
    <row r="916" spans="1:19" x14ac:dyDescent="0.35">
      <c r="A916" t="s">
        <v>1041</v>
      </c>
      <c r="B916" s="5">
        <v>45737</v>
      </c>
      <c r="C916" t="s">
        <v>73</v>
      </c>
      <c r="D916" t="s">
        <v>74</v>
      </c>
      <c r="E916">
        <v>5</v>
      </c>
      <c r="F916" s="6">
        <v>280</v>
      </c>
      <c r="G916" s="7">
        <v>0</v>
      </c>
      <c r="H916" s="6">
        <v>1400</v>
      </c>
      <c r="I916">
        <v>0</v>
      </c>
      <c r="J916" s="6">
        <v>0</v>
      </c>
      <c r="K916">
        <v>5</v>
      </c>
      <c r="L916" s="6">
        <v>1400</v>
      </c>
      <c r="M916" s="6">
        <v>869.81</v>
      </c>
      <c r="N916" s="6">
        <v>530.19000000000005</v>
      </c>
      <c r="O916" s="6">
        <v>178.93</v>
      </c>
      <c r="P916" s="6">
        <v>351.26</v>
      </c>
      <c r="Q916" t="s">
        <v>81</v>
      </c>
      <c r="R916" t="s">
        <v>82</v>
      </c>
      <c r="S916" t="s">
        <v>67</v>
      </c>
    </row>
    <row r="917" spans="1:19" x14ac:dyDescent="0.35">
      <c r="A917" t="s">
        <v>1042</v>
      </c>
      <c r="B917" s="5">
        <v>45684</v>
      </c>
      <c r="C917" t="s">
        <v>97</v>
      </c>
      <c r="D917" t="s">
        <v>57</v>
      </c>
      <c r="E917">
        <v>2</v>
      </c>
      <c r="F917" s="6">
        <v>55</v>
      </c>
      <c r="G917" s="7">
        <v>0</v>
      </c>
      <c r="H917" s="6">
        <v>110</v>
      </c>
      <c r="I917">
        <v>0</v>
      </c>
      <c r="J917" s="6">
        <v>0</v>
      </c>
      <c r="K917">
        <v>2</v>
      </c>
      <c r="L917" s="6">
        <v>110</v>
      </c>
      <c r="M917" s="6">
        <v>80.930000000000007</v>
      </c>
      <c r="N917" s="6">
        <v>29.07</v>
      </c>
      <c r="O917" s="6">
        <v>6.1</v>
      </c>
      <c r="P917" s="6">
        <v>22.97</v>
      </c>
      <c r="Q917" t="s">
        <v>81</v>
      </c>
      <c r="R917" t="s">
        <v>82</v>
      </c>
      <c r="S917" t="s">
        <v>67</v>
      </c>
    </row>
    <row r="918" spans="1:19" x14ac:dyDescent="0.35">
      <c r="A918" t="s">
        <v>1043</v>
      </c>
      <c r="B918" s="5">
        <v>45703</v>
      </c>
      <c r="C918" t="s">
        <v>69</v>
      </c>
      <c r="D918" t="s">
        <v>70</v>
      </c>
      <c r="E918">
        <v>3</v>
      </c>
      <c r="F918" s="6">
        <v>210</v>
      </c>
      <c r="G918" s="7">
        <v>0</v>
      </c>
      <c r="H918" s="6">
        <v>630</v>
      </c>
      <c r="I918">
        <v>0</v>
      </c>
      <c r="J918" s="6">
        <v>0</v>
      </c>
      <c r="K918">
        <v>3</v>
      </c>
      <c r="L918" s="6">
        <v>630</v>
      </c>
      <c r="M918" s="6">
        <v>520.88</v>
      </c>
      <c r="N918" s="6">
        <v>109.12</v>
      </c>
      <c r="O918" s="6">
        <v>57.63</v>
      </c>
      <c r="P918" s="6">
        <v>51.49</v>
      </c>
      <c r="Q918" t="s">
        <v>75</v>
      </c>
      <c r="R918" t="s">
        <v>82</v>
      </c>
      <c r="S918" t="s">
        <v>61</v>
      </c>
    </row>
    <row r="919" spans="1:19" x14ac:dyDescent="0.35">
      <c r="A919" t="s">
        <v>1044</v>
      </c>
      <c r="B919" s="5">
        <v>45967</v>
      </c>
      <c r="C919" t="s">
        <v>56</v>
      </c>
      <c r="D919" t="s">
        <v>57</v>
      </c>
      <c r="E919">
        <v>8</v>
      </c>
      <c r="F919" s="6">
        <v>40</v>
      </c>
      <c r="G919" s="7">
        <v>0</v>
      </c>
      <c r="H919" s="6">
        <v>320</v>
      </c>
      <c r="I919">
        <v>0</v>
      </c>
      <c r="J919" s="6">
        <v>0</v>
      </c>
      <c r="K919">
        <v>8</v>
      </c>
      <c r="L919" s="6">
        <v>320</v>
      </c>
      <c r="M919" s="6">
        <v>272.17</v>
      </c>
      <c r="N919" s="6">
        <v>47.83</v>
      </c>
      <c r="O919" s="6">
        <v>29.03</v>
      </c>
      <c r="P919" s="6">
        <v>18.8</v>
      </c>
      <c r="Q919" t="s">
        <v>59</v>
      </c>
      <c r="R919" t="s">
        <v>60</v>
      </c>
      <c r="S919" t="s">
        <v>67</v>
      </c>
    </row>
    <row r="920" spans="1:19" x14ac:dyDescent="0.35">
      <c r="A920" t="s">
        <v>1045</v>
      </c>
      <c r="B920" s="5">
        <v>45940</v>
      </c>
      <c r="C920" t="s">
        <v>90</v>
      </c>
      <c r="D920" t="s">
        <v>70</v>
      </c>
      <c r="E920">
        <v>1</v>
      </c>
      <c r="F920" s="6">
        <v>38</v>
      </c>
      <c r="G920" s="7">
        <v>0</v>
      </c>
      <c r="H920" s="6">
        <v>38</v>
      </c>
      <c r="I920">
        <v>0</v>
      </c>
      <c r="J920" s="6">
        <v>0</v>
      </c>
      <c r="K920">
        <v>1</v>
      </c>
      <c r="L920" s="6">
        <v>38</v>
      </c>
      <c r="M920" s="6">
        <v>29.21</v>
      </c>
      <c r="N920" s="6">
        <v>8.7899999999999991</v>
      </c>
      <c r="O920" s="6">
        <v>4.26</v>
      </c>
      <c r="P920" s="6">
        <v>4.53</v>
      </c>
      <c r="Q920" t="s">
        <v>75</v>
      </c>
      <c r="R920" t="s">
        <v>82</v>
      </c>
      <c r="S920" t="s">
        <v>67</v>
      </c>
    </row>
    <row r="921" spans="1:19" x14ac:dyDescent="0.35">
      <c r="A921" t="s">
        <v>1046</v>
      </c>
      <c r="B921" s="5">
        <v>45830</v>
      </c>
      <c r="C921" t="s">
        <v>95</v>
      </c>
      <c r="D921" t="s">
        <v>128</v>
      </c>
      <c r="E921">
        <v>3</v>
      </c>
      <c r="F921" s="6">
        <v>52</v>
      </c>
      <c r="G921" s="7">
        <v>0</v>
      </c>
      <c r="H921" s="6">
        <v>156</v>
      </c>
      <c r="I921">
        <v>0</v>
      </c>
      <c r="J921" s="6">
        <v>0</v>
      </c>
      <c r="K921">
        <v>3</v>
      </c>
      <c r="L921" s="6">
        <v>156</v>
      </c>
      <c r="M921" s="6">
        <v>103.03</v>
      </c>
      <c r="N921" s="6">
        <v>52.97</v>
      </c>
      <c r="O921" s="6">
        <v>20.09</v>
      </c>
      <c r="P921" s="6">
        <v>32.880000000000003</v>
      </c>
      <c r="Q921" t="s">
        <v>81</v>
      </c>
      <c r="R921" t="s">
        <v>176</v>
      </c>
      <c r="S921" t="s">
        <v>76</v>
      </c>
    </row>
    <row r="922" spans="1:19" x14ac:dyDescent="0.35">
      <c r="A922" t="s">
        <v>1047</v>
      </c>
      <c r="B922" s="5">
        <v>45794</v>
      </c>
      <c r="C922" t="s">
        <v>114</v>
      </c>
      <c r="D922" t="s">
        <v>64</v>
      </c>
      <c r="E922">
        <v>4</v>
      </c>
      <c r="F922" s="6">
        <v>420</v>
      </c>
      <c r="G922" s="7">
        <v>0</v>
      </c>
      <c r="H922" s="6">
        <v>1680</v>
      </c>
      <c r="I922">
        <v>0</v>
      </c>
      <c r="J922" s="6">
        <v>0</v>
      </c>
      <c r="K922">
        <v>4</v>
      </c>
      <c r="L922" s="6">
        <v>1680</v>
      </c>
      <c r="M922" s="6">
        <v>1120.04</v>
      </c>
      <c r="N922" s="6">
        <v>559.96</v>
      </c>
      <c r="O922" s="6">
        <v>104.72</v>
      </c>
      <c r="P922" s="6">
        <v>455.24</v>
      </c>
      <c r="Q922" t="s">
        <v>75</v>
      </c>
      <c r="R922" t="s">
        <v>60</v>
      </c>
      <c r="S922" t="s">
        <v>67</v>
      </c>
    </row>
    <row r="923" spans="1:19" x14ac:dyDescent="0.35">
      <c r="A923" t="s">
        <v>1048</v>
      </c>
      <c r="B923" s="5">
        <v>45970</v>
      </c>
      <c r="C923" t="s">
        <v>117</v>
      </c>
      <c r="D923" t="s">
        <v>74</v>
      </c>
      <c r="E923">
        <v>6</v>
      </c>
      <c r="F923" s="6">
        <v>95</v>
      </c>
      <c r="G923" s="7">
        <v>2</v>
      </c>
      <c r="H923" s="6">
        <v>558.6</v>
      </c>
      <c r="I923">
        <v>0</v>
      </c>
      <c r="J923" s="6">
        <v>0</v>
      </c>
      <c r="K923">
        <v>6</v>
      </c>
      <c r="L923" s="6">
        <v>558.6</v>
      </c>
      <c r="M923" s="6">
        <v>431.23</v>
      </c>
      <c r="N923" s="6">
        <v>127.37</v>
      </c>
      <c r="O923" s="6">
        <v>54.93</v>
      </c>
      <c r="P923" s="6">
        <v>72.44</v>
      </c>
      <c r="Q923" t="s">
        <v>75</v>
      </c>
      <c r="R923" t="s">
        <v>60</v>
      </c>
      <c r="S923" t="s">
        <v>61</v>
      </c>
    </row>
    <row r="924" spans="1:19" x14ac:dyDescent="0.35">
      <c r="A924" t="s">
        <v>1049</v>
      </c>
      <c r="B924" s="5">
        <v>45999</v>
      </c>
      <c r="C924" t="s">
        <v>95</v>
      </c>
      <c r="D924" t="s">
        <v>64</v>
      </c>
      <c r="E924">
        <v>2</v>
      </c>
      <c r="F924" s="6">
        <v>52</v>
      </c>
      <c r="G924" s="7">
        <v>0</v>
      </c>
      <c r="H924" s="6">
        <v>104</v>
      </c>
      <c r="I924">
        <v>0</v>
      </c>
      <c r="J924" s="6">
        <v>0</v>
      </c>
      <c r="K924">
        <v>2</v>
      </c>
      <c r="L924" s="6">
        <v>104</v>
      </c>
      <c r="M924" s="6">
        <v>81.540000000000006</v>
      </c>
      <c r="N924" s="6">
        <v>22.46</v>
      </c>
      <c r="O924" s="6">
        <v>9.3800000000000008</v>
      </c>
      <c r="P924" s="6">
        <v>13.08</v>
      </c>
      <c r="Q924" t="s">
        <v>81</v>
      </c>
      <c r="R924" t="s">
        <v>66</v>
      </c>
      <c r="S924" t="s">
        <v>76</v>
      </c>
    </row>
    <row r="925" spans="1:19" x14ac:dyDescent="0.35">
      <c r="A925" t="s">
        <v>1050</v>
      </c>
      <c r="B925" s="5">
        <v>45944</v>
      </c>
      <c r="C925" t="s">
        <v>100</v>
      </c>
      <c r="D925" t="s">
        <v>64</v>
      </c>
      <c r="E925">
        <v>4</v>
      </c>
      <c r="F925" s="6">
        <v>310</v>
      </c>
      <c r="G925" s="7">
        <v>0</v>
      </c>
      <c r="H925" s="6">
        <v>1240</v>
      </c>
      <c r="I925">
        <v>0</v>
      </c>
      <c r="J925" s="6">
        <v>0</v>
      </c>
      <c r="K925">
        <v>4</v>
      </c>
      <c r="L925" s="6">
        <v>1240</v>
      </c>
      <c r="M925" s="6">
        <v>796.99</v>
      </c>
      <c r="N925" s="6">
        <v>443.01</v>
      </c>
      <c r="O925" s="6">
        <v>90.4</v>
      </c>
      <c r="P925" s="6">
        <v>352.61</v>
      </c>
      <c r="Q925" t="s">
        <v>75</v>
      </c>
      <c r="R925" t="s">
        <v>86</v>
      </c>
      <c r="S925" t="s">
        <v>71</v>
      </c>
    </row>
    <row r="926" spans="1:19" x14ac:dyDescent="0.35">
      <c r="A926" t="s">
        <v>1051</v>
      </c>
      <c r="B926" s="5">
        <v>45791</v>
      </c>
      <c r="C926" t="s">
        <v>121</v>
      </c>
      <c r="D926" t="s">
        <v>70</v>
      </c>
      <c r="E926">
        <v>3</v>
      </c>
      <c r="F926" s="6">
        <v>110</v>
      </c>
      <c r="G926" s="7">
        <v>0</v>
      </c>
      <c r="H926" s="6">
        <v>330</v>
      </c>
      <c r="I926">
        <v>0</v>
      </c>
      <c r="J926" s="6">
        <v>0</v>
      </c>
      <c r="K926">
        <v>3</v>
      </c>
      <c r="L926" s="6">
        <v>330</v>
      </c>
      <c r="M926" s="6">
        <v>209.48</v>
      </c>
      <c r="N926" s="6">
        <v>120.52</v>
      </c>
      <c r="O926" s="6">
        <v>40.130000000000003</v>
      </c>
      <c r="P926" s="6">
        <v>80.39</v>
      </c>
      <c r="Q926" t="s">
        <v>59</v>
      </c>
      <c r="R926" t="s">
        <v>66</v>
      </c>
      <c r="S926" t="s">
        <v>67</v>
      </c>
    </row>
    <row r="927" spans="1:19" x14ac:dyDescent="0.35">
      <c r="A927" t="s">
        <v>1052</v>
      </c>
      <c r="B927" s="5">
        <v>45716</v>
      </c>
      <c r="C927" t="s">
        <v>78</v>
      </c>
      <c r="D927" t="s">
        <v>79</v>
      </c>
      <c r="E927">
        <v>4</v>
      </c>
      <c r="F927" s="6">
        <v>120</v>
      </c>
      <c r="G927" s="7">
        <v>0</v>
      </c>
      <c r="H927" s="6">
        <v>480</v>
      </c>
      <c r="I927">
        <v>0</v>
      </c>
      <c r="J927" s="6">
        <v>0</v>
      </c>
      <c r="K927">
        <v>4</v>
      </c>
      <c r="L927" s="6">
        <v>480</v>
      </c>
      <c r="M927" s="6">
        <v>351.63</v>
      </c>
      <c r="N927" s="6">
        <v>128.37</v>
      </c>
      <c r="O927" s="6">
        <v>46.47</v>
      </c>
      <c r="P927" s="6">
        <v>81.900000000000006</v>
      </c>
      <c r="Q927" t="s">
        <v>65</v>
      </c>
      <c r="R927" t="s">
        <v>60</v>
      </c>
      <c r="S927" t="s">
        <v>71</v>
      </c>
    </row>
    <row r="928" spans="1:19" x14ac:dyDescent="0.35">
      <c r="A928" t="s">
        <v>1053</v>
      </c>
      <c r="B928" s="5">
        <v>45709</v>
      </c>
      <c r="C928" t="s">
        <v>107</v>
      </c>
      <c r="D928" t="s">
        <v>74</v>
      </c>
      <c r="E928">
        <v>1</v>
      </c>
      <c r="F928" s="6">
        <v>125</v>
      </c>
      <c r="G928" s="7">
        <v>0</v>
      </c>
      <c r="H928" s="6">
        <v>125</v>
      </c>
      <c r="I928">
        <v>0</v>
      </c>
      <c r="J928" s="6">
        <v>0</v>
      </c>
      <c r="K928">
        <v>1</v>
      </c>
      <c r="L928" s="6">
        <v>125</v>
      </c>
      <c r="M928" s="6">
        <v>88.17</v>
      </c>
      <c r="N928" s="6">
        <v>36.83</v>
      </c>
      <c r="O928" s="6">
        <v>9.3000000000000007</v>
      </c>
      <c r="P928" s="6">
        <v>27.53</v>
      </c>
      <c r="Q928" t="s">
        <v>81</v>
      </c>
      <c r="R928" t="s">
        <v>60</v>
      </c>
      <c r="S928" t="s">
        <v>61</v>
      </c>
    </row>
    <row r="929" spans="1:19" x14ac:dyDescent="0.35">
      <c r="A929" t="s">
        <v>1054</v>
      </c>
      <c r="B929" s="5">
        <v>45685</v>
      </c>
      <c r="C929" t="s">
        <v>95</v>
      </c>
      <c r="D929" t="s">
        <v>64</v>
      </c>
      <c r="E929">
        <v>1</v>
      </c>
      <c r="F929" s="6">
        <v>52</v>
      </c>
      <c r="G929" s="7">
        <v>0</v>
      </c>
      <c r="H929" s="6">
        <v>52</v>
      </c>
      <c r="I929">
        <v>0</v>
      </c>
      <c r="J929" s="6">
        <v>0</v>
      </c>
      <c r="K929">
        <v>1</v>
      </c>
      <c r="L929" s="6">
        <v>52</v>
      </c>
      <c r="M929" s="6">
        <v>41.15</v>
      </c>
      <c r="N929" s="6">
        <v>10.85</v>
      </c>
      <c r="O929" s="6">
        <v>5.47</v>
      </c>
      <c r="P929" s="6">
        <v>5.38</v>
      </c>
      <c r="Q929" t="s">
        <v>75</v>
      </c>
      <c r="R929" t="s">
        <v>86</v>
      </c>
      <c r="S929" t="s">
        <v>76</v>
      </c>
    </row>
    <row r="930" spans="1:19" x14ac:dyDescent="0.35">
      <c r="A930" t="s">
        <v>1055</v>
      </c>
      <c r="B930" s="5">
        <v>45786</v>
      </c>
      <c r="C930" t="s">
        <v>63</v>
      </c>
      <c r="D930" t="s">
        <v>64</v>
      </c>
      <c r="E930">
        <v>3</v>
      </c>
      <c r="F930" s="6">
        <v>145</v>
      </c>
      <c r="G930" s="7">
        <v>5</v>
      </c>
      <c r="H930" s="6">
        <v>413.25</v>
      </c>
      <c r="I930">
        <v>0</v>
      </c>
      <c r="J930" s="6">
        <v>0</v>
      </c>
      <c r="K930">
        <v>3</v>
      </c>
      <c r="L930" s="6">
        <v>413.25</v>
      </c>
      <c r="M930" s="6">
        <v>261.68</v>
      </c>
      <c r="N930" s="6">
        <v>151.57</v>
      </c>
      <c r="O930" s="6">
        <v>43.9</v>
      </c>
      <c r="P930" s="6">
        <v>107.67</v>
      </c>
      <c r="Q930" t="s">
        <v>59</v>
      </c>
      <c r="R930" t="s">
        <v>86</v>
      </c>
      <c r="S930" t="s">
        <v>67</v>
      </c>
    </row>
    <row r="931" spans="1:19" x14ac:dyDescent="0.35">
      <c r="A931" t="s">
        <v>1056</v>
      </c>
      <c r="B931" s="5">
        <v>46003</v>
      </c>
      <c r="C931" t="s">
        <v>69</v>
      </c>
      <c r="D931" t="s">
        <v>70</v>
      </c>
      <c r="E931">
        <v>5</v>
      </c>
      <c r="F931" s="6">
        <v>210</v>
      </c>
      <c r="G931" s="7">
        <v>0</v>
      </c>
      <c r="H931" s="6">
        <v>1050</v>
      </c>
      <c r="I931">
        <v>5</v>
      </c>
      <c r="J931" s="6">
        <v>1050</v>
      </c>
      <c r="K931">
        <v>0</v>
      </c>
      <c r="L931" s="6">
        <v>0</v>
      </c>
      <c r="M931" s="6">
        <v>0</v>
      </c>
      <c r="N931" s="6">
        <v>0</v>
      </c>
      <c r="O931" s="6">
        <v>0</v>
      </c>
      <c r="P931" s="6">
        <v>0</v>
      </c>
      <c r="Q931" t="s">
        <v>65</v>
      </c>
      <c r="R931" t="s">
        <v>66</v>
      </c>
      <c r="S931" t="s">
        <v>71</v>
      </c>
    </row>
    <row r="932" spans="1:19" x14ac:dyDescent="0.35">
      <c r="A932" t="s">
        <v>1057</v>
      </c>
      <c r="B932" s="5">
        <v>45934</v>
      </c>
      <c r="C932" t="s">
        <v>78</v>
      </c>
      <c r="D932" t="s">
        <v>79</v>
      </c>
      <c r="E932">
        <v>4</v>
      </c>
      <c r="F932" s="6">
        <v>120</v>
      </c>
      <c r="G932" s="7">
        <v>0</v>
      </c>
      <c r="H932" s="6">
        <v>480</v>
      </c>
      <c r="I932">
        <v>0</v>
      </c>
      <c r="J932" s="6">
        <v>0</v>
      </c>
      <c r="K932">
        <v>4</v>
      </c>
      <c r="L932" s="6">
        <v>480</v>
      </c>
      <c r="M932" s="6">
        <v>379.16</v>
      </c>
      <c r="N932" s="6">
        <v>100.84</v>
      </c>
      <c r="O932" s="6">
        <v>33.83</v>
      </c>
      <c r="P932" s="6">
        <v>67.010000000000005</v>
      </c>
      <c r="Q932" t="s">
        <v>75</v>
      </c>
      <c r="R932" t="s">
        <v>60</v>
      </c>
      <c r="S932" t="s">
        <v>76</v>
      </c>
    </row>
    <row r="933" spans="1:19" x14ac:dyDescent="0.35">
      <c r="A933" t="s">
        <v>1058</v>
      </c>
      <c r="B933" s="5">
        <v>45901</v>
      </c>
      <c r="C933" t="s">
        <v>97</v>
      </c>
      <c r="D933" t="s">
        <v>57</v>
      </c>
      <c r="E933">
        <v>3</v>
      </c>
      <c r="F933" s="6">
        <v>55</v>
      </c>
      <c r="G933" s="7">
        <v>2</v>
      </c>
      <c r="H933" s="6">
        <v>161.69999999999999</v>
      </c>
      <c r="I933">
        <v>0</v>
      </c>
      <c r="J933" s="6">
        <v>0</v>
      </c>
      <c r="K933">
        <v>3</v>
      </c>
      <c r="L933" s="6">
        <v>161.69999999999999</v>
      </c>
      <c r="M933" s="6">
        <v>119.55</v>
      </c>
      <c r="N933" s="6">
        <v>42.15</v>
      </c>
      <c r="O933" s="6">
        <v>11.85</v>
      </c>
      <c r="P933" s="6">
        <v>30.3</v>
      </c>
      <c r="Q933" t="s">
        <v>75</v>
      </c>
      <c r="R933" t="s">
        <v>82</v>
      </c>
      <c r="S933" t="s">
        <v>76</v>
      </c>
    </row>
    <row r="934" spans="1:19" x14ac:dyDescent="0.35">
      <c r="A934" t="s">
        <v>1059</v>
      </c>
      <c r="B934" s="5">
        <v>45990</v>
      </c>
      <c r="C934" t="s">
        <v>121</v>
      </c>
      <c r="D934" t="s">
        <v>70</v>
      </c>
      <c r="E934">
        <v>3</v>
      </c>
      <c r="F934" s="6">
        <v>110</v>
      </c>
      <c r="G934" s="7">
        <v>0</v>
      </c>
      <c r="H934" s="6">
        <v>330</v>
      </c>
      <c r="I934">
        <v>0</v>
      </c>
      <c r="J934" s="6">
        <v>0</v>
      </c>
      <c r="K934">
        <v>3</v>
      </c>
      <c r="L934" s="6">
        <v>330</v>
      </c>
      <c r="M934" s="6">
        <v>276.97000000000003</v>
      </c>
      <c r="N934" s="6">
        <v>53.03</v>
      </c>
      <c r="O934" s="6">
        <v>26.36</v>
      </c>
      <c r="P934" s="6">
        <v>26.67</v>
      </c>
      <c r="Q934" t="s">
        <v>81</v>
      </c>
      <c r="R934" t="s">
        <v>66</v>
      </c>
      <c r="S934" t="s">
        <v>61</v>
      </c>
    </row>
    <row r="935" spans="1:19" x14ac:dyDescent="0.35">
      <c r="A935" t="s">
        <v>1060</v>
      </c>
      <c r="B935" s="5">
        <v>45769</v>
      </c>
      <c r="C935" t="s">
        <v>92</v>
      </c>
      <c r="D935" t="s">
        <v>79</v>
      </c>
      <c r="E935">
        <v>3</v>
      </c>
      <c r="F935" s="6">
        <v>85</v>
      </c>
      <c r="G935" s="7">
        <v>0</v>
      </c>
      <c r="H935" s="6">
        <v>255</v>
      </c>
      <c r="I935">
        <v>0</v>
      </c>
      <c r="J935" s="6">
        <v>0</v>
      </c>
      <c r="K935">
        <v>3</v>
      </c>
      <c r="L935" s="6">
        <v>255</v>
      </c>
      <c r="M935" s="6">
        <v>208.16</v>
      </c>
      <c r="N935" s="6">
        <v>46.84</v>
      </c>
      <c r="O935" s="6">
        <v>30.51</v>
      </c>
      <c r="P935" s="6">
        <v>16.329999999999998</v>
      </c>
      <c r="Q935" t="s">
        <v>81</v>
      </c>
      <c r="R935" t="s">
        <v>66</v>
      </c>
      <c r="S935" t="s">
        <v>67</v>
      </c>
    </row>
    <row r="936" spans="1:19" x14ac:dyDescent="0.35">
      <c r="A936" t="s">
        <v>1061</v>
      </c>
      <c r="B936" s="5">
        <v>45744</v>
      </c>
      <c r="C936" t="s">
        <v>104</v>
      </c>
      <c r="D936" t="s">
        <v>105</v>
      </c>
      <c r="E936">
        <v>4</v>
      </c>
      <c r="F936" s="6">
        <v>65</v>
      </c>
      <c r="G936" s="7">
        <v>0</v>
      </c>
      <c r="H936" s="6">
        <v>260</v>
      </c>
      <c r="I936">
        <v>0</v>
      </c>
      <c r="J936" s="6">
        <v>0</v>
      </c>
      <c r="K936">
        <v>4</v>
      </c>
      <c r="L936" s="6">
        <v>260</v>
      </c>
      <c r="M936" s="6">
        <v>215.58</v>
      </c>
      <c r="N936" s="6">
        <v>44.42</v>
      </c>
      <c r="O936" s="6">
        <v>20.13</v>
      </c>
      <c r="P936" s="6">
        <v>24.29</v>
      </c>
      <c r="Q936" t="s">
        <v>75</v>
      </c>
      <c r="S936" t="s">
        <v>67</v>
      </c>
    </row>
    <row r="937" spans="1:19" x14ac:dyDescent="0.35">
      <c r="A937" t="s">
        <v>1062</v>
      </c>
      <c r="B937" s="5">
        <v>45848</v>
      </c>
      <c r="C937" t="s">
        <v>114</v>
      </c>
      <c r="D937" t="s">
        <v>64</v>
      </c>
      <c r="E937">
        <v>6</v>
      </c>
      <c r="F937" s="6">
        <v>420</v>
      </c>
      <c r="G937" s="7">
        <v>5</v>
      </c>
      <c r="H937" s="6">
        <v>2394</v>
      </c>
      <c r="I937">
        <v>0</v>
      </c>
      <c r="J937" s="6">
        <v>0</v>
      </c>
      <c r="K937">
        <v>6</v>
      </c>
      <c r="L937" s="6">
        <v>2394</v>
      </c>
      <c r="M937" s="6">
        <v>2034.61</v>
      </c>
      <c r="N937" s="6">
        <v>359.39</v>
      </c>
      <c r="O937" s="6">
        <v>298.45</v>
      </c>
      <c r="P937" s="6">
        <v>60.94</v>
      </c>
      <c r="Q937" t="s">
        <v>81</v>
      </c>
      <c r="R937" t="s">
        <v>66</v>
      </c>
      <c r="S937" t="s">
        <v>67</v>
      </c>
    </row>
    <row r="938" spans="1:19" x14ac:dyDescent="0.35">
      <c r="A938" t="s">
        <v>1063</v>
      </c>
      <c r="B938" s="5">
        <v>45789</v>
      </c>
      <c r="C938" t="s">
        <v>78</v>
      </c>
      <c r="D938" t="s">
        <v>79</v>
      </c>
      <c r="E938" t="s">
        <v>755</v>
      </c>
      <c r="F938" s="6">
        <v>120</v>
      </c>
      <c r="G938" s="7">
        <v>2</v>
      </c>
      <c r="H938" s="6">
        <v>117.6</v>
      </c>
      <c r="I938">
        <v>0</v>
      </c>
      <c r="J938" s="6">
        <v>0</v>
      </c>
      <c r="K938">
        <v>1</v>
      </c>
      <c r="L938" s="6">
        <v>117.6</v>
      </c>
      <c r="M938" s="6">
        <v>87.13</v>
      </c>
      <c r="N938" s="6">
        <v>30.47</v>
      </c>
      <c r="O938" s="6">
        <v>14.84</v>
      </c>
      <c r="P938" s="6">
        <v>15.63</v>
      </c>
      <c r="Q938" t="s">
        <v>81</v>
      </c>
      <c r="R938" t="s">
        <v>66</v>
      </c>
      <c r="S938" t="s">
        <v>67</v>
      </c>
    </row>
    <row r="939" spans="1:19" x14ac:dyDescent="0.35">
      <c r="A939" t="s">
        <v>1064</v>
      </c>
      <c r="B939" s="5">
        <v>45818</v>
      </c>
      <c r="C939" t="s">
        <v>125</v>
      </c>
      <c r="D939" t="s">
        <v>85</v>
      </c>
      <c r="E939">
        <v>5</v>
      </c>
      <c r="F939" s="6">
        <v>125</v>
      </c>
      <c r="G939" s="7">
        <v>0</v>
      </c>
      <c r="H939" s="6">
        <v>625</v>
      </c>
      <c r="I939">
        <v>0</v>
      </c>
      <c r="J939" s="6">
        <v>0</v>
      </c>
      <c r="K939">
        <v>5</v>
      </c>
      <c r="L939" s="6">
        <v>625</v>
      </c>
      <c r="M939" s="6">
        <v>489.72</v>
      </c>
      <c r="N939" s="6">
        <v>135.28</v>
      </c>
      <c r="O939" s="6">
        <v>75.44</v>
      </c>
      <c r="P939" s="6">
        <v>59.84</v>
      </c>
      <c r="Q939" t="s">
        <v>75</v>
      </c>
      <c r="R939" t="s">
        <v>86</v>
      </c>
      <c r="S939" t="s">
        <v>61</v>
      </c>
    </row>
    <row r="940" spans="1:19" x14ac:dyDescent="0.35">
      <c r="A940" t="s">
        <v>1065</v>
      </c>
      <c r="B940" s="5">
        <v>45699</v>
      </c>
      <c r="C940" t="s">
        <v>117</v>
      </c>
      <c r="D940" t="s">
        <v>74</v>
      </c>
      <c r="E940">
        <v>10</v>
      </c>
      <c r="F940" s="6">
        <v>95</v>
      </c>
      <c r="G940" s="7">
        <v>0</v>
      </c>
      <c r="H940" s="6">
        <v>950</v>
      </c>
      <c r="I940">
        <v>0</v>
      </c>
      <c r="J940" s="6">
        <v>0</v>
      </c>
      <c r="K940">
        <v>10</v>
      </c>
      <c r="L940" s="6">
        <v>950</v>
      </c>
      <c r="M940" s="6">
        <v>614.73</v>
      </c>
      <c r="N940" s="6">
        <v>335.27</v>
      </c>
      <c r="O940" s="6">
        <v>109.86</v>
      </c>
      <c r="P940" s="6">
        <v>225.41</v>
      </c>
      <c r="Q940" t="s">
        <v>65</v>
      </c>
      <c r="R940" t="s">
        <v>66</v>
      </c>
      <c r="S940" t="s">
        <v>71</v>
      </c>
    </row>
    <row r="941" spans="1:19" x14ac:dyDescent="0.35">
      <c r="A941" t="s">
        <v>1066</v>
      </c>
      <c r="B941" s="5">
        <v>45991</v>
      </c>
      <c r="C941" t="s">
        <v>97</v>
      </c>
      <c r="D941" t="s">
        <v>57</v>
      </c>
      <c r="E941">
        <v>1</v>
      </c>
      <c r="F941" s="6">
        <v>55</v>
      </c>
      <c r="G941" s="7">
        <v>0</v>
      </c>
      <c r="H941" s="6">
        <v>55</v>
      </c>
      <c r="I941">
        <v>0</v>
      </c>
      <c r="J941" s="6">
        <v>0</v>
      </c>
      <c r="K941">
        <v>1</v>
      </c>
      <c r="L941" s="6">
        <v>55</v>
      </c>
      <c r="M941" s="6">
        <v>40.78</v>
      </c>
      <c r="N941" s="6">
        <v>14.22</v>
      </c>
      <c r="O941" s="6">
        <v>5.96</v>
      </c>
      <c r="P941" s="6">
        <v>8.26</v>
      </c>
      <c r="Q941" t="s">
        <v>75</v>
      </c>
      <c r="R941" t="s">
        <v>60</v>
      </c>
      <c r="S941" t="s">
        <v>71</v>
      </c>
    </row>
    <row r="942" spans="1:19" x14ac:dyDescent="0.35">
      <c r="A942" t="s">
        <v>1067</v>
      </c>
      <c r="B942" s="5">
        <v>45746</v>
      </c>
      <c r="C942" t="s">
        <v>114</v>
      </c>
      <c r="D942" t="s">
        <v>64</v>
      </c>
      <c r="E942">
        <v>2</v>
      </c>
      <c r="F942" s="6">
        <v>420</v>
      </c>
      <c r="G942" s="7">
        <v>5</v>
      </c>
      <c r="H942" s="6">
        <v>798</v>
      </c>
      <c r="I942">
        <v>0</v>
      </c>
      <c r="J942" s="6">
        <v>0</v>
      </c>
      <c r="K942">
        <v>2</v>
      </c>
      <c r="L942" s="6">
        <v>798</v>
      </c>
      <c r="M942" s="6">
        <v>576.64</v>
      </c>
      <c r="N942" s="6">
        <v>221.36</v>
      </c>
      <c r="O942" s="6">
        <v>64.42</v>
      </c>
      <c r="P942" s="6">
        <v>156.94</v>
      </c>
      <c r="Q942" t="s">
        <v>59</v>
      </c>
      <c r="R942" t="s">
        <v>82</v>
      </c>
      <c r="S942" t="s">
        <v>76</v>
      </c>
    </row>
    <row r="943" spans="1:19" x14ac:dyDescent="0.35">
      <c r="A943" t="s">
        <v>1068</v>
      </c>
      <c r="B943" s="5">
        <v>45666</v>
      </c>
      <c r="C943" t="s">
        <v>114</v>
      </c>
      <c r="D943" t="s">
        <v>128</v>
      </c>
      <c r="E943">
        <v>5</v>
      </c>
      <c r="F943" s="6">
        <v>420</v>
      </c>
      <c r="G943" s="7">
        <v>5</v>
      </c>
      <c r="H943" s="6">
        <v>1995</v>
      </c>
      <c r="I943">
        <v>0</v>
      </c>
      <c r="J943" s="6">
        <v>0</v>
      </c>
      <c r="K943">
        <v>5</v>
      </c>
      <c r="L943" s="6">
        <v>1995</v>
      </c>
      <c r="M943" s="6">
        <v>1614.69</v>
      </c>
      <c r="N943" s="6">
        <v>380.31</v>
      </c>
      <c r="O943" s="6">
        <v>164.33</v>
      </c>
      <c r="P943" s="6">
        <v>215.98</v>
      </c>
      <c r="Q943" t="s">
        <v>75</v>
      </c>
      <c r="R943" t="s">
        <v>66</v>
      </c>
      <c r="S943" t="s">
        <v>67</v>
      </c>
    </row>
    <row r="944" spans="1:19" x14ac:dyDescent="0.35">
      <c r="A944" t="s">
        <v>1069</v>
      </c>
      <c r="B944" s="5">
        <v>45746</v>
      </c>
      <c r="C944" t="s">
        <v>100</v>
      </c>
      <c r="D944" t="s">
        <v>64</v>
      </c>
      <c r="E944">
        <v>5</v>
      </c>
      <c r="F944" s="6">
        <v>310</v>
      </c>
      <c r="G944" s="7">
        <v>0</v>
      </c>
      <c r="H944" s="6">
        <v>1550</v>
      </c>
      <c r="I944">
        <v>0</v>
      </c>
      <c r="J944" s="6">
        <v>0</v>
      </c>
      <c r="K944">
        <v>5</v>
      </c>
      <c r="L944" s="6">
        <v>1550</v>
      </c>
      <c r="M944" s="6">
        <v>1239.4100000000001</v>
      </c>
      <c r="N944" s="6">
        <v>310.58999999999997</v>
      </c>
      <c r="O944" s="6">
        <v>134.41</v>
      </c>
      <c r="P944" s="6">
        <v>176.18</v>
      </c>
      <c r="Q944" t="s">
        <v>81</v>
      </c>
      <c r="R944" t="s">
        <v>86</v>
      </c>
      <c r="S944" t="s">
        <v>71</v>
      </c>
    </row>
    <row r="945" spans="1:19" x14ac:dyDescent="0.35">
      <c r="A945" t="s">
        <v>1070</v>
      </c>
      <c r="B945" s="5">
        <v>45880</v>
      </c>
      <c r="C945" t="s">
        <v>1071</v>
      </c>
      <c r="D945" t="s">
        <v>105</v>
      </c>
      <c r="E945">
        <v>4</v>
      </c>
      <c r="F945" s="6">
        <v>65</v>
      </c>
      <c r="G945" s="7">
        <v>10</v>
      </c>
      <c r="H945" s="6">
        <v>234</v>
      </c>
      <c r="I945">
        <v>0</v>
      </c>
      <c r="J945" s="6">
        <v>0</v>
      </c>
      <c r="K945">
        <v>4</v>
      </c>
      <c r="L945" s="6">
        <v>234</v>
      </c>
      <c r="M945" s="6">
        <v>168.05</v>
      </c>
      <c r="N945" s="6">
        <v>65.95</v>
      </c>
      <c r="O945" s="6">
        <v>20.399999999999999</v>
      </c>
      <c r="P945" s="6">
        <v>45.55</v>
      </c>
      <c r="Q945" t="s">
        <v>75</v>
      </c>
      <c r="R945" t="s">
        <v>66</v>
      </c>
      <c r="S945" t="s">
        <v>67</v>
      </c>
    </row>
    <row r="946" spans="1:19" x14ac:dyDescent="0.35">
      <c r="A946" t="s">
        <v>1072</v>
      </c>
      <c r="B946" s="5">
        <v>45694</v>
      </c>
      <c r="C946" t="s">
        <v>114</v>
      </c>
      <c r="D946" t="s">
        <v>64</v>
      </c>
      <c r="E946">
        <v>3</v>
      </c>
      <c r="F946" s="6">
        <v>420</v>
      </c>
      <c r="G946" s="7">
        <v>0</v>
      </c>
      <c r="H946" s="6">
        <v>1260</v>
      </c>
      <c r="I946">
        <v>0</v>
      </c>
      <c r="J946" s="6">
        <v>0</v>
      </c>
      <c r="K946">
        <v>3</v>
      </c>
      <c r="L946" s="6">
        <v>1260</v>
      </c>
      <c r="M946" s="6">
        <v>954.67</v>
      </c>
      <c r="N946" s="6">
        <v>305.33</v>
      </c>
      <c r="O946" s="6">
        <v>65.88</v>
      </c>
      <c r="P946" s="6">
        <v>239.45</v>
      </c>
      <c r="Q946" t="s">
        <v>65</v>
      </c>
      <c r="R946" t="s">
        <v>60</v>
      </c>
      <c r="S946" t="s">
        <v>67</v>
      </c>
    </row>
    <row r="947" spans="1:19" x14ac:dyDescent="0.35">
      <c r="A947" t="s">
        <v>1073</v>
      </c>
      <c r="B947" s="5">
        <v>45773</v>
      </c>
      <c r="C947" t="s">
        <v>69</v>
      </c>
      <c r="D947" t="s">
        <v>70</v>
      </c>
      <c r="E947">
        <v>2</v>
      </c>
      <c r="F947" s="6">
        <v>210</v>
      </c>
      <c r="G947" s="7">
        <v>5</v>
      </c>
      <c r="H947" s="6">
        <v>399</v>
      </c>
      <c r="I947">
        <v>0</v>
      </c>
      <c r="J947" s="6">
        <v>0</v>
      </c>
      <c r="K947">
        <v>2</v>
      </c>
      <c r="L947" s="6">
        <v>399</v>
      </c>
      <c r="M947" s="6">
        <v>273.69</v>
      </c>
      <c r="N947" s="6">
        <v>125.31</v>
      </c>
      <c r="O947" s="6">
        <v>22.95</v>
      </c>
      <c r="P947" s="6">
        <v>102.36</v>
      </c>
      <c r="Q947" t="s">
        <v>65</v>
      </c>
      <c r="R947" t="s">
        <v>86</v>
      </c>
      <c r="S947" t="s">
        <v>71</v>
      </c>
    </row>
    <row r="948" spans="1:19" x14ac:dyDescent="0.35">
      <c r="A948" t="s">
        <v>1074</v>
      </c>
      <c r="B948" s="5">
        <v>45993</v>
      </c>
      <c r="C948" t="s">
        <v>114</v>
      </c>
      <c r="D948" t="s">
        <v>64</v>
      </c>
      <c r="E948">
        <v>4</v>
      </c>
      <c r="F948" s="6">
        <v>420</v>
      </c>
      <c r="G948" s="7">
        <v>0</v>
      </c>
      <c r="H948" s="6">
        <v>1680</v>
      </c>
      <c r="I948">
        <v>0</v>
      </c>
      <c r="J948" s="6">
        <v>0</v>
      </c>
      <c r="K948">
        <v>4</v>
      </c>
      <c r="L948" s="6">
        <v>1680</v>
      </c>
      <c r="M948" s="6">
        <v>1109.58</v>
      </c>
      <c r="N948" s="6">
        <v>570.41999999999996</v>
      </c>
      <c r="O948" s="6">
        <v>180.01</v>
      </c>
      <c r="P948" s="6">
        <v>390.41</v>
      </c>
      <c r="Q948" t="s">
        <v>59</v>
      </c>
      <c r="R948" t="s">
        <v>86</v>
      </c>
      <c r="S948" t="s">
        <v>67</v>
      </c>
    </row>
    <row r="949" spans="1:19" x14ac:dyDescent="0.35">
      <c r="A949" t="s">
        <v>1075</v>
      </c>
      <c r="B949" s="5">
        <v>45958</v>
      </c>
      <c r="C949" t="s">
        <v>117</v>
      </c>
      <c r="D949" t="s">
        <v>74</v>
      </c>
      <c r="E949">
        <v>2</v>
      </c>
      <c r="F949" s="6">
        <v>95</v>
      </c>
      <c r="G949" s="7">
        <v>5</v>
      </c>
      <c r="H949" s="6">
        <v>180.5</v>
      </c>
      <c r="I949">
        <v>0</v>
      </c>
      <c r="J949" s="6">
        <v>0</v>
      </c>
      <c r="K949">
        <v>2</v>
      </c>
      <c r="L949" s="6">
        <v>180.5</v>
      </c>
      <c r="M949" s="6">
        <v>141.19</v>
      </c>
      <c r="N949" s="6">
        <v>39.31</v>
      </c>
      <c r="O949" s="6">
        <v>16.09</v>
      </c>
      <c r="P949" s="6">
        <v>23.22</v>
      </c>
      <c r="Q949" t="s">
        <v>65</v>
      </c>
      <c r="R949" t="s">
        <v>86</v>
      </c>
      <c r="S949" t="s">
        <v>71</v>
      </c>
    </row>
    <row r="950" spans="1:19" x14ac:dyDescent="0.35">
      <c r="A950" t="s">
        <v>1076</v>
      </c>
      <c r="B950" s="5">
        <v>45995</v>
      </c>
      <c r="C950" t="s">
        <v>114</v>
      </c>
      <c r="D950" t="s">
        <v>64</v>
      </c>
      <c r="E950">
        <v>1</v>
      </c>
      <c r="F950" s="6">
        <v>420</v>
      </c>
      <c r="G950" s="7">
        <v>0</v>
      </c>
      <c r="H950" s="6">
        <v>420</v>
      </c>
      <c r="I950">
        <v>0</v>
      </c>
      <c r="J950" s="6">
        <v>0</v>
      </c>
      <c r="K950">
        <v>1</v>
      </c>
      <c r="L950" s="6">
        <v>420</v>
      </c>
      <c r="M950" s="6">
        <v>345.07</v>
      </c>
      <c r="N950" s="6">
        <v>74.930000000000007</v>
      </c>
      <c r="O950" s="6">
        <v>51.06</v>
      </c>
      <c r="P950" s="6">
        <v>23.87</v>
      </c>
      <c r="Q950" t="s">
        <v>75</v>
      </c>
      <c r="R950" t="s">
        <v>60</v>
      </c>
      <c r="S950" t="s">
        <v>71</v>
      </c>
    </row>
    <row r="951" spans="1:19" x14ac:dyDescent="0.35">
      <c r="A951" t="s">
        <v>1077</v>
      </c>
      <c r="B951" s="5">
        <v>45752</v>
      </c>
      <c r="C951" t="s">
        <v>88</v>
      </c>
      <c r="D951" t="s">
        <v>57</v>
      </c>
      <c r="E951">
        <v>1</v>
      </c>
      <c r="F951" s="6">
        <v>30</v>
      </c>
      <c r="G951" s="7">
        <v>15</v>
      </c>
      <c r="H951" s="6">
        <v>25.5</v>
      </c>
      <c r="I951">
        <v>0</v>
      </c>
      <c r="J951" s="6">
        <v>0</v>
      </c>
      <c r="K951">
        <v>1</v>
      </c>
      <c r="L951" s="6">
        <v>25.5</v>
      </c>
      <c r="M951" s="6">
        <v>17.53</v>
      </c>
      <c r="N951" s="6">
        <v>7.97</v>
      </c>
      <c r="O951" s="6">
        <v>1.64</v>
      </c>
      <c r="P951" s="6">
        <v>6.33</v>
      </c>
      <c r="Q951" t="s">
        <v>75</v>
      </c>
      <c r="R951" t="s">
        <v>60</v>
      </c>
      <c r="S951" t="s">
        <v>71</v>
      </c>
    </row>
    <row r="952" spans="1:19" x14ac:dyDescent="0.35">
      <c r="A952" t="s">
        <v>1078</v>
      </c>
      <c r="B952" s="5">
        <v>45976</v>
      </c>
      <c r="C952" t="s">
        <v>56</v>
      </c>
      <c r="D952" t="s">
        <v>57</v>
      </c>
      <c r="E952">
        <v>1</v>
      </c>
      <c r="F952" s="6">
        <v>40</v>
      </c>
      <c r="G952" s="7">
        <v>2</v>
      </c>
      <c r="H952" s="6">
        <v>39.200000000000003</v>
      </c>
      <c r="I952">
        <v>0</v>
      </c>
      <c r="J952" s="6">
        <v>0</v>
      </c>
      <c r="K952">
        <v>1</v>
      </c>
      <c r="L952" s="6">
        <v>39.200000000000003</v>
      </c>
      <c r="M952" s="6">
        <v>27.47</v>
      </c>
      <c r="N952" s="6">
        <v>11.73</v>
      </c>
      <c r="O952" s="6">
        <v>2.94</v>
      </c>
      <c r="P952" s="6">
        <v>8.7899999999999991</v>
      </c>
      <c r="Q952" t="s">
        <v>65</v>
      </c>
      <c r="R952" t="s">
        <v>66</v>
      </c>
      <c r="S952" t="s">
        <v>61</v>
      </c>
    </row>
    <row r="953" spans="1:19" x14ac:dyDescent="0.35">
      <c r="A953" t="s">
        <v>1079</v>
      </c>
      <c r="B953" s="5">
        <v>46004</v>
      </c>
      <c r="C953" t="s">
        <v>109</v>
      </c>
      <c r="D953" t="s">
        <v>85</v>
      </c>
      <c r="E953">
        <v>3</v>
      </c>
      <c r="F953" s="6">
        <v>180</v>
      </c>
      <c r="G953" s="7">
        <v>0</v>
      </c>
      <c r="H953" s="6">
        <v>540</v>
      </c>
      <c r="I953">
        <v>0</v>
      </c>
      <c r="J953" s="6">
        <v>0</v>
      </c>
      <c r="K953">
        <v>3</v>
      </c>
      <c r="L953" s="6">
        <v>540</v>
      </c>
      <c r="M953" s="6">
        <v>417.56</v>
      </c>
      <c r="N953" s="6">
        <v>122.44</v>
      </c>
      <c r="O953" s="6">
        <v>67.02</v>
      </c>
      <c r="P953" s="6">
        <v>55.42</v>
      </c>
      <c r="Q953" t="s">
        <v>75</v>
      </c>
      <c r="R953" t="s">
        <v>66</v>
      </c>
      <c r="S953" t="s">
        <v>61</v>
      </c>
    </row>
    <row r="954" spans="1:19" x14ac:dyDescent="0.35">
      <c r="A954" t="s">
        <v>1080</v>
      </c>
      <c r="B954" s="5">
        <v>45867</v>
      </c>
      <c r="C954" t="s">
        <v>125</v>
      </c>
      <c r="D954" t="s">
        <v>85</v>
      </c>
      <c r="E954">
        <v>1</v>
      </c>
      <c r="F954" s="6">
        <v>125</v>
      </c>
      <c r="G954" s="7">
        <v>5</v>
      </c>
      <c r="H954" s="6">
        <v>118.75</v>
      </c>
      <c r="I954">
        <v>0</v>
      </c>
      <c r="J954" s="6">
        <v>0</v>
      </c>
      <c r="K954">
        <v>1</v>
      </c>
      <c r="L954" s="6">
        <v>118.75</v>
      </c>
      <c r="M954" s="6">
        <v>83.52</v>
      </c>
      <c r="N954" s="6">
        <v>35.229999999999997</v>
      </c>
      <c r="O954" s="6">
        <v>9.48</v>
      </c>
      <c r="P954" s="6">
        <v>25.75</v>
      </c>
      <c r="Q954" t="s">
        <v>81</v>
      </c>
      <c r="R954" t="s">
        <v>66</v>
      </c>
      <c r="S954" t="s">
        <v>76</v>
      </c>
    </row>
    <row r="955" spans="1:19" x14ac:dyDescent="0.35">
      <c r="A955" t="s">
        <v>1081</v>
      </c>
      <c r="B955" s="5">
        <v>45751</v>
      </c>
      <c r="C955" t="s">
        <v>63</v>
      </c>
      <c r="D955" t="s">
        <v>64</v>
      </c>
      <c r="E955">
        <v>1</v>
      </c>
      <c r="F955" s="6">
        <v>145</v>
      </c>
      <c r="G955" s="7">
        <v>0</v>
      </c>
      <c r="H955" s="6">
        <v>145</v>
      </c>
      <c r="I955">
        <v>0</v>
      </c>
      <c r="J955" s="6">
        <v>0</v>
      </c>
      <c r="K955">
        <v>1</v>
      </c>
      <c r="L955" s="6">
        <v>145</v>
      </c>
      <c r="M955" s="6">
        <v>120.75</v>
      </c>
      <c r="N955" s="6">
        <v>24.25</v>
      </c>
      <c r="O955" s="6">
        <v>17.489999999999998</v>
      </c>
      <c r="P955" s="6">
        <v>6.76</v>
      </c>
      <c r="Q955" t="s">
        <v>81</v>
      </c>
      <c r="R955" t="s">
        <v>66</v>
      </c>
      <c r="S955" t="s">
        <v>67</v>
      </c>
    </row>
    <row r="956" spans="1:19" x14ac:dyDescent="0.35">
      <c r="A956" t="s">
        <v>1082</v>
      </c>
      <c r="B956" s="5">
        <v>45913</v>
      </c>
      <c r="C956" t="s">
        <v>84</v>
      </c>
      <c r="D956" t="s">
        <v>85</v>
      </c>
      <c r="E956">
        <v>3</v>
      </c>
      <c r="F956" s="6">
        <v>48</v>
      </c>
      <c r="G956" s="7">
        <v>0</v>
      </c>
      <c r="H956" s="6">
        <v>144</v>
      </c>
      <c r="I956">
        <v>0</v>
      </c>
      <c r="J956" s="6">
        <v>0</v>
      </c>
      <c r="K956">
        <v>3</v>
      </c>
      <c r="L956" s="6">
        <v>144</v>
      </c>
      <c r="M956" s="6">
        <v>104.43</v>
      </c>
      <c r="N956" s="6">
        <v>39.57</v>
      </c>
      <c r="O956" s="6">
        <v>9.1</v>
      </c>
      <c r="P956" s="6">
        <v>30.47</v>
      </c>
      <c r="Q956" t="s">
        <v>75</v>
      </c>
      <c r="R956" t="s">
        <v>60</v>
      </c>
      <c r="S956" t="s">
        <v>71</v>
      </c>
    </row>
    <row r="957" spans="1:19" x14ac:dyDescent="0.35">
      <c r="A957" t="s">
        <v>1083</v>
      </c>
      <c r="B957" s="5">
        <v>45990</v>
      </c>
      <c r="C957" t="s">
        <v>63</v>
      </c>
      <c r="D957" t="s">
        <v>64</v>
      </c>
      <c r="E957" t="s">
        <v>1084</v>
      </c>
      <c r="F957" s="6">
        <v>145</v>
      </c>
      <c r="G957" s="7">
        <v>2</v>
      </c>
      <c r="H957" s="6">
        <v>426.3</v>
      </c>
      <c r="I957">
        <v>1</v>
      </c>
      <c r="J957" s="6">
        <v>142.1</v>
      </c>
      <c r="K957">
        <v>2</v>
      </c>
      <c r="L957" s="6">
        <v>284.2</v>
      </c>
      <c r="M957" s="6">
        <v>229.34</v>
      </c>
      <c r="N957" s="6">
        <v>54.86</v>
      </c>
      <c r="O957" s="6">
        <v>15.88</v>
      </c>
      <c r="P957" s="6">
        <v>38.979999999999997</v>
      </c>
      <c r="Q957" t="s">
        <v>65</v>
      </c>
      <c r="R957" t="s">
        <v>60</v>
      </c>
      <c r="S957" t="s">
        <v>67</v>
      </c>
    </row>
    <row r="958" spans="1:19" x14ac:dyDescent="0.35">
      <c r="A958" t="s">
        <v>1085</v>
      </c>
      <c r="B958" s="5">
        <v>45873</v>
      </c>
      <c r="C958" t="s">
        <v>107</v>
      </c>
      <c r="D958" t="s">
        <v>74</v>
      </c>
      <c r="E958">
        <v>1</v>
      </c>
      <c r="F958" s="6">
        <v>125</v>
      </c>
      <c r="G958" s="7">
        <v>0</v>
      </c>
      <c r="H958" s="6">
        <v>125</v>
      </c>
      <c r="I958">
        <v>0</v>
      </c>
      <c r="J958" s="6">
        <v>0</v>
      </c>
      <c r="K958">
        <v>1</v>
      </c>
      <c r="L958" s="6">
        <v>125</v>
      </c>
      <c r="M958" s="6">
        <v>99.14</v>
      </c>
      <c r="N958" s="6">
        <v>25.86</v>
      </c>
      <c r="O958" s="6">
        <v>14.75</v>
      </c>
      <c r="P958" s="6">
        <v>11.11</v>
      </c>
      <c r="Q958" t="s">
        <v>59</v>
      </c>
      <c r="R958" t="s">
        <v>66</v>
      </c>
      <c r="S958" t="s">
        <v>67</v>
      </c>
    </row>
    <row r="959" spans="1:19" x14ac:dyDescent="0.35">
      <c r="A959" t="s">
        <v>1086</v>
      </c>
      <c r="B959" s="5">
        <v>45950</v>
      </c>
      <c r="C959" t="s">
        <v>427</v>
      </c>
      <c r="D959" t="s">
        <v>74</v>
      </c>
      <c r="E959">
        <v>2</v>
      </c>
      <c r="F959" s="6">
        <v>125</v>
      </c>
      <c r="G959" s="7">
        <v>2</v>
      </c>
      <c r="H959" s="6">
        <v>245</v>
      </c>
      <c r="I959">
        <v>0</v>
      </c>
      <c r="J959" s="6">
        <v>0</v>
      </c>
      <c r="K959">
        <v>2</v>
      </c>
      <c r="L959" s="6">
        <v>245</v>
      </c>
      <c r="M959" s="6">
        <v>153.75</v>
      </c>
      <c r="N959" s="6">
        <v>91.25</v>
      </c>
      <c r="O959" s="6">
        <v>28.63</v>
      </c>
      <c r="P959" s="6">
        <v>62.62</v>
      </c>
      <c r="Q959" t="s">
        <v>59</v>
      </c>
      <c r="R959" t="s">
        <v>66</v>
      </c>
      <c r="S959" t="s">
        <v>67</v>
      </c>
    </row>
    <row r="960" spans="1:19" x14ac:dyDescent="0.35">
      <c r="A960" t="s">
        <v>1087</v>
      </c>
      <c r="B960" s="5">
        <v>46010</v>
      </c>
      <c r="C960" t="s">
        <v>90</v>
      </c>
      <c r="D960" t="s">
        <v>70</v>
      </c>
      <c r="E960">
        <v>2</v>
      </c>
      <c r="F960" s="6">
        <v>38</v>
      </c>
      <c r="G960" s="7">
        <v>15</v>
      </c>
      <c r="H960" s="6">
        <v>64.599999999999994</v>
      </c>
      <c r="I960">
        <v>0</v>
      </c>
      <c r="J960" s="6">
        <v>0</v>
      </c>
      <c r="K960">
        <v>2</v>
      </c>
      <c r="L960" s="6">
        <v>64.599999999999994</v>
      </c>
      <c r="M960" s="6">
        <v>55.34</v>
      </c>
      <c r="N960" s="6">
        <v>9.26</v>
      </c>
      <c r="O960" s="6">
        <v>8.06</v>
      </c>
      <c r="P960" s="6">
        <v>1.2</v>
      </c>
      <c r="Q960" t="s">
        <v>75</v>
      </c>
      <c r="R960" t="s">
        <v>66</v>
      </c>
      <c r="S960" t="s">
        <v>67</v>
      </c>
    </row>
    <row r="961" spans="1:19" x14ac:dyDescent="0.35">
      <c r="A961" t="s">
        <v>1088</v>
      </c>
      <c r="B961" s="5">
        <v>46006</v>
      </c>
      <c r="C961" t="s">
        <v>114</v>
      </c>
      <c r="D961" t="s">
        <v>64</v>
      </c>
      <c r="E961">
        <v>1</v>
      </c>
      <c r="F961" s="6">
        <v>420</v>
      </c>
      <c r="G961" s="7">
        <v>10</v>
      </c>
      <c r="H961" s="6">
        <v>378</v>
      </c>
      <c r="I961">
        <v>0</v>
      </c>
      <c r="J961" s="6">
        <v>0</v>
      </c>
      <c r="K961">
        <v>1</v>
      </c>
      <c r="L961" s="6">
        <v>378</v>
      </c>
      <c r="M961" s="6">
        <v>282.43</v>
      </c>
      <c r="N961" s="6">
        <v>95.57</v>
      </c>
      <c r="O961" s="6">
        <v>33.49</v>
      </c>
      <c r="P961" s="6">
        <v>62.08</v>
      </c>
      <c r="Q961" t="s">
        <v>81</v>
      </c>
      <c r="R961" t="s">
        <v>60</v>
      </c>
      <c r="S961" t="s">
        <v>71</v>
      </c>
    </row>
    <row r="962" spans="1:19" x14ac:dyDescent="0.35">
      <c r="A962" t="s">
        <v>1089</v>
      </c>
      <c r="B962" s="5">
        <v>45804</v>
      </c>
      <c r="C962" t="s">
        <v>264</v>
      </c>
      <c r="D962" t="s">
        <v>85</v>
      </c>
      <c r="E962">
        <v>1</v>
      </c>
      <c r="F962" s="6">
        <v>20</v>
      </c>
      <c r="G962" s="7">
        <v>2</v>
      </c>
      <c r="H962" s="6">
        <v>19.600000000000001</v>
      </c>
      <c r="I962">
        <v>0</v>
      </c>
      <c r="J962" s="6">
        <v>0</v>
      </c>
      <c r="K962">
        <v>1</v>
      </c>
      <c r="L962" s="6">
        <v>19.600000000000001</v>
      </c>
      <c r="M962" s="6">
        <v>15.53</v>
      </c>
      <c r="N962" s="6">
        <v>4.07</v>
      </c>
      <c r="O962" s="6">
        <v>2.14</v>
      </c>
      <c r="P962" s="6">
        <v>1.93</v>
      </c>
      <c r="Q962" t="s">
        <v>59</v>
      </c>
      <c r="R962" t="s">
        <v>86</v>
      </c>
      <c r="S962" t="s">
        <v>76</v>
      </c>
    </row>
    <row r="963" spans="1:19" x14ac:dyDescent="0.35">
      <c r="A963" t="s">
        <v>1090</v>
      </c>
      <c r="B963" s="5">
        <v>45734</v>
      </c>
      <c r="C963" t="s">
        <v>73</v>
      </c>
      <c r="D963" t="s">
        <v>74</v>
      </c>
      <c r="E963">
        <v>1</v>
      </c>
      <c r="F963" s="6">
        <v>280</v>
      </c>
      <c r="G963" s="7">
        <v>0</v>
      </c>
      <c r="H963" s="6">
        <v>280</v>
      </c>
      <c r="I963">
        <v>0</v>
      </c>
      <c r="J963" s="6">
        <v>0</v>
      </c>
      <c r="K963">
        <v>1</v>
      </c>
      <c r="L963" s="6">
        <v>280</v>
      </c>
      <c r="M963" s="6">
        <v>230.37</v>
      </c>
      <c r="N963" s="6">
        <v>49.63</v>
      </c>
      <c r="O963" s="6">
        <v>19.93</v>
      </c>
      <c r="P963" s="6">
        <v>29.7</v>
      </c>
      <c r="Q963" t="s">
        <v>75</v>
      </c>
      <c r="R963" t="s">
        <v>66</v>
      </c>
      <c r="S963" t="s">
        <v>67</v>
      </c>
    </row>
    <row r="964" spans="1:19" x14ac:dyDescent="0.35">
      <c r="A964" t="s">
        <v>1091</v>
      </c>
      <c r="B964" s="5">
        <v>45868</v>
      </c>
      <c r="C964" t="s">
        <v>121</v>
      </c>
      <c r="D964" t="s">
        <v>70</v>
      </c>
      <c r="E964">
        <v>4</v>
      </c>
      <c r="F964" s="6">
        <v>110</v>
      </c>
      <c r="G964" s="7">
        <v>0</v>
      </c>
      <c r="H964" s="6">
        <v>440</v>
      </c>
      <c r="I964">
        <v>0</v>
      </c>
      <c r="J964" s="6">
        <v>0</v>
      </c>
      <c r="K964">
        <v>4</v>
      </c>
      <c r="L964" s="6">
        <v>440</v>
      </c>
      <c r="M964" s="6">
        <v>277.99</v>
      </c>
      <c r="N964" s="6">
        <v>162.01</v>
      </c>
      <c r="O964" s="6">
        <v>41.51</v>
      </c>
      <c r="P964" s="6">
        <v>120.5</v>
      </c>
      <c r="Q964" t="s">
        <v>59</v>
      </c>
      <c r="R964" t="s">
        <v>199</v>
      </c>
      <c r="S964" t="s">
        <v>67</v>
      </c>
    </row>
    <row r="965" spans="1:19" x14ac:dyDescent="0.35">
      <c r="A965" t="s">
        <v>1092</v>
      </c>
      <c r="B965" s="5">
        <v>45684</v>
      </c>
      <c r="C965" t="s">
        <v>90</v>
      </c>
      <c r="D965" t="s">
        <v>70</v>
      </c>
      <c r="E965">
        <v>2</v>
      </c>
      <c r="F965" s="6">
        <v>38</v>
      </c>
      <c r="G965" s="7">
        <v>0</v>
      </c>
      <c r="H965" s="6">
        <v>76</v>
      </c>
      <c r="I965">
        <v>0</v>
      </c>
      <c r="J965" s="6">
        <v>0</v>
      </c>
      <c r="K965">
        <v>2</v>
      </c>
      <c r="L965" s="6">
        <v>76</v>
      </c>
      <c r="M965" s="6">
        <v>55.28</v>
      </c>
      <c r="N965" s="6">
        <v>20.72</v>
      </c>
      <c r="O965" s="6">
        <v>9.6</v>
      </c>
      <c r="P965" s="6">
        <v>11.12</v>
      </c>
      <c r="Q965" t="s">
        <v>81</v>
      </c>
      <c r="R965" t="s">
        <v>82</v>
      </c>
      <c r="S965" t="s">
        <v>71</v>
      </c>
    </row>
    <row r="966" spans="1:19" x14ac:dyDescent="0.35">
      <c r="A966" t="s">
        <v>1093</v>
      </c>
      <c r="B966" s="5">
        <v>45697</v>
      </c>
      <c r="C966" t="s">
        <v>90</v>
      </c>
      <c r="D966" t="s">
        <v>70</v>
      </c>
      <c r="E966">
        <v>4</v>
      </c>
      <c r="F966" s="6">
        <v>38</v>
      </c>
      <c r="G966" s="7">
        <v>0</v>
      </c>
      <c r="H966" s="6">
        <v>152</v>
      </c>
      <c r="I966">
        <v>0</v>
      </c>
      <c r="J966" s="6">
        <v>0</v>
      </c>
      <c r="K966">
        <v>4</v>
      </c>
      <c r="L966" s="6">
        <v>152</v>
      </c>
      <c r="M966" s="6">
        <v>109.1</v>
      </c>
      <c r="N966" s="6">
        <v>42.9</v>
      </c>
      <c r="O966" s="6">
        <v>8.93</v>
      </c>
      <c r="P966" s="6">
        <v>33.97</v>
      </c>
      <c r="Q966" t="s">
        <v>81</v>
      </c>
      <c r="R966" t="s">
        <v>86</v>
      </c>
      <c r="S966" t="s">
        <v>76</v>
      </c>
    </row>
    <row r="967" spans="1:19" x14ac:dyDescent="0.35">
      <c r="A967" t="s">
        <v>1094</v>
      </c>
      <c r="B967" s="5">
        <v>45794</v>
      </c>
      <c r="C967" t="s">
        <v>264</v>
      </c>
      <c r="D967" t="s">
        <v>85</v>
      </c>
      <c r="E967">
        <v>4</v>
      </c>
      <c r="F967" s="6">
        <v>20</v>
      </c>
      <c r="G967" s="7">
        <v>0</v>
      </c>
      <c r="H967" s="6">
        <v>80</v>
      </c>
      <c r="I967">
        <v>0</v>
      </c>
      <c r="J967" s="6">
        <v>0</v>
      </c>
      <c r="K967">
        <v>4</v>
      </c>
      <c r="L967" s="6">
        <v>80</v>
      </c>
      <c r="M967" s="6">
        <v>65.08</v>
      </c>
      <c r="N967" s="6">
        <v>14.92</v>
      </c>
      <c r="O967" s="6">
        <v>10.14</v>
      </c>
      <c r="P967" s="6">
        <v>4.78</v>
      </c>
      <c r="Q967" t="s">
        <v>81</v>
      </c>
      <c r="R967" t="s">
        <v>82</v>
      </c>
      <c r="S967" t="s">
        <v>61</v>
      </c>
    </row>
    <row r="968" spans="1:19" x14ac:dyDescent="0.35">
      <c r="A968" t="s">
        <v>1095</v>
      </c>
      <c r="B968" s="5">
        <v>45957</v>
      </c>
      <c r="C968" t="s">
        <v>109</v>
      </c>
      <c r="D968" t="s">
        <v>85</v>
      </c>
      <c r="E968">
        <v>3</v>
      </c>
      <c r="F968" s="6">
        <v>180</v>
      </c>
      <c r="G968" s="7">
        <v>0</v>
      </c>
      <c r="H968" s="6">
        <v>540</v>
      </c>
      <c r="I968">
        <v>0</v>
      </c>
      <c r="J968" s="6">
        <v>0</v>
      </c>
      <c r="K968">
        <v>3</v>
      </c>
      <c r="L968" s="6">
        <v>540</v>
      </c>
      <c r="M968" s="6">
        <v>429.02</v>
      </c>
      <c r="N968" s="6">
        <v>110.98</v>
      </c>
      <c r="O968" s="6">
        <v>34.020000000000003</v>
      </c>
      <c r="P968" s="6">
        <v>76.959999999999994</v>
      </c>
      <c r="Q968" t="s">
        <v>75</v>
      </c>
      <c r="R968" t="s">
        <v>86</v>
      </c>
      <c r="S968" t="s">
        <v>71</v>
      </c>
    </row>
    <row r="969" spans="1:19" x14ac:dyDescent="0.35">
      <c r="A969" t="s">
        <v>1096</v>
      </c>
      <c r="B969" s="5">
        <v>45906</v>
      </c>
      <c r="C969" t="s">
        <v>92</v>
      </c>
      <c r="D969" t="s">
        <v>79</v>
      </c>
      <c r="E969">
        <v>3</v>
      </c>
      <c r="F969" s="6">
        <v>85</v>
      </c>
      <c r="G969" s="7">
        <v>2</v>
      </c>
      <c r="H969" s="6">
        <v>249.9</v>
      </c>
      <c r="I969">
        <v>0</v>
      </c>
      <c r="J969" s="6">
        <v>0</v>
      </c>
      <c r="K969">
        <v>3</v>
      </c>
      <c r="L969" s="6">
        <v>249.9</v>
      </c>
      <c r="M969" s="6">
        <v>165.21</v>
      </c>
      <c r="N969" s="6">
        <v>84.69</v>
      </c>
      <c r="O969" s="6">
        <v>18.55</v>
      </c>
      <c r="P969" s="6">
        <v>66.14</v>
      </c>
      <c r="Q969" t="s">
        <v>65</v>
      </c>
      <c r="R969" t="s">
        <v>66</v>
      </c>
      <c r="S969" t="s">
        <v>61</v>
      </c>
    </row>
    <row r="970" spans="1:19" x14ac:dyDescent="0.35">
      <c r="A970" t="s">
        <v>1097</v>
      </c>
      <c r="B970" s="5">
        <v>45675</v>
      </c>
      <c r="C970" t="s">
        <v>97</v>
      </c>
      <c r="D970" t="s">
        <v>57</v>
      </c>
      <c r="E970">
        <v>6</v>
      </c>
      <c r="F970" s="6">
        <v>55</v>
      </c>
      <c r="G970" s="7">
        <v>0</v>
      </c>
      <c r="H970" s="6">
        <v>330</v>
      </c>
      <c r="I970">
        <v>0</v>
      </c>
      <c r="J970" s="6">
        <v>0</v>
      </c>
      <c r="K970">
        <v>6</v>
      </c>
      <c r="L970" s="6">
        <v>330</v>
      </c>
      <c r="M970" s="6">
        <v>249.35</v>
      </c>
      <c r="N970" s="6">
        <v>80.650000000000006</v>
      </c>
      <c r="O970" s="6">
        <v>41.88</v>
      </c>
      <c r="P970" s="6">
        <v>38.770000000000003</v>
      </c>
      <c r="Q970" t="s">
        <v>81</v>
      </c>
      <c r="R970" t="s">
        <v>82</v>
      </c>
      <c r="S970" t="s">
        <v>61</v>
      </c>
    </row>
    <row r="971" spans="1:19" x14ac:dyDescent="0.35">
      <c r="A971" t="s">
        <v>1098</v>
      </c>
      <c r="B971" s="5">
        <v>45674</v>
      </c>
      <c r="C971" t="s">
        <v>117</v>
      </c>
      <c r="D971" t="s">
        <v>74</v>
      </c>
      <c r="E971">
        <v>3</v>
      </c>
      <c r="F971" s="6">
        <v>95</v>
      </c>
      <c r="G971" s="7">
        <v>0</v>
      </c>
      <c r="H971" s="6">
        <v>285</v>
      </c>
      <c r="I971">
        <v>0</v>
      </c>
      <c r="J971" s="6">
        <v>0</v>
      </c>
      <c r="K971">
        <v>3</v>
      </c>
      <c r="L971" s="6">
        <v>285</v>
      </c>
      <c r="M971" s="6">
        <v>203.48</v>
      </c>
      <c r="N971" s="6">
        <v>81.52</v>
      </c>
      <c r="O971" s="6">
        <v>29.28</v>
      </c>
      <c r="P971" s="6">
        <v>52.24</v>
      </c>
      <c r="Q971" t="s">
        <v>81</v>
      </c>
      <c r="R971" t="s">
        <v>86</v>
      </c>
      <c r="S971" t="s">
        <v>71</v>
      </c>
    </row>
    <row r="972" spans="1:19" x14ac:dyDescent="0.35">
      <c r="A972" t="s">
        <v>1099</v>
      </c>
      <c r="B972" s="5">
        <v>45705</v>
      </c>
      <c r="C972" t="s">
        <v>92</v>
      </c>
      <c r="D972" t="s">
        <v>79</v>
      </c>
      <c r="E972">
        <v>1</v>
      </c>
      <c r="F972" s="6">
        <v>85</v>
      </c>
      <c r="G972" s="7">
        <v>5</v>
      </c>
      <c r="H972" s="6">
        <v>80.75</v>
      </c>
      <c r="I972">
        <v>0</v>
      </c>
      <c r="J972" s="6">
        <v>0</v>
      </c>
      <c r="K972">
        <v>1</v>
      </c>
      <c r="L972" s="6">
        <v>80.75</v>
      </c>
      <c r="M972" s="6">
        <v>59.83</v>
      </c>
      <c r="N972" s="6">
        <v>20.92</v>
      </c>
      <c r="O972" s="6">
        <v>5.65</v>
      </c>
      <c r="P972" s="6">
        <v>15.27</v>
      </c>
      <c r="Q972" t="s">
        <v>75</v>
      </c>
      <c r="R972" t="s">
        <v>82</v>
      </c>
      <c r="S972" t="s">
        <v>76</v>
      </c>
    </row>
    <row r="973" spans="1:19" x14ac:dyDescent="0.35">
      <c r="A973" t="s">
        <v>1100</v>
      </c>
      <c r="B973" s="5">
        <v>45985</v>
      </c>
      <c r="C973" t="s">
        <v>84</v>
      </c>
      <c r="D973" t="s">
        <v>85</v>
      </c>
      <c r="E973">
        <v>2</v>
      </c>
      <c r="F973" s="6">
        <v>48</v>
      </c>
      <c r="G973" s="7">
        <v>5</v>
      </c>
      <c r="H973" s="6">
        <v>91.2</v>
      </c>
      <c r="I973">
        <v>0</v>
      </c>
      <c r="J973" s="6">
        <v>0</v>
      </c>
      <c r="K973">
        <v>2</v>
      </c>
      <c r="L973" s="6">
        <v>91.2</v>
      </c>
      <c r="M973" s="6">
        <v>76.180000000000007</v>
      </c>
      <c r="N973" s="6">
        <v>15.02</v>
      </c>
      <c r="O973" s="6">
        <v>7.88</v>
      </c>
      <c r="P973" s="6">
        <v>7.14</v>
      </c>
      <c r="Q973" t="s">
        <v>65</v>
      </c>
      <c r="R973" t="s">
        <v>66</v>
      </c>
      <c r="S973" t="s">
        <v>61</v>
      </c>
    </row>
    <row r="974" spans="1:19" x14ac:dyDescent="0.35">
      <c r="A974" t="s">
        <v>1101</v>
      </c>
      <c r="B974" s="5">
        <v>45914</v>
      </c>
      <c r="C974" t="s">
        <v>73</v>
      </c>
      <c r="D974" t="s">
        <v>74</v>
      </c>
      <c r="E974">
        <v>8</v>
      </c>
      <c r="F974" s="6">
        <v>280</v>
      </c>
      <c r="G974" s="7">
        <v>0</v>
      </c>
      <c r="H974" s="6">
        <v>2240</v>
      </c>
      <c r="I974">
        <v>0</v>
      </c>
      <c r="J974" s="6">
        <v>0</v>
      </c>
      <c r="K974">
        <v>8</v>
      </c>
      <c r="L974" s="6">
        <v>2240</v>
      </c>
      <c r="M974" s="6">
        <v>1572.62</v>
      </c>
      <c r="N974" s="6">
        <v>667.38</v>
      </c>
      <c r="O974" s="6">
        <v>116.37</v>
      </c>
      <c r="P974" s="6">
        <v>551.01</v>
      </c>
      <c r="Q974" t="s">
        <v>59</v>
      </c>
      <c r="R974" t="s">
        <v>60</v>
      </c>
      <c r="S974" t="s">
        <v>67</v>
      </c>
    </row>
    <row r="975" spans="1:19" x14ac:dyDescent="0.35">
      <c r="A975" t="s">
        <v>1102</v>
      </c>
      <c r="B975" s="5">
        <v>45970</v>
      </c>
      <c r="C975" t="s">
        <v>114</v>
      </c>
      <c r="D975" t="s">
        <v>64</v>
      </c>
      <c r="E975">
        <v>2</v>
      </c>
      <c r="F975" s="6">
        <v>420</v>
      </c>
      <c r="G975" s="7">
        <v>2</v>
      </c>
      <c r="H975" s="6">
        <v>823.2</v>
      </c>
      <c r="I975">
        <v>2</v>
      </c>
      <c r="J975" s="6">
        <v>823.2</v>
      </c>
      <c r="K975">
        <v>0</v>
      </c>
      <c r="L975" s="6">
        <v>0</v>
      </c>
      <c r="M975" s="6">
        <v>0</v>
      </c>
      <c r="N975" s="6">
        <v>0</v>
      </c>
      <c r="O975" s="6">
        <v>0</v>
      </c>
      <c r="P975" s="6">
        <v>0</v>
      </c>
      <c r="Q975" t="s">
        <v>65</v>
      </c>
      <c r="R975" t="s">
        <v>60</v>
      </c>
      <c r="S975" t="s">
        <v>71</v>
      </c>
    </row>
    <row r="976" spans="1:19" x14ac:dyDescent="0.35">
      <c r="A976" t="s">
        <v>1103</v>
      </c>
      <c r="B976" s="5">
        <v>46014</v>
      </c>
      <c r="C976" t="s">
        <v>114</v>
      </c>
      <c r="D976" t="s">
        <v>64</v>
      </c>
      <c r="E976">
        <v>1</v>
      </c>
      <c r="F976" s="6">
        <v>420</v>
      </c>
      <c r="G976" s="7">
        <v>0</v>
      </c>
      <c r="H976" s="6">
        <v>420</v>
      </c>
      <c r="I976">
        <v>0</v>
      </c>
      <c r="J976" s="6">
        <v>0</v>
      </c>
      <c r="K976">
        <v>1</v>
      </c>
      <c r="L976" s="6">
        <v>420</v>
      </c>
      <c r="M976" s="6">
        <v>359.82</v>
      </c>
      <c r="N976" s="6">
        <v>60.18</v>
      </c>
      <c r="O976" s="6">
        <v>24.87</v>
      </c>
      <c r="P976" s="6">
        <v>35.31</v>
      </c>
      <c r="Q976" t="s">
        <v>59</v>
      </c>
      <c r="R976" t="s">
        <v>147</v>
      </c>
      <c r="S976" t="s">
        <v>61</v>
      </c>
    </row>
    <row r="977" spans="1:19" x14ac:dyDescent="0.35">
      <c r="A977" t="s">
        <v>1104</v>
      </c>
      <c r="B977" s="5">
        <v>45882</v>
      </c>
      <c r="C977" t="s">
        <v>78</v>
      </c>
      <c r="D977" t="s">
        <v>79</v>
      </c>
      <c r="E977">
        <v>2</v>
      </c>
      <c r="F977" s="6">
        <v>120</v>
      </c>
      <c r="G977" s="7">
        <v>0</v>
      </c>
      <c r="H977" s="6">
        <v>240</v>
      </c>
      <c r="I977">
        <v>0</v>
      </c>
      <c r="J977" s="6">
        <v>0</v>
      </c>
      <c r="K977">
        <v>2</v>
      </c>
      <c r="L977" s="6">
        <v>240</v>
      </c>
      <c r="M977" s="6">
        <v>161.65</v>
      </c>
      <c r="N977" s="6">
        <v>78.349999999999994</v>
      </c>
      <c r="O977" s="6">
        <v>13.99</v>
      </c>
      <c r="P977" s="6">
        <v>64.36</v>
      </c>
      <c r="Q977" t="s">
        <v>75</v>
      </c>
      <c r="R977" t="s">
        <v>86</v>
      </c>
      <c r="S977" t="s">
        <v>76</v>
      </c>
    </row>
    <row r="978" spans="1:19" x14ac:dyDescent="0.35">
      <c r="A978" t="s">
        <v>1105</v>
      </c>
      <c r="B978" s="5">
        <v>45675</v>
      </c>
      <c r="C978" t="s">
        <v>125</v>
      </c>
      <c r="D978" t="s">
        <v>85</v>
      </c>
      <c r="E978">
        <v>3</v>
      </c>
      <c r="F978" s="6">
        <v>125</v>
      </c>
      <c r="G978" s="7">
        <v>2</v>
      </c>
      <c r="H978" s="6">
        <v>367.5</v>
      </c>
      <c r="I978">
        <v>0</v>
      </c>
      <c r="J978" s="6">
        <v>0</v>
      </c>
      <c r="K978">
        <v>3</v>
      </c>
      <c r="L978" s="6">
        <v>367.5</v>
      </c>
      <c r="M978" s="6">
        <v>285.47000000000003</v>
      </c>
      <c r="N978" s="6">
        <v>82.03</v>
      </c>
      <c r="O978" s="6">
        <v>36.93</v>
      </c>
      <c r="P978" s="6">
        <v>45.1</v>
      </c>
      <c r="Q978" t="s">
        <v>75</v>
      </c>
      <c r="R978" t="s">
        <v>82</v>
      </c>
      <c r="S978" t="s">
        <v>76</v>
      </c>
    </row>
    <row r="979" spans="1:19" x14ac:dyDescent="0.35">
      <c r="A979" t="s">
        <v>1106</v>
      </c>
      <c r="B979" s="5">
        <v>45778</v>
      </c>
      <c r="C979" t="s">
        <v>56</v>
      </c>
      <c r="D979" t="s">
        <v>57</v>
      </c>
      <c r="E979">
        <v>4</v>
      </c>
      <c r="F979" s="6">
        <v>40</v>
      </c>
      <c r="G979" s="7">
        <v>0</v>
      </c>
      <c r="H979" s="6">
        <v>160</v>
      </c>
      <c r="I979">
        <v>0</v>
      </c>
      <c r="J979" s="6">
        <v>0</v>
      </c>
      <c r="K979">
        <v>4</v>
      </c>
      <c r="L979" s="6">
        <v>160</v>
      </c>
      <c r="M979" s="6">
        <v>132.1</v>
      </c>
      <c r="N979" s="6">
        <v>27.9</v>
      </c>
      <c r="O979" s="6">
        <v>12.3</v>
      </c>
      <c r="P979" s="6">
        <v>15.6</v>
      </c>
      <c r="Q979" t="s">
        <v>65</v>
      </c>
      <c r="R979" t="s">
        <v>66</v>
      </c>
      <c r="S979" t="s">
        <v>61</v>
      </c>
    </row>
    <row r="980" spans="1:19" x14ac:dyDescent="0.35">
      <c r="A980" t="s">
        <v>1107</v>
      </c>
      <c r="B980" s="5">
        <v>45886</v>
      </c>
      <c r="C980" t="s">
        <v>104</v>
      </c>
      <c r="D980" t="s">
        <v>105</v>
      </c>
      <c r="E980">
        <v>2</v>
      </c>
      <c r="F980" s="6">
        <v>65</v>
      </c>
      <c r="G980" s="7">
        <v>0</v>
      </c>
      <c r="H980" s="6">
        <v>130</v>
      </c>
      <c r="I980">
        <v>0</v>
      </c>
      <c r="J980" s="6">
        <v>0</v>
      </c>
      <c r="K980">
        <v>2</v>
      </c>
      <c r="L980" s="6">
        <v>130</v>
      </c>
      <c r="M980" s="6">
        <v>107.95</v>
      </c>
      <c r="N980" s="6">
        <v>22.05</v>
      </c>
      <c r="O980" s="6">
        <v>11.24</v>
      </c>
      <c r="P980" s="6">
        <v>10.81</v>
      </c>
      <c r="Q980" t="s">
        <v>81</v>
      </c>
      <c r="R980" t="s">
        <v>82</v>
      </c>
      <c r="S980" t="s">
        <v>61</v>
      </c>
    </row>
    <row r="981" spans="1:19" x14ac:dyDescent="0.35">
      <c r="A981" t="s">
        <v>1108</v>
      </c>
      <c r="B981" s="5">
        <v>45768</v>
      </c>
      <c r="C981" t="s">
        <v>107</v>
      </c>
      <c r="D981" t="s">
        <v>74</v>
      </c>
      <c r="E981">
        <v>3</v>
      </c>
      <c r="F981" s="6">
        <v>125</v>
      </c>
      <c r="G981" s="7">
        <v>0</v>
      </c>
      <c r="H981" s="6">
        <v>375</v>
      </c>
      <c r="I981">
        <v>0</v>
      </c>
      <c r="J981" s="6">
        <v>0</v>
      </c>
      <c r="K981">
        <v>3</v>
      </c>
      <c r="L981" s="6">
        <v>375</v>
      </c>
      <c r="M981" s="6">
        <v>253.79</v>
      </c>
      <c r="N981" s="6">
        <v>121.21</v>
      </c>
      <c r="O981" s="6">
        <v>22.7</v>
      </c>
      <c r="P981" s="6">
        <v>98.51</v>
      </c>
      <c r="Q981" t="s">
        <v>75</v>
      </c>
      <c r="R981" t="s">
        <v>86</v>
      </c>
      <c r="S981" t="s">
        <v>61</v>
      </c>
    </row>
    <row r="982" spans="1:19" x14ac:dyDescent="0.35">
      <c r="A982" t="s">
        <v>1109</v>
      </c>
      <c r="B982" s="5">
        <v>45928</v>
      </c>
      <c r="C982" t="s">
        <v>92</v>
      </c>
      <c r="D982" t="s">
        <v>79</v>
      </c>
      <c r="E982">
        <v>6</v>
      </c>
      <c r="F982" s="6">
        <v>85</v>
      </c>
      <c r="G982" s="7">
        <v>0</v>
      </c>
      <c r="H982" s="6">
        <v>510</v>
      </c>
      <c r="I982">
        <v>0</v>
      </c>
      <c r="J982" s="6">
        <v>0</v>
      </c>
      <c r="K982">
        <v>6</v>
      </c>
      <c r="L982" s="6">
        <v>510</v>
      </c>
      <c r="M982" s="6">
        <v>427.93</v>
      </c>
      <c r="N982" s="6">
        <v>82.07</v>
      </c>
      <c r="O982" s="6">
        <v>51.85</v>
      </c>
      <c r="P982" s="6">
        <v>30.22</v>
      </c>
      <c r="Q982" t="s">
        <v>65</v>
      </c>
      <c r="S982" t="s">
        <v>76</v>
      </c>
    </row>
    <row r="983" spans="1:19" x14ac:dyDescent="0.35">
      <c r="A983" t="s">
        <v>1110</v>
      </c>
      <c r="B983" s="5">
        <v>45880</v>
      </c>
      <c r="C983" t="s">
        <v>264</v>
      </c>
      <c r="D983" t="s">
        <v>85</v>
      </c>
      <c r="E983">
        <v>1</v>
      </c>
      <c r="F983" s="6">
        <v>20</v>
      </c>
      <c r="G983" s="7">
        <v>2</v>
      </c>
      <c r="H983" s="6">
        <v>19.600000000000001</v>
      </c>
      <c r="I983">
        <v>0</v>
      </c>
      <c r="J983" s="6">
        <v>0</v>
      </c>
      <c r="K983">
        <v>1</v>
      </c>
      <c r="L983" s="6">
        <v>19.600000000000001</v>
      </c>
      <c r="M983" s="6">
        <v>14.07</v>
      </c>
      <c r="N983" s="6">
        <v>5.53</v>
      </c>
      <c r="O983" s="6">
        <v>2.36</v>
      </c>
      <c r="P983" s="6">
        <v>3.17</v>
      </c>
      <c r="Q983" t="s">
        <v>65</v>
      </c>
      <c r="R983" t="s">
        <v>82</v>
      </c>
      <c r="S983" t="s">
        <v>67</v>
      </c>
    </row>
    <row r="984" spans="1:19" x14ac:dyDescent="0.35">
      <c r="A984" t="s">
        <v>1111</v>
      </c>
      <c r="B984" s="5">
        <v>45792</v>
      </c>
      <c r="C984" t="s">
        <v>69</v>
      </c>
      <c r="D984" t="s">
        <v>70</v>
      </c>
      <c r="E984">
        <v>2</v>
      </c>
      <c r="F984" s="6">
        <v>210</v>
      </c>
      <c r="G984" s="7">
        <v>0</v>
      </c>
      <c r="H984" s="6">
        <v>420</v>
      </c>
      <c r="I984">
        <v>0</v>
      </c>
      <c r="J984" s="6">
        <v>0</v>
      </c>
      <c r="K984">
        <v>2</v>
      </c>
      <c r="L984" s="6">
        <v>420</v>
      </c>
      <c r="M984" s="6">
        <v>278.83999999999997</v>
      </c>
      <c r="N984" s="6">
        <v>141.16</v>
      </c>
      <c r="O984" s="6">
        <v>54.08</v>
      </c>
      <c r="P984" s="6">
        <v>87.08</v>
      </c>
      <c r="Q984" t="s">
        <v>81</v>
      </c>
      <c r="R984" t="s">
        <v>86</v>
      </c>
      <c r="S984" t="s">
        <v>61</v>
      </c>
    </row>
    <row r="985" spans="1:19" x14ac:dyDescent="0.35">
      <c r="A985" t="s">
        <v>1112</v>
      </c>
      <c r="B985" s="5">
        <v>45661</v>
      </c>
      <c r="C985" t="s">
        <v>264</v>
      </c>
      <c r="D985" t="s">
        <v>85</v>
      </c>
      <c r="E985">
        <v>4</v>
      </c>
      <c r="F985" s="6">
        <v>20</v>
      </c>
      <c r="G985" s="7">
        <v>0</v>
      </c>
      <c r="H985" s="6">
        <v>80</v>
      </c>
      <c r="I985">
        <v>0</v>
      </c>
      <c r="J985" s="6">
        <v>0</v>
      </c>
      <c r="K985">
        <v>4</v>
      </c>
      <c r="L985" s="6">
        <v>80</v>
      </c>
      <c r="M985" s="6">
        <v>61.33</v>
      </c>
      <c r="N985" s="6">
        <v>18.670000000000002</v>
      </c>
      <c r="O985" s="6">
        <v>4.0999999999999996</v>
      </c>
      <c r="P985" s="6">
        <v>14.57</v>
      </c>
      <c r="Q985" t="s">
        <v>75</v>
      </c>
      <c r="R985" t="s">
        <v>86</v>
      </c>
      <c r="S985" t="s">
        <v>71</v>
      </c>
    </row>
    <row r="986" spans="1:19" x14ac:dyDescent="0.35">
      <c r="A986" t="s">
        <v>1113</v>
      </c>
      <c r="B986" s="5">
        <v>45864</v>
      </c>
      <c r="C986" t="s">
        <v>109</v>
      </c>
      <c r="D986" t="s">
        <v>85</v>
      </c>
      <c r="E986">
        <v>4</v>
      </c>
      <c r="F986" s="6">
        <v>180</v>
      </c>
      <c r="G986" s="7">
        <v>0</v>
      </c>
      <c r="H986" s="6">
        <v>720</v>
      </c>
      <c r="I986">
        <v>0</v>
      </c>
      <c r="J986" s="6">
        <v>0</v>
      </c>
      <c r="K986">
        <v>4</v>
      </c>
      <c r="L986" s="6">
        <v>720</v>
      </c>
      <c r="M986" s="6">
        <v>534.97</v>
      </c>
      <c r="N986" s="6">
        <v>185.03</v>
      </c>
      <c r="O986" s="6">
        <v>64.459999999999994</v>
      </c>
      <c r="P986" s="6">
        <v>120.57</v>
      </c>
      <c r="Q986" t="s">
        <v>59</v>
      </c>
      <c r="R986" t="s">
        <v>82</v>
      </c>
      <c r="S986" t="s">
        <v>76</v>
      </c>
    </row>
    <row r="987" spans="1:19" x14ac:dyDescent="0.35">
      <c r="A987" t="s">
        <v>1114</v>
      </c>
      <c r="B987" s="5">
        <v>45692</v>
      </c>
      <c r="C987" t="s">
        <v>496</v>
      </c>
      <c r="D987" t="s">
        <v>85</v>
      </c>
      <c r="E987">
        <v>2</v>
      </c>
      <c r="F987" s="6">
        <v>125</v>
      </c>
      <c r="G987" s="7">
        <v>0</v>
      </c>
      <c r="H987" s="6">
        <v>250</v>
      </c>
      <c r="I987">
        <v>0</v>
      </c>
      <c r="J987" s="6">
        <v>0</v>
      </c>
      <c r="K987">
        <v>2</v>
      </c>
      <c r="L987" s="6">
        <v>250</v>
      </c>
      <c r="M987" s="6">
        <v>185.21</v>
      </c>
      <c r="N987" s="6">
        <v>64.790000000000006</v>
      </c>
      <c r="O987" s="6">
        <v>21.33</v>
      </c>
      <c r="P987" s="6">
        <v>43.46</v>
      </c>
      <c r="Q987" t="s">
        <v>65</v>
      </c>
      <c r="R987" t="s">
        <v>60</v>
      </c>
      <c r="S987" t="s">
        <v>67</v>
      </c>
    </row>
    <row r="988" spans="1:19" x14ac:dyDescent="0.35">
      <c r="A988" t="s">
        <v>1115</v>
      </c>
      <c r="B988" s="5">
        <v>45712</v>
      </c>
      <c r="C988" t="s">
        <v>293</v>
      </c>
      <c r="D988" t="s">
        <v>85</v>
      </c>
      <c r="E988">
        <v>3</v>
      </c>
      <c r="F988" s="6">
        <v>180</v>
      </c>
      <c r="G988" s="7">
        <v>0</v>
      </c>
      <c r="H988" s="6">
        <v>540</v>
      </c>
      <c r="I988">
        <v>0</v>
      </c>
      <c r="J988" s="6">
        <v>0</v>
      </c>
      <c r="K988">
        <v>3</v>
      </c>
      <c r="L988" s="6">
        <v>540</v>
      </c>
      <c r="M988" s="6">
        <v>449.49</v>
      </c>
      <c r="N988" s="6">
        <v>90.51</v>
      </c>
      <c r="O988" s="6">
        <v>36.549999999999997</v>
      </c>
      <c r="P988" s="6">
        <v>53.96</v>
      </c>
      <c r="Q988" t="s">
        <v>59</v>
      </c>
      <c r="R988" t="s">
        <v>66</v>
      </c>
      <c r="S988" t="s">
        <v>76</v>
      </c>
    </row>
    <row r="989" spans="1:19" x14ac:dyDescent="0.35">
      <c r="A989" t="s">
        <v>1116</v>
      </c>
      <c r="B989" s="5">
        <v>45892</v>
      </c>
      <c r="C989" t="s">
        <v>69</v>
      </c>
      <c r="D989" t="s">
        <v>70</v>
      </c>
      <c r="E989">
        <v>1</v>
      </c>
      <c r="F989" s="6">
        <v>210</v>
      </c>
      <c r="G989" s="7">
        <v>0</v>
      </c>
      <c r="H989" s="6">
        <v>210</v>
      </c>
      <c r="I989">
        <v>0</v>
      </c>
      <c r="J989" s="6">
        <v>0</v>
      </c>
      <c r="K989">
        <v>1</v>
      </c>
      <c r="L989" s="6">
        <v>210</v>
      </c>
      <c r="M989" s="6">
        <v>144.93</v>
      </c>
      <c r="N989" s="6">
        <v>65.069999999999993</v>
      </c>
      <c r="O989" s="6">
        <v>11.97</v>
      </c>
      <c r="P989" s="6">
        <v>53.1</v>
      </c>
      <c r="Q989" t="s">
        <v>65</v>
      </c>
      <c r="R989" t="s">
        <v>82</v>
      </c>
      <c r="S989" t="s">
        <v>76</v>
      </c>
    </row>
    <row r="990" spans="1:19" x14ac:dyDescent="0.35">
      <c r="A990" t="s">
        <v>1117</v>
      </c>
      <c r="B990" s="5">
        <v>45892</v>
      </c>
      <c r="C990" t="s">
        <v>362</v>
      </c>
      <c r="D990" t="s">
        <v>64</v>
      </c>
      <c r="E990">
        <v>2</v>
      </c>
      <c r="F990" s="6">
        <v>52</v>
      </c>
      <c r="G990" s="7">
        <v>2</v>
      </c>
      <c r="H990" s="6">
        <v>101.92</v>
      </c>
      <c r="I990">
        <v>0</v>
      </c>
      <c r="J990" s="6">
        <v>0</v>
      </c>
      <c r="K990">
        <v>2</v>
      </c>
      <c r="L990" s="6">
        <v>101.92</v>
      </c>
      <c r="M990" s="6">
        <v>78.09</v>
      </c>
      <c r="N990" s="6">
        <v>23.83</v>
      </c>
      <c r="O990" s="6">
        <v>8.74</v>
      </c>
      <c r="P990" s="6">
        <v>15.09</v>
      </c>
      <c r="Q990" t="s">
        <v>75</v>
      </c>
      <c r="R990" t="s">
        <v>86</v>
      </c>
      <c r="S990" t="s">
        <v>71</v>
      </c>
    </row>
    <row r="991" spans="1:19" x14ac:dyDescent="0.35">
      <c r="A991" t="s">
        <v>1118</v>
      </c>
      <c r="B991" s="5">
        <v>45724</v>
      </c>
      <c r="C991" t="s">
        <v>114</v>
      </c>
      <c r="D991" t="s">
        <v>64</v>
      </c>
      <c r="E991">
        <v>2</v>
      </c>
      <c r="F991" s="6">
        <v>420</v>
      </c>
      <c r="G991" s="7">
        <v>15</v>
      </c>
      <c r="H991" s="6">
        <v>714</v>
      </c>
      <c r="I991">
        <v>0</v>
      </c>
      <c r="J991" s="6">
        <v>0</v>
      </c>
      <c r="K991">
        <v>2</v>
      </c>
      <c r="L991" s="6">
        <v>714</v>
      </c>
      <c r="M991" s="6">
        <v>449.11</v>
      </c>
      <c r="N991" s="6">
        <v>264.89</v>
      </c>
      <c r="O991" s="6">
        <v>53.64</v>
      </c>
      <c r="P991" s="6">
        <v>211.25</v>
      </c>
      <c r="Q991" t="s">
        <v>75</v>
      </c>
      <c r="R991" t="s">
        <v>82</v>
      </c>
      <c r="S991" t="s">
        <v>76</v>
      </c>
    </row>
    <row r="992" spans="1:19" x14ac:dyDescent="0.35">
      <c r="A992" t="s">
        <v>1119</v>
      </c>
      <c r="B992" s="5">
        <v>45736</v>
      </c>
      <c r="C992" t="s">
        <v>73</v>
      </c>
      <c r="D992" t="s">
        <v>74</v>
      </c>
      <c r="E992">
        <v>1</v>
      </c>
      <c r="F992" s="6">
        <v>280</v>
      </c>
      <c r="G992" s="7">
        <v>0</v>
      </c>
      <c r="H992" s="6">
        <v>280</v>
      </c>
      <c r="I992">
        <v>0</v>
      </c>
      <c r="J992" s="6">
        <v>0</v>
      </c>
      <c r="K992">
        <v>1</v>
      </c>
      <c r="L992" s="6">
        <v>280</v>
      </c>
      <c r="M992" s="6">
        <v>222.53</v>
      </c>
      <c r="N992" s="6">
        <v>57.47</v>
      </c>
      <c r="O992" s="6">
        <v>35.89</v>
      </c>
      <c r="P992" s="6">
        <v>21.58</v>
      </c>
      <c r="Q992" t="s">
        <v>81</v>
      </c>
      <c r="R992" t="s">
        <v>66</v>
      </c>
      <c r="S992" t="s">
        <v>76</v>
      </c>
    </row>
    <row r="993" spans="1:19" x14ac:dyDescent="0.35">
      <c r="A993" t="s">
        <v>1120</v>
      </c>
      <c r="B993" s="5">
        <v>45923</v>
      </c>
      <c r="C993" t="s">
        <v>92</v>
      </c>
      <c r="D993" t="s">
        <v>79</v>
      </c>
      <c r="E993">
        <v>3</v>
      </c>
      <c r="F993" s="6">
        <v>85</v>
      </c>
      <c r="G993" s="7">
        <v>2</v>
      </c>
      <c r="H993" s="6">
        <v>249.9</v>
      </c>
      <c r="I993">
        <v>0</v>
      </c>
      <c r="J993" s="6">
        <v>0</v>
      </c>
      <c r="K993">
        <v>3</v>
      </c>
      <c r="L993" s="6">
        <v>249.9</v>
      </c>
      <c r="M993" s="6">
        <v>176.49</v>
      </c>
      <c r="N993" s="6">
        <v>73.41</v>
      </c>
      <c r="O993" s="6">
        <v>19.760000000000002</v>
      </c>
      <c r="P993" s="6">
        <v>53.65</v>
      </c>
      <c r="Q993" t="s">
        <v>81</v>
      </c>
      <c r="R993" t="s">
        <v>366</v>
      </c>
      <c r="S993" t="s">
        <v>67</v>
      </c>
    </row>
    <row r="994" spans="1:19" x14ac:dyDescent="0.35">
      <c r="A994" t="s">
        <v>1121</v>
      </c>
      <c r="B994" s="5">
        <v>45814</v>
      </c>
      <c r="C994" t="s">
        <v>107</v>
      </c>
      <c r="D994" t="s">
        <v>74</v>
      </c>
      <c r="E994">
        <v>1</v>
      </c>
      <c r="F994" s="6">
        <v>125</v>
      </c>
      <c r="G994" s="7">
        <v>10</v>
      </c>
      <c r="H994" s="6">
        <v>112.5</v>
      </c>
      <c r="I994">
        <v>0</v>
      </c>
      <c r="J994" s="6">
        <v>0</v>
      </c>
      <c r="K994">
        <v>1</v>
      </c>
      <c r="L994" s="6">
        <v>112.5</v>
      </c>
      <c r="M994" s="6">
        <v>95.91</v>
      </c>
      <c r="N994" s="6">
        <v>16.59</v>
      </c>
      <c r="O994" s="6">
        <v>12.73</v>
      </c>
      <c r="P994" s="6">
        <v>3.86</v>
      </c>
      <c r="Q994" t="s">
        <v>81</v>
      </c>
      <c r="R994" t="s">
        <v>86</v>
      </c>
      <c r="S994" t="s">
        <v>76</v>
      </c>
    </row>
    <row r="995" spans="1:19" x14ac:dyDescent="0.35">
      <c r="A995" t="s">
        <v>1122</v>
      </c>
      <c r="B995" s="5">
        <v>45752</v>
      </c>
      <c r="C995" t="s">
        <v>56</v>
      </c>
      <c r="D995" t="s">
        <v>57</v>
      </c>
      <c r="E995">
        <v>1</v>
      </c>
      <c r="F995" s="6">
        <v>40</v>
      </c>
      <c r="G995" s="7">
        <v>2</v>
      </c>
      <c r="H995" s="6">
        <v>39.200000000000003</v>
      </c>
      <c r="I995">
        <v>0</v>
      </c>
      <c r="J995" s="6">
        <v>0</v>
      </c>
      <c r="K995">
        <v>1</v>
      </c>
      <c r="L995" s="6">
        <v>39.200000000000003</v>
      </c>
      <c r="M995" s="6">
        <v>31.69</v>
      </c>
      <c r="N995" s="6">
        <v>7.51</v>
      </c>
      <c r="O995" s="6">
        <v>4.83</v>
      </c>
      <c r="P995" s="6">
        <v>2.68</v>
      </c>
      <c r="Q995" t="s">
        <v>65</v>
      </c>
      <c r="R995" t="s">
        <v>60</v>
      </c>
      <c r="S995" t="s">
        <v>71</v>
      </c>
    </row>
    <row r="996" spans="1:19" x14ac:dyDescent="0.35">
      <c r="A996" t="s">
        <v>1123</v>
      </c>
      <c r="B996" s="5">
        <v>45750</v>
      </c>
      <c r="C996" t="s">
        <v>264</v>
      </c>
      <c r="D996" t="s">
        <v>85</v>
      </c>
      <c r="E996">
        <v>1</v>
      </c>
      <c r="F996" s="6">
        <v>20</v>
      </c>
      <c r="G996" s="7">
        <v>10</v>
      </c>
      <c r="H996" s="6">
        <v>18</v>
      </c>
      <c r="I996">
        <v>0</v>
      </c>
      <c r="J996" s="6">
        <v>0</v>
      </c>
      <c r="K996">
        <v>1</v>
      </c>
      <c r="L996" s="6">
        <v>18</v>
      </c>
      <c r="M996" s="6">
        <v>12.52</v>
      </c>
      <c r="N996" s="6">
        <v>5.48</v>
      </c>
      <c r="O996" s="6">
        <v>1.57</v>
      </c>
      <c r="P996" s="6">
        <v>3.91</v>
      </c>
      <c r="Q996" t="s">
        <v>65</v>
      </c>
      <c r="R996" t="s">
        <v>66</v>
      </c>
      <c r="S996" t="s">
        <v>76</v>
      </c>
    </row>
    <row r="997" spans="1:19" x14ac:dyDescent="0.35">
      <c r="A997" t="s">
        <v>1124</v>
      </c>
      <c r="B997" s="5">
        <v>45956</v>
      </c>
      <c r="C997" t="s">
        <v>92</v>
      </c>
      <c r="D997" t="s">
        <v>79</v>
      </c>
      <c r="E997">
        <v>6</v>
      </c>
      <c r="F997" s="6">
        <v>85</v>
      </c>
      <c r="G997" s="7">
        <v>15</v>
      </c>
      <c r="H997" s="6">
        <v>433.5</v>
      </c>
      <c r="I997">
        <v>0</v>
      </c>
      <c r="J997" s="6">
        <v>0</v>
      </c>
      <c r="K997">
        <v>6</v>
      </c>
      <c r="L997" s="6">
        <v>433.5</v>
      </c>
      <c r="M997" s="6">
        <v>335.05</v>
      </c>
      <c r="N997" s="6">
        <v>98.45</v>
      </c>
      <c r="O997" s="6">
        <v>53.09</v>
      </c>
      <c r="P997" s="6">
        <v>45.36</v>
      </c>
      <c r="Q997" t="s">
        <v>59</v>
      </c>
      <c r="R997" t="s">
        <v>66</v>
      </c>
      <c r="S997" t="s">
        <v>67</v>
      </c>
    </row>
    <row r="998" spans="1:19" x14ac:dyDescent="0.35">
      <c r="A998" t="s">
        <v>1125</v>
      </c>
      <c r="B998" s="5">
        <v>45748</v>
      </c>
      <c r="C998" t="s">
        <v>97</v>
      </c>
      <c r="D998" t="s">
        <v>57</v>
      </c>
      <c r="E998">
        <v>5</v>
      </c>
      <c r="F998" s="6">
        <v>55</v>
      </c>
      <c r="G998" s="7">
        <v>5</v>
      </c>
      <c r="H998" s="6">
        <v>261.25</v>
      </c>
      <c r="I998">
        <v>0</v>
      </c>
      <c r="J998" s="6">
        <v>0</v>
      </c>
      <c r="K998">
        <v>5</v>
      </c>
      <c r="L998" s="6">
        <v>261.25</v>
      </c>
      <c r="M998" s="6">
        <v>206.44</v>
      </c>
      <c r="N998" s="6">
        <v>54.81</v>
      </c>
      <c r="O998" s="6">
        <v>17.47</v>
      </c>
      <c r="P998" s="6">
        <v>37.340000000000003</v>
      </c>
      <c r="Q998" t="s">
        <v>59</v>
      </c>
      <c r="R998" t="s">
        <v>86</v>
      </c>
      <c r="S998" t="s">
        <v>61</v>
      </c>
    </row>
    <row r="999" spans="1:19" x14ac:dyDescent="0.35">
      <c r="A999" t="s">
        <v>1126</v>
      </c>
      <c r="B999" s="5">
        <v>45752</v>
      </c>
      <c r="C999" t="s">
        <v>104</v>
      </c>
      <c r="D999" t="s">
        <v>105</v>
      </c>
      <c r="E999">
        <v>3</v>
      </c>
      <c r="F999" s="6">
        <v>65</v>
      </c>
      <c r="G999" s="7">
        <v>0</v>
      </c>
      <c r="H999" s="6">
        <v>195</v>
      </c>
      <c r="I999">
        <v>0</v>
      </c>
      <c r="J999" s="6">
        <v>0</v>
      </c>
      <c r="K999">
        <v>3</v>
      </c>
      <c r="L999" s="6">
        <v>195</v>
      </c>
      <c r="M999" s="6">
        <v>160.16</v>
      </c>
      <c r="N999" s="6">
        <v>34.840000000000003</v>
      </c>
      <c r="O999" s="6">
        <v>20.04</v>
      </c>
      <c r="P999" s="6">
        <v>14.8</v>
      </c>
      <c r="Q999" t="s">
        <v>75</v>
      </c>
      <c r="R999" t="s">
        <v>82</v>
      </c>
      <c r="S999" t="s">
        <v>71</v>
      </c>
    </row>
    <row r="1000" spans="1:19" x14ac:dyDescent="0.35">
      <c r="A1000" t="s">
        <v>1127</v>
      </c>
      <c r="B1000" s="5">
        <v>46000</v>
      </c>
      <c r="C1000" t="s">
        <v>69</v>
      </c>
      <c r="D1000" t="s">
        <v>70</v>
      </c>
      <c r="E1000">
        <v>3</v>
      </c>
      <c r="F1000" s="6">
        <v>210</v>
      </c>
      <c r="G1000" s="7">
        <v>2</v>
      </c>
      <c r="H1000" s="6">
        <v>617.4</v>
      </c>
      <c r="I1000">
        <v>0</v>
      </c>
      <c r="J1000" s="6">
        <v>0</v>
      </c>
      <c r="K1000">
        <v>3</v>
      </c>
      <c r="L1000" s="6">
        <v>617.4</v>
      </c>
      <c r="M1000" s="6">
        <v>525.20000000000005</v>
      </c>
      <c r="N1000" s="6">
        <v>92.2</v>
      </c>
      <c r="O1000" s="6">
        <v>43.69</v>
      </c>
      <c r="P1000" s="6">
        <v>48.51</v>
      </c>
      <c r="Q1000" t="s">
        <v>75</v>
      </c>
      <c r="R1000" t="s">
        <v>82</v>
      </c>
      <c r="S1000" t="s">
        <v>61</v>
      </c>
    </row>
    <row r="1001" spans="1:19" x14ac:dyDescent="0.35">
      <c r="A1001" t="s">
        <v>1128</v>
      </c>
      <c r="B1001" s="5">
        <v>45961</v>
      </c>
      <c r="C1001" t="s">
        <v>78</v>
      </c>
      <c r="D1001" t="s">
        <v>79</v>
      </c>
      <c r="E1001">
        <v>4</v>
      </c>
      <c r="F1001" s="6">
        <v>120</v>
      </c>
      <c r="G1001" s="7">
        <v>0</v>
      </c>
      <c r="H1001" s="6">
        <v>480</v>
      </c>
      <c r="I1001">
        <v>0</v>
      </c>
      <c r="J1001" s="6">
        <v>0</v>
      </c>
      <c r="K1001">
        <v>4</v>
      </c>
      <c r="L1001" s="6">
        <v>480</v>
      </c>
      <c r="M1001" s="6">
        <v>403.88</v>
      </c>
      <c r="N1001" s="6">
        <v>76.12</v>
      </c>
      <c r="O1001" s="6">
        <v>37.97</v>
      </c>
      <c r="P1001" s="6">
        <v>38.15</v>
      </c>
      <c r="Q1001" t="s">
        <v>65</v>
      </c>
      <c r="R1001" t="s">
        <v>66</v>
      </c>
      <c r="S1001" t="s">
        <v>71</v>
      </c>
    </row>
    <row r="1002" spans="1:19" x14ac:dyDescent="0.35">
      <c r="A1002" t="s">
        <v>1129</v>
      </c>
      <c r="B1002" s="5">
        <v>45857</v>
      </c>
      <c r="C1002" t="s">
        <v>100</v>
      </c>
      <c r="D1002" t="s">
        <v>64</v>
      </c>
      <c r="E1002">
        <v>5</v>
      </c>
      <c r="F1002" s="6">
        <v>310</v>
      </c>
      <c r="G1002" s="7">
        <v>0</v>
      </c>
      <c r="H1002" s="6">
        <v>1550</v>
      </c>
      <c r="I1002">
        <v>0</v>
      </c>
      <c r="J1002" s="6">
        <v>0</v>
      </c>
      <c r="K1002">
        <v>5</v>
      </c>
      <c r="L1002" s="6">
        <v>1550</v>
      </c>
      <c r="M1002" s="6">
        <v>1197.8499999999999</v>
      </c>
      <c r="N1002" s="6">
        <v>352.15</v>
      </c>
      <c r="O1002" s="6">
        <v>161.46</v>
      </c>
      <c r="P1002" s="6">
        <v>190.69</v>
      </c>
      <c r="Q1002" t="s">
        <v>81</v>
      </c>
      <c r="R1002" t="s">
        <v>176</v>
      </c>
      <c r="S1002" t="s">
        <v>76</v>
      </c>
    </row>
    <row r="1003" spans="1:19" x14ac:dyDescent="0.35">
      <c r="A1003" t="s">
        <v>1130</v>
      </c>
      <c r="B1003" s="5">
        <v>46018</v>
      </c>
      <c r="C1003" t="s">
        <v>350</v>
      </c>
      <c r="D1003" t="s">
        <v>85</v>
      </c>
      <c r="E1003">
        <v>4</v>
      </c>
      <c r="F1003" s="6">
        <v>48</v>
      </c>
      <c r="G1003" s="7">
        <v>0</v>
      </c>
      <c r="H1003" s="6">
        <v>192</v>
      </c>
      <c r="I1003">
        <v>0</v>
      </c>
      <c r="J1003" s="6">
        <v>0</v>
      </c>
      <c r="K1003">
        <v>4</v>
      </c>
      <c r="L1003" s="6">
        <v>192</v>
      </c>
      <c r="M1003" s="6">
        <v>130.55000000000001</v>
      </c>
      <c r="N1003" s="6">
        <v>61.45</v>
      </c>
      <c r="O1003" s="6">
        <v>18.649999999999999</v>
      </c>
      <c r="P1003" s="6">
        <v>42.8</v>
      </c>
      <c r="Q1003" t="s">
        <v>65</v>
      </c>
      <c r="R1003" t="s">
        <v>60</v>
      </c>
      <c r="S1003" t="s">
        <v>71</v>
      </c>
    </row>
    <row r="1004" spans="1:19" x14ac:dyDescent="0.35">
      <c r="A1004" t="s">
        <v>1131</v>
      </c>
      <c r="B1004" s="5">
        <v>45900</v>
      </c>
      <c r="C1004" t="s">
        <v>100</v>
      </c>
      <c r="D1004" t="s">
        <v>64</v>
      </c>
      <c r="E1004">
        <v>5</v>
      </c>
      <c r="F1004" s="6">
        <v>310</v>
      </c>
      <c r="G1004" s="7">
        <v>0</v>
      </c>
      <c r="H1004" s="6">
        <v>1550</v>
      </c>
      <c r="I1004">
        <v>0</v>
      </c>
      <c r="J1004" s="6">
        <v>0</v>
      </c>
      <c r="K1004">
        <v>5</v>
      </c>
      <c r="L1004" s="6">
        <v>1550</v>
      </c>
      <c r="M1004" s="6">
        <v>1156.0899999999999</v>
      </c>
      <c r="N1004" s="6">
        <v>393.91</v>
      </c>
      <c r="O1004" s="6">
        <v>121.33</v>
      </c>
      <c r="P1004" s="6">
        <v>272.58</v>
      </c>
      <c r="Q1004" t="s">
        <v>81</v>
      </c>
      <c r="R1004" t="s">
        <v>66</v>
      </c>
      <c r="S1004" t="s">
        <v>67</v>
      </c>
    </row>
    <row r="1005" spans="1:19" x14ac:dyDescent="0.35">
      <c r="A1005" t="s">
        <v>1132</v>
      </c>
      <c r="B1005" s="5">
        <v>45849</v>
      </c>
      <c r="C1005" t="s">
        <v>121</v>
      </c>
      <c r="D1005" t="s">
        <v>70</v>
      </c>
      <c r="E1005">
        <v>5</v>
      </c>
      <c r="F1005" s="6">
        <v>110</v>
      </c>
      <c r="G1005" s="7">
        <v>0</v>
      </c>
      <c r="H1005" s="6">
        <v>550</v>
      </c>
      <c r="I1005">
        <v>0</v>
      </c>
      <c r="J1005" s="6">
        <v>0</v>
      </c>
      <c r="K1005">
        <v>5</v>
      </c>
      <c r="L1005" s="6">
        <v>550</v>
      </c>
      <c r="M1005" s="6">
        <v>448.17</v>
      </c>
      <c r="N1005" s="6">
        <v>101.83</v>
      </c>
      <c r="O1005" s="6">
        <v>29.82</v>
      </c>
      <c r="P1005" s="6">
        <v>72.010000000000005</v>
      </c>
      <c r="Q1005" t="s">
        <v>81</v>
      </c>
      <c r="R1005" t="s">
        <v>82</v>
      </c>
      <c r="S1005" t="s">
        <v>71</v>
      </c>
    </row>
    <row r="1006" spans="1:19" x14ac:dyDescent="0.35">
      <c r="A1006" t="s">
        <v>1133</v>
      </c>
      <c r="B1006" s="5">
        <v>45733</v>
      </c>
      <c r="C1006" t="s">
        <v>73</v>
      </c>
      <c r="D1006" t="s">
        <v>74</v>
      </c>
      <c r="E1006">
        <v>1</v>
      </c>
      <c r="F1006" s="6">
        <v>280</v>
      </c>
      <c r="G1006" s="7">
        <v>5</v>
      </c>
      <c r="H1006" s="6">
        <v>266</v>
      </c>
      <c r="I1006">
        <v>0</v>
      </c>
      <c r="J1006" s="6">
        <v>0</v>
      </c>
      <c r="K1006">
        <v>1</v>
      </c>
      <c r="L1006" s="6">
        <v>266</v>
      </c>
      <c r="M1006" s="6">
        <v>216.36</v>
      </c>
      <c r="N1006" s="6">
        <v>49.64</v>
      </c>
      <c r="O1006" s="6">
        <v>23.34</v>
      </c>
      <c r="P1006" s="6">
        <v>26.3</v>
      </c>
      <c r="Q1006" t="s">
        <v>59</v>
      </c>
      <c r="R1006" t="s">
        <v>82</v>
      </c>
      <c r="S1006" t="s">
        <v>67</v>
      </c>
    </row>
    <row r="1007" spans="1:19" x14ac:dyDescent="0.35">
      <c r="A1007" t="s">
        <v>1134</v>
      </c>
      <c r="B1007" s="5">
        <v>45983</v>
      </c>
      <c r="C1007" t="s">
        <v>92</v>
      </c>
      <c r="D1007" t="s">
        <v>79</v>
      </c>
      <c r="E1007">
        <v>1</v>
      </c>
      <c r="F1007" s="6">
        <v>85</v>
      </c>
      <c r="G1007" s="7">
        <v>15</v>
      </c>
      <c r="H1007" s="6">
        <v>72.25</v>
      </c>
      <c r="I1007">
        <v>0</v>
      </c>
      <c r="J1007" s="6">
        <v>0</v>
      </c>
      <c r="K1007">
        <v>1</v>
      </c>
      <c r="L1007" s="6">
        <v>72.25</v>
      </c>
      <c r="M1007" s="6">
        <v>56.81</v>
      </c>
      <c r="N1007" s="6">
        <v>15.44</v>
      </c>
      <c r="O1007" s="6">
        <v>5.91</v>
      </c>
      <c r="P1007" s="6">
        <v>9.5299999999999994</v>
      </c>
      <c r="Q1007" t="s">
        <v>65</v>
      </c>
      <c r="R1007" t="s">
        <v>86</v>
      </c>
      <c r="S1007" t="s">
        <v>67</v>
      </c>
    </row>
    <row r="1008" spans="1:19" x14ac:dyDescent="0.35">
      <c r="A1008" t="s">
        <v>1135</v>
      </c>
      <c r="B1008" s="5">
        <v>45762</v>
      </c>
      <c r="C1008" t="s">
        <v>56</v>
      </c>
      <c r="D1008" t="s">
        <v>57</v>
      </c>
      <c r="E1008">
        <v>4</v>
      </c>
      <c r="F1008" s="6">
        <v>40</v>
      </c>
      <c r="G1008" s="7">
        <v>0</v>
      </c>
      <c r="H1008" s="6">
        <v>160</v>
      </c>
      <c r="I1008">
        <v>0</v>
      </c>
      <c r="J1008" s="6">
        <v>0</v>
      </c>
      <c r="K1008">
        <v>4</v>
      </c>
      <c r="L1008" s="6">
        <v>160</v>
      </c>
      <c r="M1008" s="6">
        <v>135.63</v>
      </c>
      <c r="N1008" s="6">
        <v>24.37</v>
      </c>
      <c r="O1008" s="6">
        <v>20.36</v>
      </c>
      <c r="P1008" s="6">
        <v>4.01</v>
      </c>
      <c r="Q1008" t="s">
        <v>81</v>
      </c>
      <c r="R1008" t="s">
        <v>60</v>
      </c>
      <c r="S1008" t="s">
        <v>76</v>
      </c>
    </row>
    <row r="1009" spans="1:19" x14ac:dyDescent="0.35">
      <c r="A1009" t="s">
        <v>1136</v>
      </c>
      <c r="B1009" s="5">
        <v>45723</v>
      </c>
      <c r="C1009" t="s">
        <v>107</v>
      </c>
      <c r="D1009" t="s">
        <v>243</v>
      </c>
      <c r="E1009">
        <v>5</v>
      </c>
      <c r="F1009" s="6">
        <v>125</v>
      </c>
      <c r="G1009" s="7">
        <v>0</v>
      </c>
      <c r="H1009" s="6">
        <v>625</v>
      </c>
      <c r="I1009">
        <v>0</v>
      </c>
      <c r="J1009" s="6">
        <v>0</v>
      </c>
      <c r="K1009">
        <v>5</v>
      </c>
      <c r="L1009" s="6">
        <v>625</v>
      </c>
      <c r="M1009" s="6">
        <v>423.63</v>
      </c>
      <c r="N1009" s="6">
        <v>201.37</v>
      </c>
      <c r="O1009" s="6">
        <v>67.02</v>
      </c>
      <c r="P1009" s="6">
        <v>134.35</v>
      </c>
      <c r="Q1009" t="s">
        <v>75</v>
      </c>
      <c r="R1009" t="s">
        <v>60</v>
      </c>
      <c r="S1009" t="s">
        <v>76</v>
      </c>
    </row>
    <row r="1010" spans="1:19" x14ac:dyDescent="0.35">
      <c r="A1010" t="s">
        <v>1137</v>
      </c>
      <c r="B1010" s="5">
        <v>45872</v>
      </c>
      <c r="C1010" t="s">
        <v>97</v>
      </c>
      <c r="D1010" t="s">
        <v>57</v>
      </c>
      <c r="E1010">
        <v>2</v>
      </c>
      <c r="F1010" s="6">
        <v>55</v>
      </c>
      <c r="G1010" s="7">
        <v>2</v>
      </c>
      <c r="H1010" s="6">
        <v>107.8</v>
      </c>
      <c r="I1010">
        <v>0</v>
      </c>
      <c r="J1010" s="6">
        <v>0</v>
      </c>
      <c r="K1010">
        <v>2</v>
      </c>
      <c r="L1010" s="6">
        <v>107.8</v>
      </c>
      <c r="M1010" s="6">
        <v>81.98</v>
      </c>
      <c r="N1010" s="6">
        <v>25.82</v>
      </c>
      <c r="O1010" s="6">
        <v>9.58</v>
      </c>
      <c r="P1010" s="6">
        <v>16.239999999999998</v>
      </c>
      <c r="Q1010" t="s">
        <v>59</v>
      </c>
      <c r="R1010" t="s">
        <v>66</v>
      </c>
      <c r="S1010" t="s">
        <v>61</v>
      </c>
    </row>
    <row r="1011" spans="1:19" x14ac:dyDescent="0.35">
      <c r="A1011" t="s">
        <v>1138</v>
      </c>
      <c r="B1011" s="5">
        <v>45983</v>
      </c>
      <c r="C1011" t="s">
        <v>97</v>
      </c>
      <c r="D1011" t="s">
        <v>57</v>
      </c>
      <c r="E1011">
        <v>4</v>
      </c>
      <c r="F1011" s="6">
        <v>55</v>
      </c>
      <c r="G1011" s="7">
        <v>10</v>
      </c>
      <c r="H1011" s="6">
        <v>198</v>
      </c>
      <c r="I1011">
        <v>0</v>
      </c>
      <c r="J1011" s="6">
        <v>0</v>
      </c>
      <c r="K1011">
        <v>4</v>
      </c>
      <c r="L1011" s="6">
        <v>198</v>
      </c>
      <c r="M1011" s="6">
        <v>144.05000000000001</v>
      </c>
      <c r="N1011" s="6">
        <v>53.95</v>
      </c>
      <c r="O1011" s="6">
        <v>16.489999999999998</v>
      </c>
      <c r="P1011" s="6">
        <v>37.46</v>
      </c>
      <c r="Q1011" t="s">
        <v>81</v>
      </c>
      <c r="R1011" t="s">
        <v>86</v>
      </c>
      <c r="S1011" t="s">
        <v>61</v>
      </c>
    </row>
    <row r="1012" spans="1:19" x14ac:dyDescent="0.35">
      <c r="A1012" t="s">
        <v>1139</v>
      </c>
      <c r="B1012" s="5">
        <v>45965</v>
      </c>
      <c r="C1012" t="s">
        <v>90</v>
      </c>
      <c r="D1012" t="s">
        <v>70</v>
      </c>
      <c r="E1012">
        <v>3</v>
      </c>
      <c r="F1012" s="6">
        <v>38</v>
      </c>
      <c r="G1012" s="7">
        <v>2</v>
      </c>
      <c r="H1012" s="6">
        <v>111.72</v>
      </c>
      <c r="I1012">
        <v>0</v>
      </c>
      <c r="J1012" s="6">
        <v>0</v>
      </c>
      <c r="K1012">
        <v>3</v>
      </c>
      <c r="L1012" s="6">
        <v>111.72</v>
      </c>
      <c r="M1012" s="6">
        <v>95.44</v>
      </c>
      <c r="N1012" s="6">
        <v>16.28</v>
      </c>
      <c r="O1012" s="6">
        <v>13.68</v>
      </c>
      <c r="P1012" s="6">
        <v>2.6</v>
      </c>
      <c r="Q1012" t="s">
        <v>81</v>
      </c>
      <c r="R1012" t="s">
        <v>66</v>
      </c>
      <c r="S1012" t="s">
        <v>61</v>
      </c>
    </row>
    <row r="1013" spans="1:19" x14ac:dyDescent="0.35">
      <c r="A1013" t="s">
        <v>1140</v>
      </c>
      <c r="B1013" s="5">
        <v>45813</v>
      </c>
      <c r="C1013" t="s">
        <v>114</v>
      </c>
      <c r="D1013" t="s">
        <v>128</v>
      </c>
      <c r="E1013">
        <v>2</v>
      </c>
      <c r="F1013" s="6">
        <v>420</v>
      </c>
      <c r="G1013" s="7">
        <v>5</v>
      </c>
      <c r="H1013" s="6">
        <v>798</v>
      </c>
      <c r="I1013">
        <v>0</v>
      </c>
      <c r="J1013" s="6">
        <v>0</v>
      </c>
      <c r="K1013">
        <v>2</v>
      </c>
      <c r="L1013" s="6">
        <v>798</v>
      </c>
      <c r="M1013" s="6">
        <v>640.89</v>
      </c>
      <c r="N1013" s="6">
        <v>157.11000000000001</v>
      </c>
      <c r="O1013" s="6">
        <v>100.83</v>
      </c>
      <c r="P1013" s="6">
        <v>56.28</v>
      </c>
      <c r="Q1013" t="s">
        <v>59</v>
      </c>
      <c r="R1013" t="s">
        <v>82</v>
      </c>
      <c r="S1013" t="s">
        <v>76</v>
      </c>
    </row>
    <row r="1014" spans="1:19" x14ac:dyDescent="0.35">
      <c r="A1014" t="s">
        <v>1141</v>
      </c>
      <c r="B1014" s="5">
        <v>45767</v>
      </c>
      <c r="C1014" t="s">
        <v>63</v>
      </c>
      <c r="D1014" t="s">
        <v>64</v>
      </c>
      <c r="E1014">
        <v>4</v>
      </c>
      <c r="F1014" s="6">
        <v>145</v>
      </c>
      <c r="G1014" s="7">
        <v>5</v>
      </c>
      <c r="H1014" s="6">
        <v>551</v>
      </c>
      <c r="I1014">
        <v>0</v>
      </c>
      <c r="J1014" s="6">
        <v>0</v>
      </c>
      <c r="K1014">
        <v>4</v>
      </c>
      <c r="L1014" s="6">
        <v>551</v>
      </c>
      <c r="M1014" s="6">
        <v>407.69</v>
      </c>
      <c r="N1014" s="6">
        <v>143.31</v>
      </c>
      <c r="O1014" s="6">
        <v>70.47</v>
      </c>
      <c r="P1014" s="6">
        <v>72.84</v>
      </c>
      <c r="Q1014" t="s">
        <v>81</v>
      </c>
      <c r="R1014" t="s">
        <v>86</v>
      </c>
      <c r="S1014" t="s">
        <v>76</v>
      </c>
    </row>
    <row r="1015" spans="1:19" x14ac:dyDescent="0.35">
      <c r="A1015" t="s">
        <v>1142</v>
      </c>
      <c r="B1015" s="5">
        <v>45742</v>
      </c>
      <c r="C1015" t="s">
        <v>100</v>
      </c>
      <c r="D1015" t="s">
        <v>64</v>
      </c>
      <c r="E1015">
        <v>4</v>
      </c>
      <c r="F1015" s="6">
        <v>310</v>
      </c>
      <c r="G1015" s="7">
        <v>0</v>
      </c>
      <c r="H1015" s="6">
        <v>1240</v>
      </c>
      <c r="I1015">
        <v>0</v>
      </c>
      <c r="J1015" s="6">
        <v>0</v>
      </c>
      <c r="K1015">
        <v>4</v>
      </c>
      <c r="L1015" s="6">
        <v>1240</v>
      </c>
      <c r="M1015" s="6">
        <v>819.9</v>
      </c>
      <c r="N1015" s="6">
        <v>420.1</v>
      </c>
      <c r="O1015" s="6">
        <v>90.77</v>
      </c>
      <c r="P1015" s="6">
        <v>329.33</v>
      </c>
      <c r="Q1015" t="s">
        <v>59</v>
      </c>
      <c r="R1015" t="s">
        <v>60</v>
      </c>
      <c r="S1015" t="s">
        <v>67</v>
      </c>
    </row>
    <row r="1016" spans="1:19" x14ac:dyDescent="0.35">
      <c r="A1016" t="s">
        <v>1143</v>
      </c>
      <c r="B1016" s="5">
        <v>45964</v>
      </c>
      <c r="C1016" t="s">
        <v>63</v>
      </c>
      <c r="D1016" t="s">
        <v>64</v>
      </c>
      <c r="E1016">
        <v>2</v>
      </c>
      <c r="F1016" s="6">
        <v>145</v>
      </c>
      <c r="G1016" s="7">
        <v>0</v>
      </c>
      <c r="H1016" s="6">
        <v>290</v>
      </c>
      <c r="I1016">
        <v>0</v>
      </c>
      <c r="J1016" s="6">
        <v>0</v>
      </c>
      <c r="K1016">
        <v>2</v>
      </c>
      <c r="L1016" s="6">
        <v>290</v>
      </c>
      <c r="M1016" s="6">
        <v>188.63</v>
      </c>
      <c r="N1016" s="6">
        <v>101.37</v>
      </c>
      <c r="O1016" s="6">
        <v>34.619999999999997</v>
      </c>
      <c r="P1016" s="6">
        <v>66.75</v>
      </c>
      <c r="Q1016" t="s">
        <v>81</v>
      </c>
      <c r="R1016" t="s">
        <v>66</v>
      </c>
      <c r="S1016" t="s">
        <v>61</v>
      </c>
    </row>
    <row r="1017" spans="1:19" x14ac:dyDescent="0.35">
      <c r="A1017" t="s">
        <v>1144</v>
      </c>
      <c r="B1017" s="5">
        <v>45910</v>
      </c>
      <c r="C1017" t="s">
        <v>100</v>
      </c>
      <c r="D1017" t="s">
        <v>64</v>
      </c>
      <c r="E1017">
        <v>3</v>
      </c>
      <c r="F1017" s="6">
        <v>310</v>
      </c>
      <c r="G1017" s="7">
        <v>0</v>
      </c>
      <c r="H1017" s="6">
        <v>930</v>
      </c>
      <c r="I1017">
        <v>0</v>
      </c>
      <c r="J1017" s="6">
        <v>0</v>
      </c>
      <c r="K1017">
        <v>3</v>
      </c>
      <c r="L1017" s="6">
        <v>930</v>
      </c>
      <c r="M1017" s="6">
        <v>753.06</v>
      </c>
      <c r="N1017" s="6">
        <v>176.94</v>
      </c>
      <c r="O1017" s="6">
        <v>69.61</v>
      </c>
      <c r="P1017" s="6">
        <v>107.33</v>
      </c>
      <c r="Q1017" t="s">
        <v>75</v>
      </c>
      <c r="R1017" t="s">
        <v>66</v>
      </c>
      <c r="S1017" t="s">
        <v>71</v>
      </c>
    </row>
    <row r="1018" spans="1:19" x14ac:dyDescent="0.35">
      <c r="A1018" t="s">
        <v>1145</v>
      </c>
      <c r="B1018" s="5">
        <v>45848</v>
      </c>
      <c r="C1018" t="s">
        <v>84</v>
      </c>
      <c r="D1018" t="s">
        <v>85</v>
      </c>
      <c r="E1018">
        <v>6</v>
      </c>
      <c r="F1018" s="6">
        <v>48</v>
      </c>
      <c r="G1018" s="7">
        <v>0</v>
      </c>
      <c r="H1018" s="6">
        <v>288</v>
      </c>
      <c r="I1018">
        <v>0</v>
      </c>
      <c r="J1018" s="6">
        <v>0</v>
      </c>
      <c r="K1018">
        <v>6</v>
      </c>
      <c r="L1018" s="6">
        <v>288</v>
      </c>
      <c r="M1018" s="6">
        <v>206.4</v>
      </c>
      <c r="N1018" s="6">
        <v>81.599999999999994</v>
      </c>
      <c r="O1018" s="6">
        <v>27.1</v>
      </c>
      <c r="P1018" s="6">
        <v>54.5</v>
      </c>
      <c r="Q1018" t="s">
        <v>59</v>
      </c>
      <c r="R1018" t="s">
        <v>86</v>
      </c>
      <c r="S1018" t="s">
        <v>76</v>
      </c>
    </row>
    <row r="1019" spans="1:19" x14ac:dyDescent="0.35">
      <c r="A1019" t="s">
        <v>1146</v>
      </c>
      <c r="B1019" s="5">
        <v>45836</v>
      </c>
      <c r="C1019" t="s">
        <v>73</v>
      </c>
      <c r="D1019" t="s">
        <v>74</v>
      </c>
      <c r="E1019">
        <v>2</v>
      </c>
      <c r="F1019" s="6">
        <v>280</v>
      </c>
      <c r="G1019" s="7">
        <v>0</v>
      </c>
      <c r="H1019" s="6">
        <v>560</v>
      </c>
      <c r="I1019">
        <v>0</v>
      </c>
      <c r="J1019" s="6">
        <v>0</v>
      </c>
      <c r="K1019">
        <v>2</v>
      </c>
      <c r="L1019" s="6">
        <v>560</v>
      </c>
      <c r="M1019" s="6">
        <v>457.92</v>
      </c>
      <c r="N1019" s="6">
        <v>102.08</v>
      </c>
      <c r="O1019" s="6">
        <v>70.25</v>
      </c>
      <c r="P1019" s="6">
        <v>31.83</v>
      </c>
      <c r="Q1019" t="s">
        <v>65</v>
      </c>
      <c r="R1019" t="s">
        <v>60</v>
      </c>
      <c r="S1019" t="s">
        <v>71</v>
      </c>
    </row>
    <row r="1020" spans="1:19" x14ac:dyDescent="0.35">
      <c r="A1020" t="s">
        <v>1147</v>
      </c>
      <c r="B1020" s="5">
        <v>45752</v>
      </c>
      <c r="C1020" t="s">
        <v>100</v>
      </c>
      <c r="D1020" t="s">
        <v>64</v>
      </c>
      <c r="E1020">
        <v>2</v>
      </c>
      <c r="F1020" s="6">
        <v>310</v>
      </c>
      <c r="G1020" s="7">
        <v>0</v>
      </c>
      <c r="H1020" s="6">
        <v>620</v>
      </c>
      <c r="I1020">
        <v>0</v>
      </c>
      <c r="J1020" s="6">
        <v>0</v>
      </c>
      <c r="K1020">
        <v>2</v>
      </c>
      <c r="L1020" s="6">
        <v>620</v>
      </c>
      <c r="M1020" s="6">
        <v>500.95</v>
      </c>
      <c r="N1020" s="6">
        <v>119.05</v>
      </c>
      <c r="O1020" s="6">
        <v>37.28</v>
      </c>
      <c r="P1020" s="6">
        <v>81.77</v>
      </c>
      <c r="Q1020" t="s">
        <v>75</v>
      </c>
      <c r="R1020" t="s">
        <v>66</v>
      </c>
      <c r="S1020" t="s">
        <v>67</v>
      </c>
    </row>
    <row r="1021" spans="1:19" x14ac:dyDescent="0.35">
      <c r="A1021" t="s">
        <v>1148</v>
      </c>
      <c r="B1021" s="5">
        <v>45978</v>
      </c>
      <c r="C1021" t="s">
        <v>73</v>
      </c>
      <c r="D1021" t="s">
        <v>74</v>
      </c>
      <c r="E1021">
        <v>1</v>
      </c>
      <c r="F1021" s="6">
        <v>280</v>
      </c>
      <c r="G1021" s="7">
        <v>0</v>
      </c>
      <c r="H1021" s="6">
        <v>280</v>
      </c>
      <c r="I1021">
        <v>0</v>
      </c>
      <c r="J1021" s="6">
        <v>0</v>
      </c>
      <c r="K1021">
        <v>1</v>
      </c>
      <c r="L1021" s="6">
        <v>280</v>
      </c>
      <c r="M1021" s="6">
        <v>227.74</v>
      </c>
      <c r="N1021" s="6">
        <v>52.26</v>
      </c>
      <c r="O1021" s="6">
        <v>36.1</v>
      </c>
      <c r="P1021" s="6">
        <v>16.16</v>
      </c>
      <c r="Q1021" t="s">
        <v>65</v>
      </c>
      <c r="R1021" t="s">
        <v>86</v>
      </c>
      <c r="S1021" t="s">
        <v>71</v>
      </c>
    </row>
    <row r="1022" spans="1:19" x14ac:dyDescent="0.35">
      <c r="A1022" t="s">
        <v>1149</v>
      </c>
      <c r="B1022" s="5">
        <v>45998</v>
      </c>
      <c r="C1022" t="s">
        <v>88</v>
      </c>
      <c r="D1022" t="s">
        <v>57</v>
      </c>
      <c r="E1022">
        <v>2</v>
      </c>
      <c r="F1022" s="6">
        <v>30</v>
      </c>
      <c r="G1022" s="7">
        <v>2</v>
      </c>
      <c r="H1022" s="6">
        <v>58.8</v>
      </c>
      <c r="I1022">
        <v>0</v>
      </c>
      <c r="J1022" s="6">
        <v>0</v>
      </c>
      <c r="K1022">
        <v>2</v>
      </c>
      <c r="L1022" s="6">
        <v>58.8</v>
      </c>
      <c r="M1022" s="6">
        <v>49.29</v>
      </c>
      <c r="N1022" s="6">
        <v>9.51</v>
      </c>
      <c r="O1022" s="6">
        <v>3.87</v>
      </c>
      <c r="P1022" s="6">
        <v>5.64</v>
      </c>
      <c r="Q1022" t="s">
        <v>65</v>
      </c>
      <c r="R1022" t="s">
        <v>66</v>
      </c>
      <c r="S1022" t="s">
        <v>76</v>
      </c>
    </row>
    <row r="1023" spans="1:19" x14ac:dyDescent="0.35">
      <c r="A1023" t="s">
        <v>1150</v>
      </c>
      <c r="B1023" s="5">
        <v>45910</v>
      </c>
      <c r="C1023" t="s">
        <v>264</v>
      </c>
      <c r="D1023" t="s">
        <v>85</v>
      </c>
      <c r="E1023">
        <v>1</v>
      </c>
      <c r="F1023" s="6">
        <v>20</v>
      </c>
      <c r="G1023" s="7">
        <v>15</v>
      </c>
      <c r="H1023" s="6">
        <v>17</v>
      </c>
      <c r="I1023">
        <v>0</v>
      </c>
      <c r="J1023" s="6">
        <v>0</v>
      </c>
      <c r="K1023">
        <v>1</v>
      </c>
      <c r="L1023" s="6">
        <v>17</v>
      </c>
      <c r="M1023" s="6">
        <v>11.72</v>
      </c>
      <c r="N1023" s="6">
        <v>5.28</v>
      </c>
      <c r="O1023" s="6">
        <v>1.18</v>
      </c>
      <c r="P1023" s="6">
        <v>4.0999999999999996</v>
      </c>
      <c r="Q1023" t="s">
        <v>75</v>
      </c>
      <c r="R1023" t="s">
        <v>82</v>
      </c>
      <c r="S1023" t="s">
        <v>61</v>
      </c>
    </row>
    <row r="1024" spans="1:19" x14ac:dyDescent="0.35">
      <c r="A1024" t="s">
        <v>1151</v>
      </c>
      <c r="B1024" s="5">
        <v>45857</v>
      </c>
      <c r="C1024" t="s">
        <v>84</v>
      </c>
      <c r="D1024" t="s">
        <v>85</v>
      </c>
      <c r="E1024">
        <v>1</v>
      </c>
      <c r="F1024" s="6">
        <v>48</v>
      </c>
      <c r="G1024" s="7">
        <v>0</v>
      </c>
      <c r="H1024" s="6">
        <v>48</v>
      </c>
      <c r="I1024">
        <v>0</v>
      </c>
      <c r="J1024" s="6">
        <v>0</v>
      </c>
      <c r="K1024">
        <v>1</v>
      </c>
      <c r="L1024" s="6">
        <v>48</v>
      </c>
      <c r="M1024" s="6">
        <v>37.770000000000003</v>
      </c>
      <c r="N1024" s="6">
        <v>10.23</v>
      </c>
      <c r="O1024" s="6">
        <v>3.29</v>
      </c>
      <c r="P1024" s="6">
        <v>6.94</v>
      </c>
      <c r="Q1024" t="s">
        <v>65</v>
      </c>
      <c r="R1024" t="s">
        <v>66</v>
      </c>
      <c r="S1024" t="s">
        <v>67</v>
      </c>
    </row>
    <row r="1025" spans="1:19" x14ac:dyDescent="0.35">
      <c r="A1025" t="s">
        <v>1152</v>
      </c>
      <c r="B1025" s="5">
        <v>45886</v>
      </c>
      <c r="C1025" t="s">
        <v>117</v>
      </c>
      <c r="D1025" t="s">
        <v>74</v>
      </c>
      <c r="E1025">
        <v>1</v>
      </c>
      <c r="F1025" s="6">
        <v>95</v>
      </c>
      <c r="G1025" s="7">
        <v>0</v>
      </c>
      <c r="H1025" s="6">
        <v>95</v>
      </c>
      <c r="I1025">
        <v>0</v>
      </c>
      <c r="J1025" s="6">
        <v>0</v>
      </c>
      <c r="K1025">
        <v>1</v>
      </c>
      <c r="L1025" s="6">
        <v>95</v>
      </c>
      <c r="M1025" s="6">
        <v>68.19</v>
      </c>
      <c r="N1025" s="6">
        <v>26.81</v>
      </c>
      <c r="O1025" s="6">
        <v>7.62</v>
      </c>
      <c r="P1025" s="6">
        <v>19.190000000000001</v>
      </c>
      <c r="Q1025" t="s">
        <v>81</v>
      </c>
      <c r="R1025" t="s">
        <v>176</v>
      </c>
      <c r="S1025" t="s">
        <v>67</v>
      </c>
    </row>
    <row r="1026" spans="1:19" x14ac:dyDescent="0.35">
      <c r="A1026" t="s">
        <v>1153</v>
      </c>
      <c r="B1026" s="5">
        <v>45822</v>
      </c>
      <c r="C1026" t="s">
        <v>114</v>
      </c>
      <c r="D1026" t="s">
        <v>64</v>
      </c>
      <c r="E1026">
        <v>1</v>
      </c>
      <c r="F1026" s="6">
        <v>420</v>
      </c>
      <c r="G1026" s="7">
        <v>0</v>
      </c>
      <c r="H1026" s="6">
        <v>420</v>
      </c>
      <c r="I1026">
        <v>0</v>
      </c>
      <c r="J1026" s="6">
        <v>0</v>
      </c>
      <c r="K1026">
        <v>1</v>
      </c>
      <c r="L1026" s="6">
        <v>420</v>
      </c>
      <c r="M1026" s="6">
        <v>276.29000000000002</v>
      </c>
      <c r="N1026" s="6">
        <v>143.71</v>
      </c>
      <c r="O1026" s="6">
        <v>46.56</v>
      </c>
      <c r="P1026" s="6">
        <v>97.15</v>
      </c>
      <c r="Q1026" t="s">
        <v>75</v>
      </c>
      <c r="R1026" t="s">
        <v>86</v>
      </c>
      <c r="S1026" t="s">
        <v>61</v>
      </c>
    </row>
    <row r="1027" spans="1:19" x14ac:dyDescent="0.35">
      <c r="A1027" t="s">
        <v>1154</v>
      </c>
      <c r="B1027" s="5">
        <v>45974</v>
      </c>
      <c r="C1027" t="s">
        <v>107</v>
      </c>
      <c r="D1027" t="s">
        <v>74</v>
      </c>
      <c r="E1027">
        <v>2</v>
      </c>
      <c r="F1027" s="6">
        <v>125</v>
      </c>
      <c r="G1027" s="7">
        <v>0</v>
      </c>
      <c r="H1027" s="6">
        <v>250</v>
      </c>
      <c r="I1027">
        <v>0</v>
      </c>
      <c r="J1027" s="6">
        <v>0</v>
      </c>
      <c r="K1027">
        <v>2</v>
      </c>
      <c r="L1027" s="6">
        <v>250</v>
      </c>
      <c r="M1027" s="6">
        <v>196.32</v>
      </c>
      <c r="N1027" s="6">
        <v>53.68</v>
      </c>
      <c r="O1027" s="6">
        <v>27.03</v>
      </c>
      <c r="P1027" s="6">
        <v>26.65</v>
      </c>
      <c r="Q1027" t="s">
        <v>81</v>
      </c>
      <c r="R1027" t="s">
        <v>66</v>
      </c>
      <c r="S1027" t="s">
        <v>71</v>
      </c>
    </row>
    <row r="1028" spans="1:19" x14ac:dyDescent="0.35">
      <c r="A1028" t="s">
        <v>1155</v>
      </c>
      <c r="B1028" s="5">
        <v>45908</v>
      </c>
      <c r="C1028" t="s">
        <v>100</v>
      </c>
      <c r="D1028" t="s">
        <v>64</v>
      </c>
      <c r="E1028">
        <v>1</v>
      </c>
      <c r="F1028" s="6">
        <v>310</v>
      </c>
      <c r="G1028" s="7">
        <v>10</v>
      </c>
      <c r="H1028" s="6">
        <v>279</v>
      </c>
      <c r="I1028">
        <v>0</v>
      </c>
      <c r="J1028" s="6">
        <v>0</v>
      </c>
      <c r="K1028">
        <v>1</v>
      </c>
      <c r="L1028" s="6">
        <v>279</v>
      </c>
      <c r="M1028" s="6">
        <v>196.41</v>
      </c>
      <c r="N1028" s="6">
        <v>82.59</v>
      </c>
      <c r="O1028" s="6">
        <v>21.98</v>
      </c>
      <c r="P1028" s="6">
        <v>60.61</v>
      </c>
      <c r="Q1028" t="s">
        <v>59</v>
      </c>
      <c r="R1028" t="s">
        <v>82</v>
      </c>
      <c r="S1028" t="s">
        <v>76</v>
      </c>
    </row>
    <row r="1029" spans="1:19" x14ac:dyDescent="0.35">
      <c r="A1029" t="s">
        <v>1156</v>
      </c>
      <c r="B1029" s="5">
        <v>46009</v>
      </c>
      <c r="C1029" t="s">
        <v>109</v>
      </c>
      <c r="D1029" t="s">
        <v>85</v>
      </c>
      <c r="E1029">
        <v>1</v>
      </c>
      <c r="F1029" s="6">
        <v>180</v>
      </c>
      <c r="G1029" s="7">
        <v>0</v>
      </c>
      <c r="H1029" s="6">
        <v>180</v>
      </c>
      <c r="I1029">
        <v>0</v>
      </c>
      <c r="J1029" s="6">
        <v>0</v>
      </c>
      <c r="K1029">
        <v>1</v>
      </c>
      <c r="L1029" s="6">
        <v>180</v>
      </c>
      <c r="M1029" s="6">
        <v>134.36000000000001</v>
      </c>
      <c r="N1029" s="6">
        <v>45.64</v>
      </c>
      <c r="O1029" s="6">
        <v>10.6</v>
      </c>
      <c r="P1029" s="6">
        <v>35.04</v>
      </c>
      <c r="Q1029" t="s">
        <v>65</v>
      </c>
      <c r="R1029" t="s">
        <v>66</v>
      </c>
      <c r="S1029" t="s">
        <v>76</v>
      </c>
    </row>
    <row r="1030" spans="1:19" x14ac:dyDescent="0.35">
      <c r="A1030" t="s">
        <v>1157</v>
      </c>
      <c r="B1030" s="5">
        <v>45979</v>
      </c>
      <c r="C1030" t="s">
        <v>125</v>
      </c>
      <c r="D1030" t="s">
        <v>85</v>
      </c>
      <c r="E1030">
        <v>1</v>
      </c>
      <c r="F1030" s="6">
        <v>125</v>
      </c>
      <c r="G1030" s="7">
        <v>0</v>
      </c>
      <c r="H1030" s="6">
        <v>125</v>
      </c>
      <c r="I1030">
        <v>0</v>
      </c>
      <c r="J1030" s="6">
        <v>0</v>
      </c>
      <c r="K1030">
        <v>1</v>
      </c>
      <c r="L1030" s="6">
        <v>125</v>
      </c>
      <c r="M1030" s="6">
        <v>77.66</v>
      </c>
      <c r="N1030" s="6">
        <v>47.34</v>
      </c>
      <c r="O1030" s="6">
        <v>12.85</v>
      </c>
      <c r="P1030" s="6">
        <v>34.49</v>
      </c>
      <c r="Q1030" t="s">
        <v>75</v>
      </c>
      <c r="R1030" t="s">
        <v>82</v>
      </c>
      <c r="S1030" t="s">
        <v>71</v>
      </c>
    </row>
    <row r="1031" spans="1:19" x14ac:dyDescent="0.35">
      <c r="A1031" t="s">
        <v>1158</v>
      </c>
      <c r="B1031" s="5">
        <v>45879</v>
      </c>
      <c r="C1031" t="s">
        <v>73</v>
      </c>
      <c r="D1031" t="s">
        <v>74</v>
      </c>
      <c r="E1031">
        <v>4</v>
      </c>
      <c r="F1031" s="6">
        <v>280</v>
      </c>
      <c r="G1031" s="7">
        <v>0</v>
      </c>
      <c r="H1031" s="6">
        <v>1120</v>
      </c>
      <c r="I1031">
        <v>0</v>
      </c>
      <c r="J1031" s="6">
        <v>0</v>
      </c>
      <c r="K1031">
        <v>4</v>
      </c>
      <c r="L1031" s="6">
        <v>1120</v>
      </c>
      <c r="M1031" s="6">
        <v>853.23</v>
      </c>
      <c r="N1031" s="6">
        <v>266.77</v>
      </c>
      <c r="O1031" s="6">
        <v>127.48</v>
      </c>
      <c r="P1031" s="6">
        <v>139.29</v>
      </c>
      <c r="Q1031" t="s">
        <v>81</v>
      </c>
      <c r="R1031" t="s">
        <v>82</v>
      </c>
      <c r="S1031" t="s">
        <v>61</v>
      </c>
    </row>
    <row r="1032" spans="1:19" x14ac:dyDescent="0.35">
      <c r="A1032" t="s">
        <v>1159</v>
      </c>
      <c r="B1032" s="5">
        <v>45785</v>
      </c>
      <c r="C1032" t="s">
        <v>63</v>
      </c>
      <c r="D1032" t="s">
        <v>64</v>
      </c>
      <c r="E1032">
        <v>2</v>
      </c>
      <c r="F1032" s="6">
        <v>145</v>
      </c>
      <c r="G1032" s="7">
        <v>10</v>
      </c>
      <c r="H1032" s="6">
        <v>261</v>
      </c>
      <c r="I1032">
        <v>0</v>
      </c>
      <c r="J1032" s="6">
        <v>0</v>
      </c>
      <c r="K1032">
        <v>2</v>
      </c>
      <c r="L1032" s="6">
        <v>261</v>
      </c>
      <c r="M1032" s="6">
        <v>177.59</v>
      </c>
      <c r="N1032" s="6">
        <v>83.41</v>
      </c>
      <c r="O1032" s="6">
        <v>25.86</v>
      </c>
      <c r="P1032" s="6">
        <v>57.55</v>
      </c>
      <c r="Q1032" t="s">
        <v>75</v>
      </c>
      <c r="R1032" t="s">
        <v>86</v>
      </c>
      <c r="S1032" t="s">
        <v>71</v>
      </c>
    </row>
    <row r="1033" spans="1:19" x14ac:dyDescent="0.35">
      <c r="A1033" t="s">
        <v>1160</v>
      </c>
      <c r="B1033" s="5">
        <v>45961</v>
      </c>
      <c r="C1033" t="s">
        <v>69</v>
      </c>
      <c r="D1033" t="s">
        <v>683</v>
      </c>
      <c r="E1033">
        <v>1</v>
      </c>
      <c r="F1033" s="6">
        <v>210</v>
      </c>
      <c r="G1033" s="7">
        <v>5</v>
      </c>
      <c r="H1033" s="6">
        <v>199.5</v>
      </c>
      <c r="I1033">
        <v>0</v>
      </c>
      <c r="J1033" s="6">
        <v>0</v>
      </c>
      <c r="K1033">
        <v>1</v>
      </c>
      <c r="L1033" s="6">
        <v>199.5</v>
      </c>
      <c r="M1033" s="6">
        <v>124.36</v>
      </c>
      <c r="N1033" s="6">
        <v>75.14</v>
      </c>
      <c r="O1033" s="6">
        <v>15.8</v>
      </c>
      <c r="P1033" s="6">
        <v>59.34</v>
      </c>
      <c r="Q1033" t="s">
        <v>75</v>
      </c>
      <c r="R1033" t="s">
        <v>60</v>
      </c>
      <c r="S1033" t="s">
        <v>61</v>
      </c>
    </row>
    <row r="1034" spans="1:19" x14ac:dyDescent="0.35">
      <c r="A1034" t="s">
        <v>1161</v>
      </c>
      <c r="B1034" s="5">
        <v>45841</v>
      </c>
      <c r="C1034" t="s">
        <v>121</v>
      </c>
      <c r="D1034" t="s">
        <v>70</v>
      </c>
      <c r="E1034">
        <v>3</v>
      </c>
      <c r="F1034" s="6">
        <v>110</v>
      </c>
      <c r="G1034" s="7">
        <v>0</v>
      </c>
      <c r="H1034" s="6">
        <v>330</v>
      </c>
      <c r="I1034">
        <v>0</v>
      </c>
      <c r="J1034" s="6">
        <v>0</v>
      </c>
      <c r="K1034">
        <v>3</v>
      </c>
      <c r="L1034" s="6">
        <v>330</v>
      </c>
      <c r="M1034" s="6">
        <v>274.75</v>
      </c>
      <c r="N1034" s="6">
        <v>55.25</v>
      </c>
      <c r="O1034" s="6">
        <v>20.82</v>
      </c>
      <c r="P1034" s="6">
        <v>34.43</v>
      </c>
      <c r="Q1034" t="s">
        <v>59</v>
      </c>
      <c r="R1034" t="s">
        <v>66</v>
      </c>
      <c r="S1034" t="s">
        <v>67</v>
      </c>
    </row>
    <row r="1035" spans="1:19" x14ac:dyDescent="0.35">
      <c r="A1035" t="s">
        <v>1162</v>
      </c>
      <c r="B1035" s="5">
        <v>45771</v>
      </c>
      <c r="C1035" t="s">
        <v>90</v>
      </c>
      <c r="D1035" t="s">
        <v>70</v>
      </c>
      <c r="E1035">
        <v>1</v>
      </c>
      <c r="F1035" s="6">
        <v>38</v>
      </c>
      <c r="G1035" s="7">
        <v>0</v>
      </c>
      <c r="H1035" s="6">
        <v>38</v>
      </c>
      <c r="I1035">
        <v>0</v>
      </c>
      <c r="J1035" s="6">
        <v>0</v>
      </c>
      <c r="K1035">
        <v>1</v>
      </c>
      <c r="L1035" s="6">
        <v>38</v>
      </c>
      <c r="M1035" s="6">
        <v>32.46</v>
      </c>
      <c r="N1035" s="6">
        <v>5.54</v>
      </c>
      <c r="O1035" s="6">
        <v>2.9</v>
      </c>
      <c r="P1035" s="6">
        <v>2.64</v>
      </c>
      <c r="Q1035" t="s">
        <v>59</v>
      </c>
      <c r="R1035" t="s">
        <v>60</v>
      </c>
      <c r="S1035" t="s">
        <v>67</v>
      </c>
    </row>
    <row r="1036" spans="1:19" x14ac:dyDescent="0.35">
      <c r="A1036" t="s">
        <v>1163</v>
      </c>
      <c r="B1036" s="5">
        <v>45821</v>
      </c>
      <c r="C1036" t="s">
        <v>69</v>
      </c>
      <c r="D1036" t="s">
        <v>70</v>
      </c>
      <c r="E1036">
        <v>6</v>
      </c>
      <c r="F1036" s="6">
        <v>210</v>
      </c>
      <c r="G1036" s="7">
        <v>2</v>
      </c>
      <c r="H1036" s="6">
        <v>1234.8</v>
      </c>
      <c r="I1036">
        <v>0</v>
      </c>
      <c r="J1036" s="6">
        <v>0</v>
      </c>
      <c r="K1036">
        <v>6</v>
      </c>
      <c r="L1036" s="6">
        <v>1234.8</v>
      </c>
      <c r="M1036" s="6">
        <v>1031.56</v>
      </c>
      <c r="N1036" s="6">
        <v>203.24</v>
      </c>
      <c r="O1036" s="6">
        <v>104.9</v>
      </c>
      <c r="P1036" s="6">
        <v>98.34</v>
      </c>
      <c r="Q1036" t="s">
        <v>65</v>
      </c>
      <c r="R1036" t="s">
        <v>86</v>
      </c>
      <c r="S1036" t="s">
        <v>67</v>
      </c>
    </row>
    <row r="1037" spans="1:19" x14ac:dyDescent="0.35">
      <c r="A1037" t="s">
        <v>1164</v>
      </c>
      <c r="B1037" s="5">
        <v>45954</v>
      </c>
      <c r="C1037" t="s">
        <v>125</v>
      </c>
      <c r="D1037" t="s">
        <v>85</v>
      </c>
      <c r="E1037">
        <v>5</v>
      </c>
      <c r="F1037" s="6">
        <v>125</v>
      </c>
      <c r="G1037" s="7">
        <v>5</v>
      </c>
      <c r="H1037" s="6">
        <v>593.75</v>
      </c>
      <c r="I1037">
        <v>0</v>
      </c>
      <c r="J1037" s="6">
        <v>0</v>
      </c>
      <c r="K1037">
        <v>5</v>
      </c>
      <c r="L1037" s="6">
        <v>593.75</v>
      </c>
      <c r="M1037" s="6">
        <v>456.15</v>
      </c>
      <c r="N1037" s="6">
        <v>137.6</v>
      </c>
      <c r="O1037" s="6">
        <v>31.03</v>
      </c>
      <c r="P1037" s="6">
        <v>106.57</v>
      </c>
      <c r="Q1037" t="s">
        <v>75</v>
      </c>
      <c r="R1037" t="s">
        <v>60</v>
      </c>
      <c r="S1037" t="s">
        <v>71</v>
      </c>
    </row>
    <row r="1038" spans="1:19" x14ac:dyDescent="0.35">
      <c r="A1038" t="s">
        <v>1165</v>
      </c>
      <c r="B1038" s="5">
        <v>45900</v>
      </c>
      <c r="C1038" t="s">
        <v>97</v>
      </c>
      <c r="D1038" t="s">
        <v>57</v>
      </c>
      <c r="E1038">
        <v>3</v>
      </c>
      <c r="F1038" s="6">
        <v>55</v>
      </c>
      <c r="G1038" s="7">
        <v>0</v>
      </c>
      <c r="H1038" s="6">
        <v>165</v>
      </c>
      <c r="I1038">
        <v>0</v>
      </c>
      <c r="J1038" s="6">
        <v>0</v>
      </c>
      <c r="K1038">
        <v>3</v>
      </c>
      <c r="L1038" s="6">
        <v>165</v>
      </c>
      <c r="M1038" s="6">
        <v>107.24</v>
      </c>
      <c r="N1038" s="6">
        <v>57.76</v>
      </c>
      <c r="O1038" s="6">
        <v>18.34</v>
      </c>
      <c r="P1038" s="6">
        <v>39.42</v>
      </c>
      <c r="Q1038" t="s">
        <v>59</v>
      </c>
      <c r="R1038" t="s">
        <v>86</v>
      </c>
      <c r="S1038" t="s">
        <v>76</v>
      </c>
    </row>
    <row r="1039" spans="1:19" x14ac:dyDescent="0.35">
      <c r="A1039" t="s">
        <v>1166</v>
      </c>
      <c r="B1039" s="5">
        <v>45779</v>
      </c>
      <c r="C1039" t="s">
        <v>92</v>
      </c>
      <c r="D1039" t="s">
        <v>79</v>
      </c>
      <c r="E1039">
        <v>3</v>
      </c>
      <c r="F1039" s="6">
        <v>85</v>
      </c>
      <c r="G1039" s="7">
        <v>0</v>
      </c>
      <c r="H1039" s="6">
        <v>255</v>
      </c>
      <c r="I1039">
        <v>0</v>
      </c>
      <c r="J1039" s="6">
        <v>0</v>
      </c>
      <c r="K1039">
        <v>3</v>
      </c>
      <c r="L1039" s="6">
        <v>255</v>
      </c>
      <c r="M1039" s="6">
        <v>174.67</v>
      </c>
      <c r="N1039" s="6">
        <v>80.33</v>
      </c>
      <c r="O1039" s="6">
        <v>25.09</v>
      </c>
      <c r="P1039" s="6">
        <v>55.24</v>
      </c>
      <c r="Q1039" t="s">
        <v>65</v>
      </c>
      <c r="R1039" t="s">
        <v>60</v>
      </c>
      <c r="S1039" t="s">
        <v>76</v>
      </c>
    </row>
    <row r="1040" spans="1:19" x14ac:dyDescent="0.35">
      <c r="A1040" t="s">
        <v>1167</v>
      </c>
      <c r="B1040" s="5">
        <v>45751</v>
      </c>
      <c r="C1040" t="s">
        <v>69</v>
      </c>
      <c r="D1040" t="s">
        <v>70</v>
      </c>
      <c r="E1040">
        <v>1</v>
      </c>
      <c r="F1040" s="6">
        <v>210</v>
      </c>
      <c r="G1040" s="7">
        <v>0</v>
      </c>
      <c r="H1040" s="6">
        <v>210</v>
      </c>
      <c r="I1040">
        <v>0</v>
      </c>
      <c r="J1040" s="6">
        <v>0</v>
      </c>
      <c r="K1040">
        <v>1</v>
      </c>
      <c r="L1040" s="6">
        <v>210</v>
      </c>
      <c r="M1040" s="6">
        <v>139.51</v>
      </c>
      <c r="N1040" s="6">
        <v>70.489999999999995</v>
      </c>
      <c r="O1040" s="6">
        <v>19.63</v>
      </c>
      <c r="P1040" s="6">
        <v>50.86</v>
      </c>
      <c r="Q1040" t="s">
        <v>75</v>
      </c>
      <c r="R1040" t="s">
        <v>60</v>
      </c>
      <c r="S1040" t="s">
        <v>67</v>
      </c>
    </row>
    <row r="1041" spans="1:19" x14ac:dyDescent="0.35">
      <c r="A1041" t="s">
        <v>1168</v>
      </c>
      <c r="B1041" s="5">
        <v>45726</v>
      </c>
      <c r="C1041" t="s">
        <v>117</v>
      </c>
      <c r="D1041" t="s">
        <v>74</v>
      </c>
      <c r="E1041">
        <v>4</v>
      </c>
      <c r="F1041" s="6">
        <v>95</v>
      </c>
      <c r="G1041" s="7">
        <v>2</v>
      </c>
      <c r="H1041" s="6">
        <v>372.4</v>
      </c>
      <c r="I1041">
        <v>0</v>
      </c>
      <c r="J1041" s="6">
        <v>0</v>
      </c>
      <c r="K1041">
        <v>4</v>
      </c>
      <c r="L1041" s="6">
        <v>372.4</v>
      </c>
      <c r="M1041" s="6">
        <v>311.64999999999998</v>
      </c>
      <c r="N1041" s="6">
        <v>60.75</v>
      </c>
      <c r="O1041" s="6">
        <v>23.9</v>
      </c>
      <c r="P1041" s="6">
        <v>36.85</v>
      </c>
      <c r="Q1041" t="s">
        <v>81</v>
      </c>
      <c r="R1041" t="s">
        <v>66</v>
      </c>
      <c r="S1041" t="s">
        <v>67</v>
      </c>
    </row>
    <row r="1042" spans="1:19" x14ac:dyDescent="0.35">
      <c r="A1042" t="s">
        <v>1169</v>
      </c>
      <c r="B1042" s="5">
        <v>45714</v>
      </c>
      <c r="C1042" t="s">
        <v>84</v>
      </c>
      <c r="D1042" t="s">
        <v>85</v>
      </c>
      <c r="E1042">
        <v>5</v>
      </c>
      <c r="F1042" s="6">
        <v>48</v>
      </c>
      <c r="G1042" s="7">
        <v>0</v>
      </c>
      <c r="H1042" s="6">
        <v>240</v>
      </c>
      <c r="I1042">
        <v>0</v>
      </c>
      <c r="J1042" s="6">
        <v>0</v>
      </c>
      <c r="K1042">
        <v>5</v>
      </c>
      <c r="L1042" s="6">
        <v>240</v>
      </c>
      <c r="M1042" s="6">
        <v>203</v>
      </c>
      <c r="N1042" s="6">
        <v>37</v>
      </c>
      <c r="O1042" s="6">
        <v>20.88</v>
      </c>
      <c r="P1042" s="6">
        <v>16.12</v>
      </c>
      <c r="Q1042" t="s">
        <v>81</v>
      </c>
      <c r="R1042" t="s">
        <v>60</v>
      </c>
      <c r="S1042" t="s">
        <v>61</v>
      </c>
    </row>
    <row r="1043" spans="1:19" x14ac:dyDescent="0.35">
      <c r="A1043" t="s">
        <v>1170</v>
      </c>
      <c r="B1043" s="5">
        <v>45791</v>
      </c>
      <c r="C1043" t="s">
        <v>69</v>
      </c>
      <c r="D1043" t="s">
        <v>70</v>
      </c>
      <c r="E1043">
        <v>1</v>
      </c>
      <c r="F1043" s="6">
        <v>210</v>
      </c>
      <c r="G1043" s="7">
        <v>0</v>
      </c>
      <c r="H1043" s="6">
        <v>210</v>
      </c>
      <c r="I1043">
        <v>0</v>
      </c>
      <c r="J1043" s="6">
        <v>0</v>
      </c>
      <c r="K1043">
        <v>1</v>
      </c>
      <c r="L1043" s="6">
        <v>210</v>
      </c>
      <c r="M1043" s="6">
        <v>130.83000000000001</v>
      </c>
      <c r="N1043" s="6">
        <v>79.17</v>
      </c>
      <c r="O1043" s="6">
        <v>11.26</v>
      </c>
      <c r="P1043" s="6">
        <v>67.91</v>
      </c>
      <c r="Q1043" t="s">
        <v>65</v>
      </c>
      <c r="R1043" t="s">
        <v>86</v>
      </c>
      <c r="S1043" t="s">
        <v>76</v>
      </c>
    </row>
    <row r="1044" spans="1:19" x14ac:dyDescent="0.35">
      <c r="A1044" t="s">
        <v>1171</v>
      </c>
      <c r="B1044" s="5">
        <v>45925</v>
      </c>
      <c r="C1044" t="s">
        <v>100</v>
      </c>
      <c r="D1044" t="s">
        <v>64</v>
      </c>
      <c r="E1044">
        <v>4</v>
      </c>
      <c r="F1044" s="6">
        <v>310</v>
      </c>
      <c r="G1044" s="7">
        <v>5</v>
      </c>
      <c r="H1044" s="6">
        <v>1178</v>
      </c>
      <c r="I1044">
        <v>0</v>
      </c>
      <c r="J1044" s="6">
        <v>0</v>
      </c>
      <c r="K1044">
        <v>4</v>
      </c>
      <c r="L1044" s="6">
        <v>1178</v>
      </c>
      <c r="M1044" s="6">
        <v>744.29</v>
      </c>
      <c r="N1044" s="6">
        <v>433.71</v>
      </c>
      <c r="O1044" s="6">
        <v>110.58</v>
      </c>
      <c r="P1044" s="6">
        <v>323.13</v>
      </c>
      <c r="Q1044" t="s">
        <v>65</v>
      </c>
      <c r="R1044" t="s">
        <v>82</v>
      </c>
      <c r="S1044" t="s">
        <v>76</v>
      </c>
    </row>
    <row r="1045" spans="1:19" x14ac:dyDescent="0.35">
      <c r="A1045" t="s">
        <v>1172</v>
      </c>
      <c r="B1045" s="5">
        <v>45737</v>
      </c>
      <c r="C1045" t="s">
        <v>264</v>
      </c>
      <c r="D1045" t="s">
        <v>85</v>
      </c>
      <c r="E1045">
        <v>6</v>
      </c>
      <c r="F1045" s="6">
        <v>20</v>
      </c>
      <c r="G1045" s="7">
        <v>0</v>
      </c>
      <c r="H1045" s="6">
        <v>120</v>
      </c>
      <c r="I1045">
        <v>0</v>
      </c>
      <c r="J1045" s="6">
        <v>0</v>
      </c>
      <c r="K1045">
        <v>6</v>
      </c>
      <c r="L1045" s="6">
        <v>120</v>
      </c>
      <c r="M1045" s="6">
        <v>89.6</v>
      </c>
      <c r="N1045" s="6">
        <v>30.4</v>
      </c>
      <c r="O1045" s="6">
        <v>14.1</v>
      </c>
      <c r="P1045" s="6">
        <v>16.3</v>
      </c>
      <c r="Q1045" t="s">
        <v>81</v>
      </c>
      <c r="R1045" t="s">
        <v>66</v>
      </c>
      <c r="S1045" t="s">
        <v>67</v>
      </c>
    </row>
    <row r="1046" spans="1:19" x14ac:dyDescent="0.35">
      <c r="A1046" t="s">
        <v>1173</v>
      </c>
      <c r="B1046" s="5">
        <v>45722</v>
      </c>
      <c r="C1046" t="s">
        <v>63</v>
      </c>
      <c r="D1046" t="s">
        <v>64</v>
      </c>
      <c r="E1046">
        <v>5</v>
      </c>
      <c r="F1046" s="6">
        <v>145</v>
      </c>
      <c r="G1046" s="7">
        <v>0</v>
      </c>
      <c r="H1046" s="6">
        <v>725</v>
      </c>
      <c r="I1046">
        <v>0</v>
      </c>
      <c r="J1046" s="6">
        <v>0</v>
      </c>
      <c r="K1046">
        <v>5</v>
      </c>
      <c r="L1046" s="6">
        <v>725</v>
      </c>
      <c r="M1046" s="6">
        <v>586.94000000000005</v>
      </c>
      <c r="N1046" s="6">
        <v>138.06</v>
      </c>
      <c r="O1046" s="6">
        <v>42.81</v>
      </c>
      <c r="P1046" s="6">
        <v>95.25</v>
      </c>
      <c r="Q1046" t="s">
        <v>75</v>
      </c>
      <c r="R1046" t="s">
        <v>86</v>
      </c>
      <c r="S1046" t="s">
        <v>76</v>
      </c>
    </row>
    <row r="1047" spans="1:19" x14ac:dyDescent="0.35">
      <c r="A1047" t="s">
        <v>1174</v>
      </c>
      <c r="B1047" s="5">
        <v>45729</v>
      </c>
      <c r="C1047" t="s">
        <v>73</v>
      </c>
      <c r="D1047" t="s">
        <v>74</v>
      </c>
      <c r="E1047">
        <v>3</v>
      </c>
      <c r="F1047" s="6">
        <v>280</v>
      </c>
      <c r="G1047" s="7">
        <v>0</v>
      </c>
      <c r="H1047" s="6">
        <v>840</v>
      </c>
      <c r="I1047">
        <v>0</v>
      </c>
      <c r="J1047" s="6">
        <v>0</v>
      </c>
      <c r="K1047">
        <v>3</v>
      </c>
      <c r="L1047" s="6">
        <v>840</v>
      </c>
      <c r="M1047" s="6">
        <v>580.02</v>
      </c>
      <c r="N1047" s="6">
        <v>259.98</v>
      </c>
      <c r="O1047" s="6">
        <v>75.62</v>
      </c>
      <c r="P1047" s="6">
        <v>184.36</v>
      </c>
      <c r="Q1047" t="s">
        <v>59</v>
      </c>
      <c r="R1047" t="s">
        <v>82</v>
      </c>
      <c r="S1047" t="s">
        <v>67</v>
      </c>
    </row>
    <row r="1048" spans="1:19" x14ac:dyDescent="0.35">
      <c r="A1048" t="s">
        <v>1175</v>
      </c>
      <c r="B1048" s="5">
        <v>45749</v>
      </c>
      <c r="C1048" t="s">
        <v>90</v>
      </c>
      <c r="D1048" t="s">
        <v>70</v>
      </c>
      <c r="E1048">
        <v>3</v>
      </c>
      <c r="F1048" s="6">
        <v>38</v>
      </c>
      <c r="G1048" s="7">
        <v>0</v>
      </c>
      <c r="H1048" s="6">
        <v>114</v>
      </c>
      <c r="I1048">
        <v>0</v>
      </c>
      <c r="J1048" s="6">
        <v>0</v>
      </c>
      <c r="K1048">
        <v>3</v>
      </c>
      <c r="L1048" s="6">
        <v>114</v>
      </c>
      <c r="M1048" s="6">
        <v>93.38</v>
      </c>
      <c r="N1048" s="6">
        <v>20.62</v>
      </c>
      <c r="O1048" s="6">
        <v>11.82</v>
      </c>
      <c r="P1048" s="6">
        <v>8.8000000000000007</v>
      </c>
      <c r="Q1048" t="s">
        <v>65</v>
      </c>
      <c r="R1048" t="s">
        <v>66</v>
      </c>
      <c r="S1048" t="s">
        <v>67</v>
      </c>
    </row>
    <row r="1049" spans="1:19" x14ac:dyDescent="0.35">
      <c r="A1049" t="s">
        <v>1176</v>
      </c>
      <c r="B1049" s="5">
        <v>45922</v>
      </c>
      <c r="C1049" t="s">
        <v>69</v>
      </c>
      <c r="D1049" t="s">
        <v>70</v>
      </c>
      <c r="E1049">
        <v>1</v>
      </c>
      <c r="F1049" s="6">
        <v>210</v>
      </c>
      <c r="G1049" s="7">
        <v>2</v>
      </c>
      <c r="H1049" s="6">
        <v>205.8</v>
      </c>
      <c r="I1049">
        <v>0</v>
      </c>
      <c r="J1049" s="6">
        <v>0</v>
      </c>
      <c r="K1049">
        <v>1</v>
      </c>
      <c r="L1049" s="6">
        <v>205.8</v>
      </c>
      <c r="M1049" s="6">
        <v>132.02000000000001</v>
      </c>
      <c r="N1049" s="6">
        <v>73.78</v>
      </c>
      <c r="O1049" s="6">
        <v>22.07</v>
      </c>
      <c r="P1049" s="6">
        <v>51.71</v>
      </c>
      <c r="Q1049" t="s">
        <v>65</v>
      </c>
      <c r="R1049" t="s">
        <v>60</v>
      </c>
      <c r="S1049" t="s">
        <v>61</v>
      </c>
    </row>
    <row r="1050" spans="1:19" x14ac:dyDescent="0.35">
      <c r="A1050" t="s">
        <v>1177</v>
      </c>
      <c r="B1050" s="5">
        <v>45702</v>
      </c>
      <c r="C1050" t="s">
        <v>109</v>
      </c>
      <c r="D1050" t="s">
        <v>85</v>
      </c>
      <c r="E1050">
        <v>2</v>
      </c>
      <c r="F1050" s="6">
        <v>180</v>
      </c>
      <c r="G1050" s="7">
        <v>0</v>
      </c>
      <c r="H1050" s="6">
        <v>360</v>
      </c>
      <c r="I1050">
        <v>0</v>
      </c>
      <c r="J1050" s="6">
        <v>0</v>
      </c>
      <c r="K1050">
        <v>2</v>
      </c>
      <c r="L1050" s="6">
        <v>360</v>
      </c>
      <c r="M1050" s="6">
        <v>292.94</v>
      </c>
      <c r="N1050" s="6">
        <v>67.06</v>
      </c>
      <c r="O1050" s="6">
        <v>27.13</v>
      </c>
      <c r="P1050" s="6">
        <v>39.93</v>
      </c>
      <c r="Q1050" t="s">
        <v>75</v>
      </c>
      <c r="R1050" t="s">
        <v>82</v>
      </c>
      <c r="S1050" t="s">
        <v>71</v>
      </c>
    </row>
    <row r="1051" spans="1:19" x14ac:dyDescent="0.35">
      <c r="A1051" t="s">
        <v>1178</v>
      </c>
      <c r="B1051" s="5">
        <v>45844</v>
      </c>
      <c r="C1051" t="s">
        <v>56</v>
      </c>
      <c r="D1051" t="s">
        <v>57</v>
      </c>
      <c r="E1051">
        <v>5</v>
      </c>
      <c r="F1051" s="6">
        <v>40</v>
      </c>
      <c r="G1051" s="7">
        <v>10</v>
      </c>
      <c r="H1051" s="6">
        <v>180</v>
      </c>
      <c r="I1051">
        <v>0</v>
      </c>
      <c r="J1051" s="6">
        <v>0</v>
      </c>
      <c r="K1051">
        <v>5</v>
      </c>
      <c r="L1051" s="6">
        <v>180</v>
      </c>
      <c r="M1051" s="6">
        <v>129.91</v>
      </c>
      <c r="N1051" s="6">
        <v>50.09</v>
      </c>
      <c r="O1051" s="6">
        <v>9.02</v>
      </c>
      <c r="P1051" s="6">
        <v>41.07</v>
      </c>
      <c r="Q1051" t="s">
        <v>75</v>
      </c>
      <c r="R1051" t="s">
        <v>86</v>
      </c>
      <c r="S1051" t="s">
        <v>76</v>
      </c>
    </row>
    <row r="1052" spans="1:19" x14ac:dyDescent="0.35">
      <c r="A1052" t="s">
        <v>1179</v>
      </c>
      <c r="B1052" s="5">
        <v>45913</v>
      </c>
      <c r="C1052" t="s">
        <v>69</v>
      </c>
      <c r="D1052" t="s">
        <v>70</v>
      </c>
      <c r="E1052">
        <v>2</v>
      </c>
      <c r="F1052" s="6">
        <v>210</v>
      </c>
      <c r="G1052" s="7">
        <v>0</v>
      </c>
      <c r="H1052" s="6">
        <v>420</v>
      </c>
      <c r="I1052">
        <v>0</v>
      </c>
      <c r="J1052" s="6">
        <v>0</v>
      </c>
      <c r="K1052">
        <v>2</v>
      </c>
      <c r="L1052" s="6">
        <v>420</v>
      </c>
      <c r="M1052" s="6">
        <v>273.86</v>
      </c>
      <c r="N1052" s="6">
        <v>146.13999999999999</v>
      </c>
      <c r="O1052" s="6">
        <v>47.05</v>
      </c>
      <c r="P1052" s="6">
        <v>99.09</v>
      </c>
      <c r="Q1052" t="s">
        <v>59</v>
      </c>
      <c r="R1052" t="s">
        <v>86</v>
      </c>
      <c r="S1052" t="s">
        <v>67</v>
      </c>
    </row>
    <row r="1053" spans="1:19" x14ac:dyDescent="0.35">
      <c r="A1053" t="s">
        <v>1180</v>
      </c>
      <c r="B1053" s="5">
        <v>45843</v>
      </c>
      <c r="C1053" t="s">
        <v>362</v>
      </c>
      <c r="D1053" t="s">
        <v>64</v>
      </c>
      <c r="E1053">
        <v>2</v>
      </c>
      <c r="F1053" s="6">
        <v>52</v>
      </c>
      <c r="G1053" s="7">
        <v>0</v>
      </c>
      <c r="H1053" s="6">
        <v>104</v>
      </c>
      <c r="I1053">
        <v>0</v>
      </c>
      <c r="J1053" s="6">
        <v>0</v>
      </c>
      <c r="K1053">
        <v>2</v>
      </c>
      <c r="L1053" s="6">
        <v>104</v>
      </c>
      <c r="M1053" s="6">
        <v>80.209999999999994</v>
      </c>
      <c r="N1053" s="6">
        <v>23.79</v>
      </c>
      <c r="O1053" s="6">
        <v>8.69</v>
      </c>
      <c r="P1053" s="6">
        <v>15.1</v>
      </c>
      <c r="Q1053" t="s">
        <v>65</v>
      </c>
      <c r="R1053" t="s">
        <v>86</v>
      </c>
      <c r="S1053" t="s">
        <v>76</v>
      </c>
    </row>
    <row r="1054" spans="1:19" x14ac:dyDescent="0.35">
      <c r="A1054" t="s">
        <v>1181</v>
      </c>
      <c r="B1054" s="5">
        <v>45689</v>
      </c>
      <c r="C1054" t="s">
        <v>125</v>
      </c>
      <c r="D1054" t="s">
        <v>85</v>
      </c>
      <c r="E1054">
        <v>1</v>
      </c>
      <c r="F1054" s="6">
        <v>125</v>
      </c>
      <c r="G1054" s="7">
        <v>10</v>
      </c>
      <c r="H1054" s="6">
        <v>112.5</v>
      </c>
      <c r="I1054">
        <v>0</v>
      </c>
      <c r="J1054" s="6">
        <v>0</v>
      </c>
      <c r="K1054">
        <v>1</v>
      </c>
      <c r="L1054" s="6">
        <v>112.5</v>
      </c>
      <c r="M1054" s="6">
        <v>70.569999999999993</v>
      </c>
      <c r="N1054" s="6">
        <v>41.93</v>
      </c>
      <c r="O1054" s="6">
        <v>6.04</v>
      </c>
      <c r="P1054" s="6">
        <v>35.89</v>
      </c>
      <c r="Q1054" t="s">
        <v>65</v>
      </c>
      <c r="R1054" t="s">
        <v>86</v>
      </c>
      <c r="S1054" t="s">
        <v>71</v>
      </c>
    </row>
    <row r="1055" spans="1:19" x14ac:dyDescent="0.35">
      <c r="A1055" t="s">
        <v>1182</v>
      </c>
      <c r="B1055" s="5">
        <v>45902</v>
      </c>
      <c r="C1055" t="s">
        <v>90</v>
      </c>
      <c r="D1055" t="s">
        <v>70</v>
      </c>
      <c r="E1055">
        <v>3</v>
      </c>
      <c r="F1055" s="6">
        <v>38</v>
      </c>
      <c r="G1055" s="7">
        <v>0</v>
      </c>
      <c r="H1055" s="6">
        <v>114</v>
      </c>
      <c r="I1055">
        <v>0</v>
      </c>
      <c r="J1055" s="6">
        <v>0</v>
      </c>
      <c r="K1055">
        <v>3</v>
      </c>
      <c r="L1055" s="6">
        <v>114</v>
      </c>
      <c r="M1055" s="6">
        <v>88.21</v>
      </c>
      <c r="N1055" s="6">
        <v>25.79</v>
      </c>
      <c r="O1055" s="6">
        <v>8.16</v>
      </c>
      <c r="P1055" s="6">
        <v>17.63</v>
      </c>
      <c r="Q1055" t="s">
        <v>75</v>
      </c>
      <c r="R1055" t="s">
        <v>66</v>
      </c>
      <c r="S1055" t="s">
        <v>61</v>
      </c>
    </row>
    <row r="1056" spans="1:19" x14ac:dyDescent="0.35">
      <c r="A1056" t="s">
        <v>1183</v>
      </c>
      <c r="B1056" s="5">
        <v>45737</v>
      </c>
      <c r="C1056" t="s">
        <v>84</v>
      </c>
      <c r="D1056" t="s">
        <v>85</v>
      </c>
      <c r="E1056">
        <v>1</v>
      </c>
      <c r="F1056" s="6">
        <v>48</v>
      </c>
      <c r="G1056" s="7">
        <v>2</v>
      </c>
      <c r="H1056" s="6">
        <v>47.04</v>
      </c>
      <c r="I1056">
        <v>0</v>
      </c>
      <c r="J1056" s="6">
        <v>0</v>
      </c>
      <c r="K1056">
        <v>1</v>
      </c>
      <c r="L1056" s="6">
        <v>47.04</v>
      </c>
      <c r="M1056" s="6">
        <v>35.54</v>
      </c>
      <c r="N1056" s="6">
        <v>11.5</v>
      </c>
      <c r="O1056" s="6">
        <v>2.79</v>
      </c>
      <c r="P1056" s="6">
        <v>8.7100000000000009</v>
      </c>
      <c r="Q1056" t="s">
        <v>81</v>
      </c>
      <c r="R1056" t="s">
        <v>60</v>
      </c>
      <c r="S1056" t="s">
        <v>76</v>
      </c>
    </row>
    <row r="1057" spans="1:19" x14ac:dyDescent="0.35">
      <c r="A1057" t="s">
        <v>1184</v>
      </c>
      <c r="B1057" s="5">
        <v>45745</v>
      </c>
      <c r="C1057" t="s">
        <v>427</v>
      </c>
      <c r="D1057" t="s">
        <v>243</v>
      </c>
      <c r="E1057">
        <v>4</v>
      </c>
      <c r="F1057" s="6">
        <v>125</v>
      </c>
      <c r="G1057" s="7">
        <v>0</v>
      </c>
      <c r="H1057" s="6">
        <v>500</v>
      </c>
      <c r="I1057">
        <v>0</v>
      </c>
      <c r="J1057" s="6">
        <v>0</v>
      </c>
      <c r="K1057">
        <v>4</v>
      </c>
      <c r="L1057" s="6">
        <v>500</v>
      </c>
      <c r="M1057" s="6">
        <v>423.4</v>
      </c>
      <c r="N1057" s="6">
        <v>76.599999999999994</v>
      </c>
      <c r="O1057" s="6">
        <v>50.71</v>
      </c>
      <c r="P1057" s="6">
        <v>25.89</v>
      </c>
      <c r="Q1057" t="s">
        <v>75</v>
      </c>
      <c r="R1057" t="s">
        <v>86</v>
      </c>
      <c r="S1057" t="s">
        <v>61</v>
      </c>
    </row>
    <row r="1058" spans="1:19" x14ac:dyDescent="0.35">
      <c r="A1058" t="s">
        <v>1185</v>
      </c>
      <c r="B1058" s="5">
        <v>45888</v>
      </c>
      <c r="C1058" t="s">
        <v>90</v>
      </c>
      <c r="D1058" t="s">
        <v>70</v>
      </c>
      <c r="E1058">
        <v>6</v>
      </c>
      <c r="F1058" s="6">
        <v>38</v>
      </c>
      <c r="G1058" s="7">
        <v>0</v>
      </c>
      <c r="H1058" s="6">
        <v>228</v>
      </c>
      <c r="I1058">
        <v>0</v>
      </c>
      <c r="J1058" s="6">
        <v>0</v>
      </c>
      <c r="K1058">
        <v>6</v>
      </c>
      <c r="L1058" s="6">
        <v>228</v>
      </c>
      <c r="M1058" s="6">
        <v>185.33</v>
      </c>
      <c r="N1058" s="6">
        <v>42.67</v>
      </c>
      <c r="O1058" s="6">
        <v>16.010000000000002</v>
      </c>
      <c r="P1058" s="6">
        <v>26.66</v>
      </c>
      <c r="Q1058" t="s">
        <v>59</v>
      </c>
      <c r="R1058" t="s">
        <v>60</v>
      </c>
      <c r="S1058" t="s">
        <v>76</v>
      </c>
    </row>
    <row r="1059" spans="1:19" x14ac:dyDescent="0.35">
      <c r="A1059" t="s">
        <v>1186</v>
      </c>
      <c r="B1059" s="5">
        <v>45849</v>
      </c>
      <c r="C1059" t="s">
        <v>117</v>
      </c>
      <c r="D1059" t="s">
        <v>74</v>
      </c>
      <c r="E1059">
        <v>8</v>
      </c>
      <c r="F1059" s="6">
        <v>95</v>
      </c>
      <c r="G1059" s="7">
        <v>0</v>
      </c>
      <c r="H1059" s="6">
        <v>760</v>
      </c>
      <c r="I1059">
        <v>0</v>
      </c>
      <c r="J1059" s="6">
        <v>0</v>
      </c>
      <c r="K1059">
        <v>8</v>
      </c>
      <c r="L1059" s="6">
        <v>760</v>
      </c>
      <c r="M1059" s="6">
        <v>475.31</v>
      </c>
      <c r="N1059" s="6">
        <v>284.69</v>
      </c>
      <c r="O1059" s="6">
        <v>41.19</v>
      </c>
      <c r="P1059" s="6">
        <v>243.5</v>
      </c>
      <c r="Q1059" t="s">
        <v>65</v>
      </c>
      <c r="R1059" t="s">
        <v>60</v>
      </c>
      <c r="S1059" t="s">
        <v>67</v>
      </c>
    </row>
    <row r="1060" spans="1:19" x14ac:dyDescent="0.35">
      <c r="A1060" t="s">
        <v>1187</v>
      </c>
      <c r="B1060" s="5">
        <v>45681</v>
      </c>
      <c r="C1060" t="s">
        <v>114</v>
      </c>
      <c r="D1060" t="s">
        <v>64</v>
      </c>
      <c r="E1060">
        <v>5</v>
      </c>
      <c r="F1060" s="6">
        <v>420</v>
      </c>
      <c r="G1060" s="7">
        <v>0</v>
      </c>
      <c r="H1060" s="6">
        <v>2100</v>
      </c>
      <c r="I1060">
        <v>0</v>
      </c>
      <c r="J1060" s="6">
        <v>0</v>
      </c>
      <c r="K1060">
        <v>5</v>
      </c>
      <c r="L1060" s="6">
        <v>2100</v>
      </c>
      <c r="M1060" s="6">
        <v>1499.54</v>
      </c>
      <c r="N1060" s="6">
        <v>600.46</v>
      </c>
      <c r="O1060" s="6">
        <v>123.55</v>
      </c>
      <c r="P1060" s="6">
        <v>476.91</v>
      </c>
      <c r="Q1060" t="s">
        <v>59</v>
      </c>
      <c r="R1060" t="s">
        <v>86</v>
      </c>
      <c r="S1060" t="s">
        <v>67</v>
      </c>
    </row>
    <row r="1061" spans="1:19" x14ac:dyDescent="0.35">
      <c r="A1061" t="s">
        <v>1188</v>
      </c>
      <c r="B1061" s="5">
        <v>45718</v>
      </c>
      <c r="C1061" t="s">
        <v>643</v>
      </c>
      <c r="D1061" t="s">
        <v>70</v>
      </c>
      <c r="E1061">
        <v>1</v>
      </c>
      <c r="F1061" s="6">
        <v>210</v>
      </c>
      <c r="G1061" s="7">
        <v>5</v>
      </c>
      <c r="H1061" s="6">
        <v>199.5</v>
      </c>
      <c r="I1061">
        <v>0</v>
      </c>
      <c r="J1061" s="6">
        <v>0</v>
      </c>
      <c r="K1061">
        <v>1</v>
      </c>
      <c r="L1061" s="6">
        <v>199.5</v>
      </c>
      <c r="M1061" s="6">
        <v>124.55</v>
      </c>
      <c r="N1061" s="6">
        <v>74.95</v>
      </c>
      <c r="O1061" s="6">
        <v>11.35</v>
      </c>
      <c r="P1061" s="6">
        <v>63.6</v>
      </c>
      <c r="Q1061" t="s">
        <v>65</v>
      </c>
      <c r="R1061" t="s">
        <v>66</v>
      </c>
      <c r="S1061" t="s">
        <v>61</v>
      </c>
    </row>
    <row r="1062" spans="1:19" x14ac:dyDescent="0.35">
      <c r="A1062" t="s">
        <v>1189</v>
      </c>
      <c r="B1062" s="5">
        <v>45964</v>
      </c>
      <c r="C1062" t="s">
        <v>165</v>
      </c>
      <c r="D1062" t="s">
        <v>64</v>
      </c>
      <c r="E1062">
        <v>10</v>
      </c>
      <c r="F1062" s="6">
        <v>420</v>
      </c>
      <c r="G1062" s="7">
        <v>15</v>
      </c>
      <c r="H1062" s="6">
        <v>3570</v>
      </c>
      <c r="I1062">
        <v>0</v>
      </c>
      <c r="J1062" s="6">
        <v>0</v>
      </c>
      <c r="K1062">
        <v>10</v>
      </c>
      <c r="L1062" s="6">
        <v>3570</v>
      </c>
      <c r="M1062" s="6">
        <v>2689.45</v>
      </c>
      <c r="N1062" s="6">
        <v>880.55</v>
      </c>
      <c r="O1062" s="6">
        <v>268.77999999999997</v>
      </c>
      <c r="P1062" s="6">
        <v>611.77</v>
      </c>
      <c r="Q1062" t="s">
        <v>59</v>
      </c>
      <c r="R1062" t="s">
        <v>60</v>
      </c>
      <c r="S1062" t="s">
        <v>71</v>
      </c>
    </row>
    <row r="1063" spans="1:19" x14ac:dyDescent="0.35">
      <c r="A1063" t="s">
        <v>1190</v>
      </c>
      <c r="B1063" s="5">
        <v>45782</v>
      </c>
      <c r="C1063" t="s">
        <v>117</v>
      </c>
      <c r="D1063" t="s">
        <v>74</v>
      </c>
      <c r="E1063">
        <v>10</v>
      </c>
      <c r="F1063" s="6">
        <v>95</v>
      </c>
      <c r="G1063" s="7">
        <v>0</v>
      </c>
      <c r="H1063" s="6">
        <v>950</v>
      </c>
      <c r="I1063">
        <v>1</v>
      </c>
      <c r="J1063" s="6">
        <v>95</v>
      </c>
      <c r="K1063">
        <v>9</v>
      </c>
      <c r="L1063" s="6">
        <v>855</v>
      </c>
      <c r="M1063" s="6">
        <v>680.58</v>
      </c>
      <c r="N1063" s="6">
        <v>174.42</v>
      </c>
      <c r="O1063" s="6">
        <v>67.39</v>
      </c>
      <c r="P1063" s="6">
        <v>107.03</v>
      </c>
      <c r="Q1063" t="s">
        <v>75</v>
      </c>
      <c r="R1063" t="s">
        <v>66</v>
      </c>
      <c r="S1063" t="s">
        <v>76</v>
      </c>
    </row>
    <row r="1064" spans="1:19" x14ac:dyDescent="0.35">
      <c r="A1064" t="s">
        <v>1191</v>
      </c>
      <c r="B1064" s="5">
        <v>45934</v>
      </c>
      <c r="C1064" t="s">
        <v>78</v>
      </c>
      <c r="D1064" t="s">
        <v>79</v>
      </c>
      <c r="E1064">
        <v>3</v>
      </c>
      <c r="F1064" s="6">
        <v>120</v>
      </c>
      <c r="G1064" s="7">
        <v>10</v>
      </c>
      <c r="H1064" s="6">
        <v>324</v>
      </c>
      <c r="I1064">
        <v>0</v>
      </c>
      <c r="J1064" s="6">
        <v>0</v>
      </c>
      <c r="K1064">
        <v>3</v>
      </c>
      <c r="L1064" s="6">
        <v>324</v>
      </c>
      <c r="M1064" s="6">
        <v>204.64</v>
      </c>
      <c r="N1064" s="6">
        <v>119.36</v>
      </c>
      <c r="O1064" s="6">
        <v>26.93</v>
      </c>
      <c r="P1064" s="6">
        <v>92.43</v>
      </c>
      <c r="Q1064" t="s">
        <v>81</v>
      </c>
      <c r="R1064" t="s">
        <v>60</v>
      </c>
      <c r="S1064" t="s">
        <v>61</v>
      </c>
    </row>
    <row r="1065" spans="1:19" x14ac:dyDescent="0.35">
      <c r="A1065" t="s">
        <v>1192</v>
      </c>
      <c r="B1065" s="5">
        <v>45683</v>
      </c>
      <c r="C1065" t="s">
        <v>73</v>
      </c>
      <c r="D1065" t="s">
        <v>74</v>
      </c>
      <c r="E1065">
        <v>5</v>
      </c>
      <c r="F1065" s="6">
        <v>280</v>
      </c>
      <c r="G1065" s="7">
        <v>0</v>
      </c>
      <c r="H1065" s="6">
        <v>1400</v>
      </c>
      <c r="I1065">
        <v>0</v>
      </c>
      <c r="J1065" s="6">
        <v>0</v>
      </c>
      <c r="K1065">
        <v>5</v>
      </c>
      <c r="L1065" s="6">
        <v>1400</v>
      </c>
      <c r="M1065" s="6">
        <v>1010.59</v>
      </c>
      <c r="N1065" s="6">
        <v>389.41</v>
      </c>
      <c r="O1065" s="6">
        <v>117.76</v>
      </c>
      <c r="P1065" s="6">
        <v>271.64999999999998</v>
      </c>
      <c r="Q1065" t="s">
        <v>81</v>
      </c>
      <c r="R1065" t="s">
        <v>86</v>
      </c>
      <c r="S1065" t="s">
        <v>61</v>
      </c>
    </row>
    <row r="1066" spans="1:19" x14ac:dyDescent="0.35">
      <c r="A1066" t="s">
        <v>1193</v>
      </c>
      <c r="B1066" s="5">
        <v>45993</v>
      </c>
      <c r="C1066" t="s">
        <v>97</v>
      </c>
      <c r="D1066" t="s">
        <v>57</v>
      </c>
      <c r="E1066">
        <v>3</v>
      </c>
      <c r="F1066" s="6">
        <v>55</v>
      </c>
      <c r="G1066" s="7">
        <v>0</v>
      </c>
      <c r="H1066" s="6">
        <v>165</v>
      </c>
      <c r="I1066">
        <v>0</v>
      </c>
      <c r="J1066" s="6">
        <v>0</v>
      </c>
      <c r="K1066">
        <v>3</v>
      </c>
      <c r="L1066" s="6">
        <v>165</v>
      </c>
      <c r="M1066" s="6">
        <v>126.93</v>
      </c>
      <c r="N1066" s="6">
        <v>38.07</v>
      </c>
      <c r="O1066" s="6">
        <v>9.5</v>
      </c>
      <c r="P1066" s="6">
        <v>28.57</v>
      </c>
      <c r="Q1066" t="s">
        <v>75</v>
      </c>
      <c r="R1066" t="s">
        <v>366</v>
      </c>
      <c r="S1066" t="s">
        <v>67</v>
      </c>
    </row>
    <row r="1067" spans="1:19" x14ac:dyDescent="0.35">
      <c r="A1067" t="s">
        <v>1194</v>
      </c>
      <c r="B1067" s="5">
        <v>45854</v>
      </c>
      <c r="C1067" t="s">
        <v>84</v>
      </c>
      <c r="D1067" t="s">
        <v>85</v>
      </c>
      <c r="E1067">
        <v>2</v>
      </c>
      <c r="F1067" s="6">
        <v>48</v>
      </c>
      <c r="G1067" s="7">
        <v>0</v>
      </c>
      <c r="H1067" s="6">
        <v>96</v>
      </c>
      <c r="I1067">
        <v>0</v>
      </c>
      <c r="J1067" s="6">
        <v>0</v>
      </c>
      <c r="K1067">
        <v>2</v>
      </c>
      <c r="L1067" s="6">
        <v>96</v>
      </c>
      <c r="M1067" s="6">
        <v>79.97</v>
      </c>
      <c r="N1067" s="6">
        <v>16.03</v>
      </c>
      <c r="O1067" s="6">
        <v>11.54</v>
      </c>
      <c r="P1067" s="6">
        <v>4.49</v>
      </c>
      <c r="Q1067" t="s">
        <v>81</v>
      </c>
      <c r="R1067" t="s">
        <v>82</v>
      </c>
      <c r="S1067" t="s">
        <v>61</v>
      </c>
    </row>
    <row r="1068" spans="1:19" x14ac:dyDescent="0.35">
      <c r="A1068" t="s">
        <v>1195</v>
      </c>
      <c r="B1068" s="5">
        <v>45878</v>
      </c>
      <c r="C1068" t="s">
        <v>264</v>
      </c>
      <c r="D1068" t="s">
        <v>85</v>
      </c>
      <c r="E1068">
        <v>3</v>
      </c>
      <c r="F1068" s="6">
        <v>20</v>
      </c>
      <c r="G1068" s="7">
        <v>0</v>
      </c>
      <c r="H1068" s="6">
        <v>60</v>
      </c>
      <c r="I1068">
        <v>0</v>
      </c>
      <c r="J1068" s="6">
        <v>0</v>
      </c>
      <c r="K1068">
        <v>3</v>
      </c>
      <c r="L1068" s="6">
        <v>60</v>
      </c>
      <c r="M1068" s="6">
        <v>48.95</v>
      </c>
      <c r="N1068" s="6">
        <v>11.05</v>
      </c>
      <c r="O1068" s="6">
        <v>7.06</v>
      </c>
      <c r="P1068" s="6">
        <v>3.99</v>
      </c>
      <c r="Q1068" t="s">
        <v>65</v>
      </c>
      <c r="R1068" t="s">
        <v>86</v>
      </c>
      <c r="S1068" t="s">
        <v>76</v>
      </c>
    </row>
    <row r="1069" spans="1:19" x14ac:dyDescent="0.35">
      <c r="A1069" t="s">
        <v>1196</v>
      </c>
      <c r="B1069" s="5">
        <v>45891</v>
      </c>
      <c r="C1069" t="s">
        <v>90</v>
      </c>
      <c r="D1069" t="s">
        <v>70</v>
      </c>
      <c r="E1069">
        <v>2</v>
      </c>
      <c r="F1069" s="6">
        <v>38</v>
      </c>
      <c r="G1069" s="7">
        <v>0</v>
      </c>
      <c r="H1069" s="6">
        <v>76</v>
      </c>
      <c r="I1069">
        <v>0</v>
      </c>
      <c r="J1069" s="6">
        <v>0</v>
      </c>
      <c r="K1069">
        <v>2</v>
      </c>
      <c r="L1069" s="6">
        <v>76</v>
      </c>
      <c r="M1069" s="6">
        <v>50.17</v>
      </c>
      <c r="N1069" s="6">
        <v>25.83</v>
      </c>
      <c r="O1069" s="6">
        <v>7.22</v>
      </c>
      <c r="P1069" s="6">
        <v>18.61</v>
      </c>
      <c r="Q1069" t="s">
        <v>59</v>
      </c>
      <c r="R1069" t="s">
        <v>86</v>
      </c>
      <c r="S1069" t="s">
        <v>76</v>
      </c>
    </row>
    <row r="1070" spans="1:19" x14ac:dyDescent="0.35">
      <c r="A1070" t="s">
        <v>1197</v>
      </c>
      <c r="B1070" s="5">
        <v>45792</v>
      </c>
      <c r="C1070" t="s">
        <v>97</v>
      </c>
      <c r="D1070" t="s">
        <v>57</v>
      </c>
      <c r="E1070">
        <v>1</v>
      </c>
      <c r="F1070" s="6">
        <v>55</v>
      </c>
      <c r="G1070" s="7">
        <v>10</v>
      </c>
      <c r="H1070" s="6">
        <v>49.5</v>
      </c>
      <c r="I1070">
        <v>0</v>
      </c>
      <c r="J1070" s="6">
        <v>0</v>
      </c>
      <c r="K1070">
        <v>1</v>
      </c>
      <c r="L1070" s="6">
        <v>49.5</v>
      </c>
      <c r="M1070" s="6">
        <v>38.49</v>
      </c>
      <c r="N1070" s="6">
        <v>11.01</v>
      </c>
      <c r="O1070" s="6">
        <v>4.4000000000000004</v>
      </c>
      <c r="P1070" s="6">
        <v>6.61</v>
      </c>
      <c r="Q1070" t="s">
        <v>75</v>
      </c>
      <c r="R1070" t="s">
        <v>82</v>
      </c>
      <c r="S1070" t="s">
        <v>61</v>
      </c>
    </row>
    <row r="1071" spans="1:19" x14ac:dyDescent="0.35">
      <c r="A1071" t="s">
        <v>1198</v>
      </c>
      <c r="B1071" s="5">
        <v>45912</v>
      </c>
      <c r="C1071" t="s">
        <v>125</v>
      </c>
      <c r="D1071" t="s">
        <v>85</v>
      </c>
      <c r="E1071">
        <v>2</v>
      </c>
      <c r="F1071" s="6">
        <v>125</v>
      </c>
      <c r="G1071" s="7">
        <v>0</v>
      </c>
      <c r="H1071" s="6">
        <v>250</v>
      </c>
      <c r="I1071">
        <v>0</v>
      </c>
      <c r="J1071" s="6">
        <v>0</v>
      </c>
      <c r="K1071">
        <v>2</v>
      </c>
      <c r="L1071" s="6">
        <v>250</v>
      </c>
      <c r="M1071" s="6">
        <v>212.16</v>
      </c>
      <c r="N1071" s="6">
        <v>37.840000000000003</v>
      </c>
      <c r="O1071" s="6">
        <v>15.99</v>
      </c>
      <c r="P1071" s="6">
        <v>21.85</v>
      </c>
      <c r="Q1071" t="s">
        <v>81</v>
      </c>
      <c r="R1071" t="s">
        <v>82</v>
      </c>
      <c r="S1071" t="s">
        <v>76</v>
      </c>
    </row>
    <row r="1072" spans="1:19" x14ac:dyDescent="0.35">
      <c r="A1072" t="s">
        <v>1199</v>
      </c>
      <c r="B1072" s="5">
        <v>45683</v>
      </c>
      <c r="C1072" t="s">
        <v>78</v>
      </c>
      <c r="D1072" t="s">
        <v>79</v>
      </c>
      <c r="E1072">
        <v>1</v>
      </c>
      <c r="F1072" s="6">
        <v>120</v>
      </c>
      <c r="G1072" s="7">
        <v>2</v>
      </c>
      <c r="H1072" s="6">
        <v>117.6</v>
      </c>
      <c r="I1072">
        <v>0</v>
      </c>
      <c r="J1072" s="6">
        <v>0</v>
      </c>
      <c r="K1072">
        <v>1</v>
      </c>
      <c r="L1072" s="6">
        <v>117.6</v>
      </c>
      <c r="M1072" s="6">
        <v>77.790000000000006</v>
      </c>
      <c r="N1072" s="6">
        <v>39.81</v>
      </c>
      <c r="O1072" s="6">
        <v>6.46</v>
      </c>
      <c r="P1072" s="6">
        <v>33.35</v>
      </c>
      <c r="Q1072" t="s">
        <v>81</v>
      </c>
      <c r="R1072" t="s">
        <v>60</v>
      </c>
      <c r="S1072" t="s">
        <v>76</v>
      </c>
    </row>
    <row r="1073" spans="1:19" x14ac:dyDescent="0.35">
      <c r="A1073" t="s">
        <v>1200</v>
      </c>
      <c r="B1073" s="5">
        <v>45762</v>
      </c>
      <c r="C1073" t="s">
        <v>97</v>
      </c>
      <c r="D1073" t="s">
        <v>57</v>
      </c>
      <c r="E1073">
        <v>1</v>
      </c>
      <c r="F1073" s="6">
        <v>55</v>
      </c>
      <c r="G1073" s="7">
        <v>0</v>
      </c>
      <c r="H1073" s="6">
        <v>55</v>
      </c>
      <c r="I1073">
        <v>0</v>
      </c>
      <c r="J1073" s="6">
        <v>0</v>
      </c>
      <c r="K1073">
        <v>1</v>
      </c>
      <c r="L1073" s="6">
        <v>55</v>
      </c>
      <c r="M1073" s="6">
        <v>44.72</v>
      </c>
      <c r="N1073" s="6">
        <v>10.28</v>
      </c>
      <c r="O1073" s="6">
        <v>6.16</v>
      </c>
      <c r="P1073" s="6">
        <v>4.12</v>
      </c>
      <c r="Q1073" t="s">
        <v>75</v>
      </c>
      <c r="R1073" t="s">
        <v>60</v>
      </c>
      <c r="S1073" t="s">
        <v>76</v>
      </c>
    </row>
    <row r="1074" spans="1:19" x14ac:dyDescent="0.35">
      <c r="A1074" t="s">
        <v>1201</v>
      </c>
      <c r="B1074" s="5">
        <v>45908</v>
      </c>
      <c r="C1074" t="s">
        <v>95</v>
      </c>
      <c r="D1074" t="s">
        <v>64</v>
      </c>
      <c r="E1074">
        <v>5</v>
      </c>
      <c r="F1074" s="6">
        <v>52</v>
      </c>
      <c r="G1074" s="7">
        <v>0</v>
      </c>
      <c r="H1074" s="6">
        <v>260</v>
      </c>
      <c r="I1074">
        <v>0</v>
      </c>
      <c r="J1074" s="6">
        <v>0</v>
      </c>
      <c r="K1074">
        <v>5</v>
      </c>
      <c r="L1074" s="6">
        <v>260</v>
      </c>
      <c r="M1074" s="6">
        <v>186.34</v>
      </c>
      <c r="N1074" s="6">
        <v>73.66</v>
      </c>
      <c r="O1074" s="6">
        <v>28.4</v>
      </c>
      <c r="P1074" s="6">
        <v>45.26</v>
      </c>
      <c r="Q1074" t="s">
        <v>59</v>
      </c>
      <c r="R1074" t="s">
        <v>66</v>
      </c>
      <c r="S1074" t="s">
        <v>67</v>
      </c>
    </row>
    <row r="1075" spans="1:19" x14ac:dyDescent="0.35">
      <c r="A1075" t="s">
        <v>1202</v>
      </c>
      <c r="B1075" s="5">
        <v>45687</v>
      </c>
      <c r="C1075" t="s">
        <v>97</v>
      </c>
      <c r="D1075" t="s">
        <v>57</v>
      </c>
      <c r="E1075">
        <v>2</v>
      </c>
      <c r="F1075" s="6">
        <v>55</v>
      </c>
      <c r="G1075" s="7">
        <v>0</v>
      </c>
      <c r="H1075" s="6">
        <v>110</v>
      </c>
      <c r="I1075">
        <v>0</v>
      </c>
      <c r="J1075" s="6">
        <v>0</v>
      </c>
      <c r="K1075">
        <v>2</v>
      </c>
      <c r="L1075" s="6">
        <v>110</v>
      </c>
      <c r="M1075" s="6">
        <v>68.239999999999995</v>
      </c>
      <c r="N1075" s="6">
        <v>41.76</v>
      </c>
      <c r="O1075" s="6">
        <v>12.12</v>
      </c>
      <c r="P1075" s="6">
        <v>29.64</v>
      </c>
      <c r="Q1075" t="s">
        <v>81</v>
      </c>
      <c r="R1075" t="s">
        <v>86</v>
      </c>
      <c r="S1075" t="s">
        <v>61</v>
      </c>
    </row>
    <row r="1076" spans="1:19" x14ac:dyDescent="0.35">
      <c r="A1076" t="s">
        <v>1203</v>
      </c>
      <c r="B1076" s="5">
        <v>45905</v>
      </c>
      <c r="C1076" t="s">
        <v>73</v>
      </c>
      <c r="D1076" t="s">
        <v>74</v>
      </c>
      <c r="E1076">
        <v>1</v>
      </c>
      <c r="F1076" s="6">
        <v>280</v>
      </c>
      <c r="G1076" s="7">
        <v>0</v>
      </c>
      <c r="H1076" s="6">
        <v>280</v>
      </c>
      <c r="I1076">
        <v>0</v>
      </c>
      <c r="J1076" s="6">
        <v>0</v>
      </c>
      <c r="K1076">
        <v>1</v>
      </c>
      <c r="L1076" s="6">
        <v>280</v>
      </c>
      <c r="M1076" s="6">
        <v>184</v>
      </c>
      <c r="N1076" s="6">
        <v>96</v>
      </c>
      <c r="O1076" s="6">
        <v>21.38</v>
      </c>
      <c r="P1076" s="6">
        <v>74.62</v>
      </c>
      <c r="Q1076" t="s">
        <v>81</v>
      </c>
      <c r="R1076" t="s">
        <v>82</v>
      </c>
      <c r="S1076" t="s">
        <v>76</v>
      </c>
    </row>
    <row r="1077" spans="1:19" x14ac:dyDescent="0.35">
      <c r="A1077" t="s">
        <v>1204</v>
      </c>
      <c r="B1077" s="5">
        <v>45717</v>
      </c>
      <c r="C1077" t="s">
        <v>121</v>
      </c>
      <c r="D1077" t="s">
        <v>70</v>
      </c>
      <c r="E1077">
        <v>8</v>
      </c>
      <c r="F1077" s="6">
        <v>110</v>
      </c>
      <c r="G1077" s="7">
        <v>15</v>
      </c>
      <c r="H1077" s="6">
        <v>748</v>
      </c>
      <c r="I1077">
        <v>1</v>
      </c>
      <c r="J1077" s="6">
        <v>93.5</v>
      </c>
      <c r="K1077">
        <v>7</v>
      </c>
      <c r="L1077" s="6">
        <v>654.5</v>
      </c>
      <c r="M1077" s="6">
        <v>421.14</v>
      </c>
      <c r="N1077" s="6">
        <v>233.36</v>
      </c>
      <c r="O1077" s="6">
        <v>38.08</v>
      </c>
      <c r="P1077" s="6">
        <v>195.28</v>
      </c>
      <c r="Q1077" t="s">
        <v>59</v>
      </c>
      <c r="R1077" t="s">
        <v>86</v>
      </c>
      <c r="S1077" t="s">
        <v>67</v>
      </c>
    </row>
    <row r="1078" spans="1:19" x14ac:dyDescent="0.35">
      <c r="A1078" t="s">
        <v>1205</v>
      </c>
      <c r="B1078" s="5">
        <v>45888</v>
      </c>
      <c r="C1078" t="s">
        <v>95</v>
      </c>
      <c r="D1078" t="s">
        <v>64</v>
      </c>
      <c r="E1078">
        <v>5</v>
      </c>
      <c r="F1078" s="6">
        <v>52</v>
      </c>
      <c r="G1078" s="7">
        <v>0</v>
      </c>
      <c r="H1078" s="6">
        <v>260</v>
      </c>
      <c r="I1078">
        <v>0</v>
      </c>
      <c r="J1078" s="6">
        <v>0</v>
      </c>
      <c r="K1078">
        <v>5</v>
      </c>
      <c r="L1078" s="6">
        <v>260</v>
      </c>
      <c r="M1078" s="6">
        <v>198.92</v>
      </c>
      <c r="N1078" s="6">
        <v>61.08</v>
      </c>
      <c r="O1078" s="6">
        <v>30.94</v>
      </c>
      <c r="P1078" s="6">
        <v>30.14</v>
      </c>
      <c r="Q1078" t="s">
        <v>65</v>
      </c>
      <c r="R1078" t="s">
        <v>60</v>
      </c>
      <c r="S1078" t="s">
        <v>71</v>
      </c>
    </row>
    <row r="1079" spans="1:19" x14ac:dyDescent="0.35">
      <c r="A1079" t="s">
        <v>1206</v>
      </c>
      <c r="B1079" s="5">
        <v>45785</v>
      </c>
      <c r="C1079" t="s">
        <v>73</v>
      </c>
      <c r="D1079" t="s">
        <v>74</v>
      </c>
      <c r="E1079">
        <v>2</v>
      </c>
      <c r="F1079" s="6">
        <v>280</v>
      </c>
      <c r="G1079" s="7">
        <v>10</v>
      </c>
      <c r="H1079" s="6">
        <v>504</v>
      </c>
      <c r="I1079">
        <v>0</v>
      </c>
      <c r="J1079" s="6">
        <v>0</v>
      </c>
      <c r="K1079">
        <v>2</v>
      </c>
      <c r="L1079" s="6">
        <v>504</v>
      </c>
      <c r="M1079" s="6">
        <v>378.11</v>
      </c>
      <c r="N1079" s="6">
        <v>125.89</v>
      </c>
      <c r="O1079" s="6">
        <v>57.86</v>
      </c>
      <c r="P1079" s="6">
        <v>68.03</v>
      </c>
      <c r="Q1079" t="s">
        <v>59</v>
      </c>
      <c r="R1079" t="s">
        <v>60</v>
      </c>
      <c r="S1079" t="s">
        <v>71</v>
      </c>
    </row>
    <row r="1080" spans="1:19" x14ac:dyDescent="0.35">
      <c r="A1080" t="s">
        <v>1207</v>
      </c>
      <c r="B1080" s="5">
        <v>45755</v>
      </c>
      <c r="C1080" t="s">
        <v>73</v>
      </c>
      <c r="D1080" t="s">
        <v>74</v>
      </c>
      <c r="E1080">
        <v>6</v>
      </c>
      <c r="F1080" s="6">
        <v>280</v>
      </c>
      <c r="G1080" s="7">
        <v>0</v>
      </c>
      <c r="H1080" s="6">
        <v>1680</v>
      </c>
      <c r="I1080">
        <v>0</v>
      </c>
      <c r="J1080" s="6">
        <v>0</v>
      </c>
      <c r="K1080">
        <v>6</v>
      </c>
      <c r="L1080" s="6">
        <v>1680</v>
      </c>
      <c r="M1080" s="6">
        <v>1194.27</v>
      </c>
      <c r="N1080" s="6">
        <v>485.73</v>
      </c>
      <c r="O1080" s="6">
        <v>157.47</v>
      </c>
      <c r="P1080" s="6">
        <v>328.26</v>
      </c>
      <c r="Q1080" t="s">
        <v>65</v>
      </c>
      <c r="R1080" t="s">
        <v>66</v>
      </c>
      <c r="S1080" t="s">
        <v>61</v>
      </c>
    </row>
    <row r="1081" spans="1:19" x14ac:dyDescent="0.35">
      <c r="A1081" t="s">
        <v>1208</v>
      </c>
      <c r="B1081" s="5">
        <v>45701</v>
      </c>
      <c r="C1081" t="s">
        <v>56</v>
      </c>
      <c r="D1081" t="s">
        <v>57</v>
      </c>
      <c r="E1081">
        <v>3</v>
      </c>
      <c r="F1081" s="6">
        <v>40</v>
      </c>
      <c r="G1081" s="7">
        <v>0</v>
      </c>
      <c r="H1081" s="6">
        <v>120</v>
      </c>
      <c r="I1081">
        <v>0</v>
      </c>
      <c r="J1081" s="6">
        <v>0</v>
      </c>
      <c r="K1081">
        <v>3</v>
      </c>
      <c r="L1081" s="6">
        <v>120</v>
      </c>
      <c r="M1081" s="6">
        <v>93.15</v>
      </c>
      <c r="N1081" s="6">
        <v>26.85</v>
      </c>
      <c r="O1081" s="6">
        <v>15.22</v>
      </c>
      <c r="P1081" s="6">
        <v>11.63</v>
      </c>
      <c r="Q1081" t="s">
        <v>81</v>
      </c>
      <c r="R1081" t="s">
        <v>82</v>
      </c>
      <c r="S1081" t="s">
        <v>71</v>
      </c>
    </row>
    <row r="1082" spans="1:19" x14ac:dyDescent="0.35">
      <c r="A1082" t="s">
        <v>1209</v>
      </c>
      <c r="B1082" s="5">
        <v>45932</v>
      </c>
      <c r="C1082" t="s">
        <v>63</v>
      </c>
      <c r="D1082" t="s">
        <v>128</v>
      </c>
      <c r="E1082">
        <v>3</v>
      </c>
      <c r="F1082" s="6">
        <v>145</v>
      </c>
      <c r="G1082" s="7">
        <v>0</v>
      </c>
      <c r="H1082" s="6">
        <v>435</v>
      </c>
      <c r="I1082">
        <v>0</v>
      </c>
      <c r="J1082" s="6">
        <v>0</v>
      </c>
      <c r="K1082">
        <v>3</v>
      </c>
      <c r="L1082" s="6">
        <v>435</v>
      </c>
      <c r="M1082" s="6">
        <v>285.95999999999998</v>
      </c>
      <c r="N1082" s="6">
        <v>149.04</v>
      </c>
      <c r="O1082" s="6">
        <v>36.840000000000003</v>
      </c>
      <c r="P1082" s="6">
        <v>112.2</v>
      </c>
      <c r="Q1082" t="s">
        <v>59</v>
      </c>
      <c r="R1082" t="s">
        <v>66</v>
      </c>
      <c r="S1082" t="s">
        <v>61</v>
      </c>
    </row>
    <row r="1083" spans="1:19" x14ac:dyDescent="0.35">
      <c r="A1083" t="s">
        <v>1210</v>
      </c>
      <c r="B1083" s="5">
        <v>45703</v>
      </c>
      <c r="C1083" t="s">
        <v>92</v>
      </c>
      <c r="D1083" t="s">
        <v>79</v>
      </c>
      <c r="E1083">
        <v>3</v>
      </c>
      <c r="F1083" s="6">
        <v>85</v>
      </c>
      <c r="G1083" s="7">
        <v>2</v>
      </c>
      <c r="H1083" s="6">
        <v>249.9</v>
      </c>
      <c r="I1083">
        <v>0</v>
      </c>
      <c r="J1083" s="6">
        <v>0</v>
      </c>
      <c r="K1083">
        <v>3</v>
      </c>
      <c r="L1083" s="6">
        <v>249.9</v>
      </c>
      <c r="M1083" s="6">
        <v>197.34</v>
      </c>
      <c r="N1083" s="6">
        <v>52.56</v>
      </c>
      <c r="O1083" s="6">
        <v>17.54</v>
      </c>
      <c r="P1083" s="6">
        <v>35.020000000000003</v>
      </c>
      <c r="Q1083" t="s">
        <v>59</v>
      </c>
      <c r="R1083" t="s">
        <v>86</v>
      </c>
      <c r="S1083" t="s">
        <v>71</v>
      </c>
    </row>
    <row r="1084" spans="1:19" x14ac:dyDescent="0.35">
      <c r="A1084" t="s">
        <v>1211</v>
      </c>
      <c r="B1084" s="5">
        <v>45676</v>
      </c>
      <c r="C1084" t="s">
        <v>84</v>
      </c>
      <c r="D1084" t="s">
        <v>110</v>
      </c>
      <c r="E1084">
        <v>3</v>
      </c>
      <c r="F1084" s="6">
        <v>48</v>
      </c>
      <c r="G1084" s="7">
        <v>0</v>
      </c>
      <c r="H1084" s="6">
        <v>144</v>
      </c>
      <c r="I1084">
        <v>0</v>
      </c>
      <c r="J1084" s="6">
        <v>0</v>
      </c>
      <c r="K1084">
        <v>3</v>
      </c>
      <c r="L1084" s="6">
        <v>144</v>
      </c>
      <c r="M1084" s="6">
        <v>90.46</v>
      </c>
      <c r="N1084" s="6">
        <v>53.54</v>
      </c>
      <c r="O1084" s="6">
        <v>12.96</v>
      </c>
      <c r="P1084" s="6">
        <v>40.58</v>
      </c>
      <c r="Q1084" t="s">
        <v>65</v>
      </c>
      <c r="R1084" t="s">
        <v>66</v>
      </c>
      <c r="S1084" t="s">
        <v>61</v>
      </c>
    </row>
    <row r="1085" spans="1:19" x14ac:dyDescent="0.35">
      <c r="A1085" t="s">
        <v>1212</v>
      </c>
      <c r="B1085" s="5">
        <v>45963</v>
      </c>
      <c r="C1085" t="s">
        <v>92</v>
      </c>
      <c r="D1085" t="s">
        <v>79</v>
      </c>
      <c r="E1085">
        <v>1</v>
      </c>
      <c r="F1085" s="6">
        <v>85</v>
      </c>
      <c r="G1085" s="7">
        <v>0</v>
      </c>
      <c r="H1085" s="6">
        <v>85</v>
      </c>
      <c r="I1085">
        <v>0</v>
      </c>
      <c r="J1085" s="6">
        <v>0</v>
      </c>
      <c r="K1085">
        <v>1</v>
      </c>
      <c r="L1085" s="6">
        <v>85</v>
      </c>
      <c r="M1085" s="6">
        <v>69.19</v>
      </c>
      <c r="N1085" s="6">
        <v>15.81</v>
      </c>
      <c r="O1085" s="6">
        <v>8.3699999999999992</v>
      </c>
      <c r="P1085" s="6">
        <v>7.44</v>
      </c>
      <c r="Q1085" t="s">
        <v>65</v>
      </c>
      <c r="R1085" t="s">
        <v>60</v>
      </c>
      <c r="S1085" t="s">
        <v>61</v>
      </c>
    </row>
    <row r="1086" spans="1:19" x14ac:dyDescent="0.35">
      <c r="A1086" t="s">
        <v>1213</v>
      </c>
      <c r="B1086" s="5">
        <v>45813</v>
      </c>
      <c r="C1086" t="s">
        <v>125</v>
      </c>
      <c r="D1086" t="s">
        <v>85</v>
      </c>
      <c r="E1086">
        <v>3</v>
      </c>
      <c r="F1086" s="6">
        <v>125</v>
      </c>
      <c r="G1086" s="7">
        <v>0</v>
      </c>
      <c r="H1086" s="6">
        <v>375</v>
      </c>
      <c r="I1086">
        <v>0</v>
      </c>
      <c r="J1086" s="6">
        <v>0</v>
      </c>
      <c r="K1086">
        <v>3</v>
      </c>
      <c r="L1086" s="6">
        <v>375</v>
      </c>
      <c r="M1086" s="6">
        <v>234.7</v>
      </c>
      <c r="N1086" s="6">
        <v>140.30000000000001</v>
      </c>
      <c r="O1086" s="6">
        <v>19.11</v>
      </c>
      <c r="P1086" s="6">
        <v>121.19</v>
      </c>
      <c r="Q1086" t="s">
        <v>81</v>
      </c>
      <c r="R1086" t="s">
        <v>82</v>
      </c>
      <c r="S1086" t="s">
        <v>67</v>
      </c>
    </row>
    <row r="1087" spans="1:19" x14ac:dyDescent="0.35">
      <c r="A1087" t="s">
        <v>1214</v>
      </c>
      <c r="B1087" s="5">
        <v>45743</v>
      </c>
      <c r="C1087" t="s">
        <v>95</v>
      </c>
      <c r="D1087" t="s">
        <v>64</v>
      </c>
      <c r="E1087">
        <v>1</v>
      </c>
      <c r="F1087" s="6">
        <v>52</v>
      </c>
      <c r="G1087" s="7">
        <v>10</v>
      </c>
      <c r="H1087" s="6">
        <v>46.8</v>
      </c>
      <c r="I1087">
        <v>0</v>
      </c>
      <c r="J1087" s="6">
        <v>0</v>
      </c>
      <c r="K1087">
        <v>1</v>
      </c>
      <c r="L1087" s="6">
        <v>46.8</v>
      </c>
      <c r="M1087" s="6">
        <v>33.68</v>
      </c>
      <c r="N1087" s="6">
        <v>13.12</v>
      </c>
      <c r="O1087" s="6">
        <v>3.65</v>
      </c>
      <c r="P1087" s="6">
        <v>9.4700000000000006</v>
      </c>
      <c r="Q1087" t="s">
        <v>65</v>
      </c>
      <c r="R1087" t="s">
        <v>82</v>
      </c>
      <c r="S1087" t="s">
        <v>67</v>
      </c>
    </row>
    <row r="1088" spans="1:19" x14ac:dyDescent="0.35">
      <c r="A1088" t="s">
        <v>1215</v>
      </c>
      <c r="B1088" s="5">
        <v>45758</v>
      </c>
      <c r="C1088" t="s">
        <v>114</v>
      </c>
      <c r="D1088" t="s">
        <v>64</v>
      </c>
      <c r="E1088">
        <v>2</v>
      </c>
      <c r="F1088" s="6">
        <v>420</v>
      </c>
      <c r="G1088" s="7">
        <v>0</v>
      </c>
      <c r="H1088" s="6">
        <v>840</v>
      </c>
      <c r="I1088">
        <v>0</v>
      </c>
      <c r="J1088" s="6">
        <v>0</v>
      </c>
      <c r="K1088">
        <v>2</v>
      </c>
      <c r="L1088" s="6">
        <v>840</v>
      </c>
      <c r="M1088" s="6">
        <v>670.8</v>
      </c>
      <c r="N1088" s="6">
        <v>169.2</v>
      </c>
      <c r="O1088" s="6">
        <v>46.56</v>
      </c>
      <c r="P1088" s="6">
        <v>122.64</v>
      </c>
      <c r="Q1088" t="s">
        <v>81</v>
      </c>
      <c r="R1088" t="s">
        <v>86</v>
      </c>
      <c r="S1088" t="s">
        <v>61</v>
      </c>
    </row>
    <row r="1089" spans="1:19" x14ac:dyDescent="0.35">
      <c r="A1089" t="s">
        <v>1216</v>
      </c>
      <c r="B1089" s="5">
        <v>45822</v>
      </c>
      <c r="C1089" t="s">
        <v>280</v>
      </c>
      <c r="D1089" t="s">
        <v>64</v>
      </c>
      <c r="E1089">
        <v>4</v>
      </c>
      <c r="F1089" s="6">
        <v>310</v>
      </c>
      <c r="G1089" s="7">
        <v>0</v>
      </c>
      <c r="H1089" s="6">
        <v>1240</v>
      </c>
      <c r="I1089">
        <v>0</v>
      </c>
      <c r="J1089" s="6">
        <v>0</v>
      </c>
      <c r="K1089">
        <v>4</v>
      </c>
      <c r="L1089" s="6">
        <v>1240</v>
      </c>
      <c r="M1089" s="6">
        <v>1033.4000000000001</v>
      </c>
      <c r="N1089" s="6">
        <v>206.6</v>
      </c>
      <c r="O1089" s="6">
        <v>114.12</v>
      </c>
      <c r="P1089" s="6">
        <v>92.48</v>
      </c>
      <c r="Q1089" t="s">
        <v>65</v>
      </c>
      <c r="R1089" t="s">
        <v>66</v>
      </c>
      <c r="S1089" t="s">
        <v>61</v>
      </c>
    </row>
    <row r="1090" spans="1:19" x14ac:dyDescent="0.35">
      <c r="A1090" t="s">
        <v>1217</v>
      </c>
      <c r="B1090" s="5">
        <v>45964</v>
      </c>
      <c r="C1090" t="s">
        <v>107</v>
      </c>
      <c r="D1090" t="s">
        <v>74</v>
      </c>
      <c r="E1090">
        <v>4</v>
      </c>
      <c r="F1090" s="6">
        <v>125</v>
      </c>
      <c r="G1090" s="7">
        <v>5</v>
      </c>
      <c r="H1090" s="6">
        <v>475</v>
      </c>
      <c r="I1090">
        <v>0</v>
      </c>
      <c r="J1090" s="6">
        <v>0</v>
      </c>
      <c r="K1090">
        <v>4</v>
      </c>
      <c r="L1090" s="6">
        <v>475</v>
      </c>
      <c r="M1090" s="6">
        <v>377.34</v>
      </c>
      <c r="N1090" s="6">
        <v>97.66</v>
      </c>
      <c r="O1090" s="6">
        <v>55.37</v>
      </c>
      <c r="P1090" s="6">
        <v>42.29</v>
      </c>
      <c r="Q1090" t="s">
        <v>75</v>
      </c>
      <c r="R1090" t="s">
        <v>66</v>
      </c>
      <c r="S1090" t="s">
        <v>61</v>
      </c>
    </row>
    <row r="1091" spans="1:19" x14ac:dyDescent="0.35">
      <c r="A1091" t="s">
        <v>1218</v>
      </c>
      <c r="B1091" s="5">
        <v>45728</v>
      </c>
      <c r="C1091" t="s">
        <v>264</v>
      </c>
      <c r="D1091" t="s">
        <v>85</v>
      </c>
      <c r="E1091">
        <v>1</v>
      </c>
      <c r="F1091" s="6">
        <v>20</v>
      </c>
      <c r="G1091" s="7">
        <v>5</v>
      </c>
      <c r="H1091" s="6">
        <v>19</v>
      </c>
      <c r="I1091">
        <v>0</v>
      </c>
      <c r="J1091" s="6">
        <v>0</v>
      </c>
      <c r="K1091">
        <v>1</v>
      </c>
      <c r="L1091" s="6">
        <v>19</v>
      </c>
      <c r="M1091" s="6">
        <v>12.93</v>
      </c>
      <c r="N1091" s="6">
        <v>6.07</v>
      </c>
      <c r="O1091" s="6">
        <v>1.54</v>
      </c>
      <c r="P1091" s="6">
        <v>4.53</v>
      </c>
      <c r="Q1091" t="s">
        <v>81</v>
      </c>
      <c r="R1091" t="s">
        <v>86</v>
      </c>
      <c r="S1091" t="s">
        <v>71</v>
      </c>
    </row>
    <row r="1092" spans="1:19" x14ac:dyDescent="0.35">
      <c r="A1092" t="s">
        <v>1219</v>
      </c>
      <c r="B1092" s="5">
        <v>45787</v>
      </c>
      <c r="C1092" t="s">
        <v>208</v>
      </c>
      <c r="D1092" t="s">
        <v>85</v>
      </c>
      <c r="E1092">
        <v>1</v>
      </c>
      <c r="F1092" s="6">
        <v>20</v>
      </c>
      <c r="G1092" s="7">
        <v>2</v>
      </c>
      <c r="H1092" s="6">
        <v>19.600000000000001</v>
      </c>
      <c r="I1092">
        <v>0</v>
      </c>
      <c r="J1092" s="6">
        <v>0</v>
      </c>
      <c r="K1092">
        <v>1</v>
      </c>
      <c r="L1092" s="6">
        <v>19.600000000000001</v>
      </c>
      <c r="M1092" s="6">
        <v>14.97</v>
      </c>
      <c r="N1092" s="6">
        <v>4.63</v>
      </c>
      <c r="O1092" s="6">
        <v>1.66</v>
      </c>
      <c r="P1092" s="6">
        <v>2.97</v>
      </c>
      <c r="Q1092" t="s">
        <v>75</v>
      </c>
      <c r="R1092" t="s">
        <v>60</v>
      </c>
      <c r="S1092" t="s">
        <v>61</v>
      </c>
    </row>
    <row r="1093" spans="1:19" x14ac:dyDescent="0.35">
      <c r="A1093" t="s">
        <v>1220</v>
      </c>
      <c r="B1093" s="5">
        <v>45991</v>
      </c>
      <c r="C1093" t="s">
        <v>104</v>
      </c>
      <c r="D1093" t="s">
        <v>105</v>
      </c>
      <c r="E1093" t="s">
        <v>58</v>
      </c>
      <c r="F1093" s="6">
        <v>65</v>
      </c>
      <c r="G1093" s="7">
        <v>0</v>
      </c>
      <c r="H1093" s="6">
        <v>325</v>
      </c>
      <c r="I1093">
        <v>0</v>
      </c>
      <c r="J1093" s="6">
        <v>0</v>
      </c>
      <c r="K1093">
        <v>5</v>
      </c>
      <c r="L1093" s="6">
        <v>325</v>
      </c>
      <c r="M1093" s="6">
        <v>274.16000000000003</v>
      </c>
      <c r="N1093" s="6">
        <v>50.84</v>
      </c>
      <c r="O1093" s="6">
        <v>35.700000000000003</v>
      </c>
      <c r="P1093" s="6">
        <v>15.14</v>
      </c>
      <c r="Q1093" t="s">
        <v>65</v>
      </c>
      <c r="R1093" t="s">
        <v>60</v>
      </c>
      <c r="S1093" t="s">
        <v>71</v>
      </c>
    </row>
    <row r="1094" spans="1:19" x14ac:dyDescent="0.35">
      <c r="A1094" t="s">
        <v>1221</v>
      </c>
      <c r="B1094" s="5">
        <v>45879</v>
      </c>
      <c r="C1094" t="s">
        <v>84</v>
      </c>
      <c r="D1094" t="s">
        <v>85</v>
      </c>
      <c r="E1094">
        <v>1</v>
      </c>
      <c r="F1094" s="6">
        <v>48</v>
      </c>
      <c r="G1094" s="7">
        <v>0</v>
      </c>
      <c r="H1094" s="6">
        <v>48</v>
      </c>
      <c r="I1094">
        <v>0</v>
      </c>
      <c r="J1094" s="6">
        <v>0</v>
      </c>
      <c r="K1094">
        <v>1</v>
      </c>
      <c r="L1094" s="6">
        <v>48</v>
      </c>
      <c r="M1094" s="6">
        <v>38.28</v>
      </c>
      <c r="N1094" s="6">
        <v>9.7200000000000006</v>
      </c>
      <c r="O1094" s="6">
        <v>5.23</v>
      </c>
      <c r="P1094" s="6">
        <v>4.49</v>
      </c>
      <c r="Q1094" t="s">
        <v>75</v>
      </c>
      <c r="R1094" t="s">
        <v>82</v>
      </c>
      <c r="S1094" t="s">
        <v>61</v>
      </c>
    </row>
    <row r="1095" spans="1:19" x14ac:dyDescent="0.35">
      <c r="A1095" t="s">
        <v>1222</v>
      </c>
      <c r="B1095" s="5">
        <v>45704</v>
      </c>
      <c r="C1095" t="s">
        <v>104</v>
      </c>
      <c r="D1095" t="s">
        <v>226</v>
      </c>
      <c r="E1095">
        <v>1</v>
      </c>
      <c r="F1095" s="6">
        <v>65</v>
      </c>
      <c r="G1095" s="7">
        <v>5</v>
      </c>
      <c r="H1095" s="6">
        <v>61.75</v>
      </c>
      <c r="I1095">
        <v>0</v>
      </c>
      <c r="J1095" s="6">
        <v>0</v>
      </c>
      <c r="K1095">
        <v>1</v>
      </c>
      <c r="L1095" s="6">
        <v>61.75</v>
      </c>
      <c r="M1095" s="6">
        <v>50.02</v>
      </c>
      <c r="N1095" s="6">
        <v>11.73</v>
      </c>
      <c r="O1095" s="6">
        <v>5.0599999999999996</v>
      </c>
      <c r="P1095" s="6">
        <v>6.67</v>
      </c>
      <c r="Q1095" t="s">
        <v>75</v>
      </c>
      <c r="R1095" t="s">
        <v>60</v>
      </c>
      <c r="S1095" t="s">
        <v>76</v>
      </c>
    </row>
    <row r="1096" spans="1:19" x14ac:dyDescent="0.35">
      <c r="A1096" t="s">
        <v>1223</v>
      </c>
      <c r="B1096" s="5">
        <v>45927</v>
      </c>
      <c r="C1096" t="s">
        <v>69</v>
      </c>
      <c r="D1096" t="s">
        <v>70</v>
      </c>
      <c r="E1096">
        <v>3</v>
      </c>
      <c r="F1096" s="6">
        <v>210</v>
      </c>
      <c r="G1096" s="7">
        <v>5</v>
      </c>
      <c r="H1096" s="6">
        <v>598.5</v>
      </c>
      <c r="I1096">
        <v>0</v>
      </c>
      <c r="J1096" s="6">
        <v>0</v>
      </c>
      <c r="K1096">
        <v>3</v>
      </c>
      <c r="L1096" s="6">
        <v>598.5</v>
      </c>
      <c r="M1096" s="6">
        <v>419.79</v>
      </c>
      <c r="N1096" s="6">
        <v>178.71</v>
      </c>
      <c r="O1096" s="6">
        <v>43.26</v>
      </c>
      <c r="P1096" s="6">
        <v>135.44999999999999</v>
      </c>
      <c r="Q1096" t="s">
        <v>65</v>
      </c>
      <c r="R1096" t="s">
        <v>60</v>
      </c>
      <c r="S1096" t="s">
        <v>71</v>
      </c>
    </row>
    <row r="1097" spans="1:19" x14ac:dyDescent="0.35">
      <c r="A1097" t="s">
        <v>1224</v>
      </c>
      <c r="B1097" s="5">
        <v>45763</v>
      </c>
      <c r="C1097" t="s">
        <v>104</v>
      </c>
      <c r="D1097" t="s">
        <v>105</v>
      </c>
      <c r="E1097">
        <v>2</v>
      </c>
      <c r="F1097" s="6">
        <v>65</v>
      </c>
      <c r="G1097" s="7">
        <v>0</v>
      </c>
      <c r="H1097" s="6">
        <v>130</v>
      </c>
      <c r="I1097">
        <v>0</v>
      </c>
      <c r="J1097" s="6">
        <v>0</v>
      </c>
      <c r="K1097">
        <v>2</v>
      </c>
      <c r="L1097" s="6">
        <v>130</v>
      </c>
      <c r="M1097" s="6">
        <v>94.2</v>
      </c>
      <c r="N1097" s="6">
        <v>35.799999999999997</v>
      </c>
      <c r="O1097" s="6">
        <v>6.67</v>
      </c>
      <c r="P1097" s="6">
        <v>29.13</v>
      </c>
      <c r="Q1097" t="s">
        <v>59</v>
      </c>
      <c r="R1097" t="s">
        <v>60</v>
      </c>
      <c r="S1097" t="s">
        <v>67</v>
      </c>
    </row>
    <row r="1098" spans="1:19" x14ac:dyDescent="0.35">
      <c r="A1098" t="s">
        <v>1225</v>
      </c>
      <c r="B1098" s="5">
        <v>45837</v>
      </c>
      <c r="C1098" t="s">
        <v>95</v>
      </c>
      <c r="D1098" t="s">
        <v>64</v>
      </c>
      <c r="E1098">
        <v>4</v>
      </c>
      <c r="F1098" s="6">
        <v>52</v>
      </c>
      <c r="G1098" s="7">
        <v>10</v>
      </c>
      <c r="H1098" s="6">
        <v>187.2</v>
      </c>
      <c r="I1098">
        <v>0</v>
      </c>
      <c r="J1098" s="6">
        <v>0</v>
      </c>
      <c r="K1098">
        <v>4</v>
      </c>
      <c r="L1098" s="6">
        <v>187.2</v>
      </c>
      <c r="M1098" s="6">
        <v>118.66</v>
      </c>
      <c r="N1098" s="6">
        <v>68.540000000000006</v>
      </c>
      <c r="O1098" s="6">
        <v>20.09</v>
      </c>
      <c r="P1098" s="6">
        <v>48.45</v>
      </c>
      <c r="Q1098" t="s">
        <v>65</v>
      </c>
      <c r="R1098" t="s">
        <v>86</v>
      </c>
      <c r="S1098" t="s">
        <v>61</v>
      </c>
    </row>
    <row r="1099" spans="1:19" x14ac:dyDescent="0.35">
      <c r="A1099" t="s">
        <v>1226</v>
      </c>
      <c r="B1099" s="5">
        <v>45919</v>
      </c>
      <c r="C1099" t="s">
        <v>100</v>
      </c>
      <c r="D1099" t="s">
        <v>64</v>
      </c>
      <c r="E1099">
        <v>3</v>
      </c>
      <c r="F1099" s="6">
        <v>310</v>
      </c>
      <c r="G1099" s="7">
        <v>0</v>
      </c>
      <c r="H1099" s="6">
        <v>930</v>
      </c>
      <c r="I1099">
        <v>0</v>
      </c>
      <c r="J1099" s="6">
        <v>0</v>
      </c>
      <c r="K1099">
        <v>3</v>
      </c>
      <c r="L1099" s="6">
        <v>930</v>
      </c>
      <c r="M1099" s="6">
        <v>611.83000000000004</v>
      </c>
      <c r="N1099" s="6">
        <v>318.17</v>
      </c>
      <c r="O1099" s="6">
        <v>83.15</v>
      </c>
      <c r="P1099" s="6">
        <v>235.02</v>
      </c>
      <c r="Q1099" t="s">
        <v>65</v>
      </c>
      <c r="R1099" t="s">
        <v>60</v>
      </c>
      <c r="S1099" t="s">
        <v>71</v>
      </c>
    </row>
    <row r="1100" spans="1:19" x14ac:dyDescent="0.35">
      <c r="A1100" t="s">
        <v>1227</v>
      </c>
      <c r="B1100" s="5">
        <v>45865</v>
      </c>
      <c r="C1100" t="s">
        <v>599</v>
      </c>
      <c r="D1100" t="s">
        <v>70</v>
      </c>
      <c r="E1100">
        <v>5</v>
      </c>
      <c r="F1100" s="6">
        <v>110</v>
      </c>
      <c r="G1100" s="7">
        <v>0</v>
      </c>
      <c r="H1100" s="6">
        <v>550</v>
      </c>
      <c r="I1100">
        <v>0</v>
      </c>
      <c r="J1100" s="6">
        <v>0</v>
      </c>
      <c r="K1100">
        <v>5</v>
      </c>
      <c r="L1100" s="6">
        <v>550</v>
      </c>
      <c r="M1100" s="6">
        <v>369.88</v>
      </c>
      <c r="N1100" s="6">
        <v>180.12</v>
      </c>
      <c r="O1100" s="6">
        <v>34.340000000000003</v>
      </c>
      <c r="P1100" s="6">
        <v>145.78</v>
      </c>
      <c r="Q1100" t="s">
        <v>75</v>
      </c>
      <c r="R1100" t="s">
        <v>60</v>
      </c>
      <c r="S1100" t="s">
        <v>61</v>
      </c>
    </row>
    <row r="1101" spans="1:19" x14ac:dyDescent="0.35">
      <c r="A1101" t="s">
        <v>1228</v>
      </c>
      <c r="B1101" s="5">
        <v>45664</v>
      </c>
      <c r="C1101" t="s">
        <v>56</v>
      </c>
      <c r="D1101" t="s">
        <v>57</v>
      </c>
      <c r="E1101">
        <v>5</v>
      </c>
      <c r="F1101" s="6">
        <v>40</v>
      </c>
      <c r="G1101" s="7">
        <v>0</v>
      </c>
      <c r="H1101" s="6">
        <v>200</v>
      </c>
      <c r="I1101">
        <v>0</v>
      </c>
      <c r="J1101" s="6">
        <v>0</v>
      </c>
      <c r="K1101">
        <v>5</v>
      </c>
      <c r="L1101" s="6">
        <v>200</v>
      </c>
      <c r="M1101" s="6">
        <v>155.41999999999999</v>
      </c>
      <c r="N1101" s="6">
        <v>44.58</v>
      </c>
      <c r="O1101" s="6">
        <v>19.38</v>
      </c>
      <c r="P1101" s="6">
        <v>25.2</v>
      </c>
      <c r="Q1101" t="s">
        <v>65</v>
      </c>
      <c r="R1101" t="s">
        <v>86</v>
      </c>
      <c r="S1101" t="s">
        <v>76</v>
      </c>
    </row>
    <row r="1102" spans="1:19" x14ac:dyDescent="0.35">
      <c r="A1102" t="s">
        <v>1229</v>
      </c>
      <c r="B1102" s="5">
        <v>45987</v>
      </c>
      <c r="C1102" t="s">
        <v>56</v>
      </c>
      <c r="D1102" t="s">
        <v>57</v>
      </c>
      <c r="E1102">
        <v>1</v>
      </c>
      <c r="F1102" s="6">
        <v>40</v>
      </c>
      <c r="G1102" s="7">
        <v>15</v>
      </c>
      <c r="H1102" s="6">
        <v>34</v>
      </c>
      <c r="I1102">
        <v>0</v>
      </c>
      <c r="J1102" s="6">
        <v>0</v>
      </c>
      <c r="K1102">
        <v>1</v>
      </c>
      <c r="L1102" s="6">
        <v>34</v>
      </c>
      <c r="M1102" s="6">
        <v>22.12</v>
      </c>
      <c r="N1102" s="6">
        <v>11.88</v>
      </c>
      <c r="O1102" s="6">
        <v>4.09</v>
      </c>
      <c r="P1102" s="6">
        <v>7.79</v>
      </c>
      <c r="Q1102" t="s">
        <v>65</v>
      </c>
      <c r="R1102" t="s">
        <v>60</v>
      </c>
      <c r="S1102" t="s">
        <v>61</v>
      </c>
    </row>
    <row r="1103" spans="1:19" x14ac:dyDescent="0.35">
      <c r="A1103" t="s">
        <v>1230</v>
      </c>
      <c r="B1103" s="5">
        <v>45823</v>
      </c>
      <c r="C1103" t="s">
        <v>90</v>
      </c>
      <c r="D1103" t="s">
        <v>70</v>
      </c>
      <c r="E1103">
        <v>3</v>
      </c>
      <c r="F1103" s="6">
        <v>38</v>
      </c>
      <c r="G1103" s="7">
        <v>5</v>
      </c>
      <c r="H1103" s="6">
        <v>108.3</v>
      </c>
      <c r="I1103">
        <v>0</v>
      </c>
      <c r="J1103" s="6">
        <v>0</v>
      </c>
      <c r="K1103">
        <v>3</v>
      </c>
      <c r="L1103" s="6">
        <v>108.3</v>
      </c>
      <c r="M1103" s="6">
        <v>82.31</v>
      </c>
      <c r="N1103" s="6">
        <v>25.99</v>
      </c>
      <c r="O1103" s="6">
        <v>11.09</v>
      </c>
      <c r="P1103" s="6">
        <v>14.9</v>
      </c>
      <c r="Q1103" t="s">
        <v>81</v>
      </c>
      <c r="R1103" t="s">
        <v>82</v>
      </c>
      <c r="S1103" t="s">
        <v>76</v>
      </c>
    </row>
    <row r="1104" spans="1:19" x14ac:dyDescent="0.35">
      <c r="A1104" t="s">
        <v>1231</v>
      </c>
      <c r="B1104" s="5">
        <v>45773</v>
      </c>
      <c r="C1104" t="s">
        <v>90</v>
      </c>
      <c r="D1104" t="s">
        <v>70</v>
      </c>
      <c r="E1104">
        <v>1</v>
      </c>
      <c r="F1104" s="6">
        <v>38</v>
      </c>
      <c r="G1104" s="7">
        <v>0</v>
      </c>
      <c r="H1104" s="6">
        <v>38</v>
      </c>
      <c r="I1104">
        <v>0</v>
      </c>
      <c r="J1104" s="6">
        <v>0</v>
      </c>
      <c r="K1104">
        <v>1</v>
      </c>
      <c r="L1104" s="6">
        <v>38</v>
      </c>
      <c r="M1104" s="6">
        <v>28.89</v>
      </c>
      <c r="N1104" s="6">
        <v>9.11</v>
      </c>
      <c r="O1104" s="6">
        <v>2.0499999999999998</v>
      </c>
      <c r="P1104" s="6">
        <v>7.06</v>
      </c>
      <c r="Q1104" t="s">
        <v>75</v>
      </c>
      <c r="R1104" t="s">
        <v>82</v>
      </c>
      <c r="S1104" t="s">
        <v>61</v>
      </c>
    </row>
    <row r="1105" spans="1:19" x14ac:dyDescent="0.35">
      <c r="A1105" t="s">
        <v>1232</v>
      </c>
      <c r="B1105" s="5">
        <v>45806</v>
      </c>
      <c r="C1105" t="s">
        <v>100</v>
      </c>
      <c r="D1105" t="s">
        <v>64</v>
      </c>
      <c r="E1105">
        <v>1</v>
      </c>
      <c r="F1105" s="6">
        <v>310</v>
      </c>
      <c r="G1105" s="7">
        <v>5</v>
      </c>
      <c r="H1105" s="6">
        <v>294.5</v>
      </c>
      <c r="I1105">
        <v>0</v>
      </c>
      <c r="J1105" s="6">
        <v>0</v>
      </c>
      <c r="K1105">
        <v>1</v>
      </c>
      <c r="L1105" s="6">
        <v>294.5</v>
      </c>
      <c r="M1105" s="6">
        <v>248.54</v>
      </c>
      <c r="N1105" s="6">
        <v>45.96</v>
      </c>
      <c r="O1105" s="6">
        <v>25.07</v>
      </c>
      <c r="P1105" s="6">
        <v>20.89</v>
      </c>
      <c r="Q1105" t="s">
        <v>81</v>
      </c>
      <c r="R1105" t="s">
        <v>66</v>
      </c>
      <c r="S1105" t="s">
        <v>67</v>
      </c>
    </row>
    <row r="1106" spans="1:19" x14ac:dyDescent="0.35">
      <c r="A1106" t="s">
        <v>1233</v>
      </c>
      <c r="B1106" s="5">
        <v>45676</v>
      </c>
      <c r="C1106" t="s">
        <v>90</v>
      </c>
      <c r="D1106" t="s">
        <v>70</v>
      </c>
      <c r="E1106">
        <v>1</v>
      </c>
      <c r="F1106" s="6">
        <v>38</v>
      </c>
      <c r="G1106" s="7">
        <v>2</v>
      </c>
      <c r="H1106" s="6">
        <v>37.24</v>
      </c>
      <c r="I1106">
        <v>0</v>
      </c>
      <c r="J1106" s="6">
        <v>0</v>
      </c>
      <c r="K1106">
        <v>1</v>
      </c>
      <c r="L1106" s="6">
        <v>37.24</v>
      </c>
      <c r="M1106" s="6">
        <v>27.4</v>
      </c>
      <c r="N1106" s="6">
        <v>9.84</v>
      </c>
      <c r="O1106" s="6">
        <v>2.5</v>
      </c>
      <c r="P1106" s="6">
        <v>7.34</v>
      </c>
      <c r="Q1106" t="s">
        <v>59</v>
      </c>
      <c r="R1106" t="s">
        <v>86</v>
      </c>
      <c r="S1106" t="s">
        <v>71</v>
      </c>
    </row>
    <row r="1107" spans="1:19" x14ac:dyDescent="0.35">
      <c r="A1107" t="s">
        <v>1234</v>
      </c>
      <c r="B1107" s="5">
        <v>45671</v>
      </c>
      <c r="C1107" t="s">
        <v>97</v>
      </c>
      <c r="D1107" t="s">
        <v>57</v>
      </c>
      <c r="E1107">
        <v>3</v>
      </c>
      <c r="F1107" s="6">
        <v>55</v>
      </c>
      <c r="G1107" s="7">
        <v>0</v>
      </c>
      <c r="H1107" s="6">
        <v>165</v>
      </c>
      <c r="I1107">
        <v>0</v>
      </c>
      <c r="J1107" s="6">
        <v>0</v>
      </c>
      <c r="K1107">
        <v>3</v>
      </c>
      <c r="L1107" s="6">
        <v>165</v>
      </c>
      <c r="M1107" s="6">
        <v>135.38999999999999</v>
      </c>
      <c r="N1107" s="6">
        <v>29.61</v>
      </c>
      <c r="O1107" s="6">
        <v>19.13</v>
      </c>
      <c r="P1107" s="6">
        <v>10.48</v>
      </c>
      <c r="Q1107" t="s">
        <v>75</v>
      </c>
      <c r="R1107" t="s">
        <v>60</v>
      </c>
      <c r="S1107" t="s">
        <v>61</v>
      </c>
    </row>
    <row r="1108" spans="1:19" x14ac:dyDescent="0.35">
      <c r="A1108" t="s">
        <v>1235</v>
      </c>
      <c r="B1108" s="5">
        <v>45771</v>
      </c>
      <c r="C1108" t="s">
        <v>95</v>
      </c>
      <c r="D1108" t="s">
        <v>64</v>
      </c>
      <c r="E1108">
        <v>3</v>
      </c>
      <c r="F1108" s="6">
        <v>52</v>
      </c>
      <c r="G1108" s="7">
        <v>2</v>
      </c>
      <c r="H1108" s="6">
        <v>152.88</v>
      </c>
      <c r="I1108">
        <v>0</v>
      </c>
      <c r="J1108" s="6">
        <v>0</v>
      </c>
      <c r="K1108">
        <v>3</v>
      </c>
      <c r="L1108" s="6">
        <v>152.88</v>
      </c>
      <c r="M1108" s="6">
        <v>118.17</v>
      </c>
      <c r="N1108" s="6">
        <v>34.71</v>
      </c>
      <c r="O1108" s="6">
        <v>10.39</v>
      </c>
      <c r="P1108" s="6">
        <v>24.32</v>
      </c>
      <c r="Q1108" t="s">
        <v>75</v>
      </c>
      <c r="R1108" t="s">
        <v>60</v>
      </c>
      <c r="S1108" t="s">
        <v>76</v>
      </c>
    </row>
    <row r="1109" spans="1:19" x14ac:dyDescent="0.35">
      <c r="A1109" t="s">
        <v>1236</v>
      </c>
      <c r="B1109" s="5">
        <v>46019</v>
      </c>
      <c r="C1109" t="s">
        <v>264</v>
      </c>
      <c r="D1109" t="s">
        <v>85</v>
      </c>
      <c r="E1109">
        <v>1</v>
      </c>
      <c r="F1109" s="6">
        <v>20</v>
      </c>
      <c r="G1109" s="7">
        <v>0</v>
      </c>
      <c r="H1109" s="6">
        <v>20</v>
      </c>
      <c r="I1109">
        <v>0</v>
      </c>
      <c r="J1109" s="6">
        <v>0</v>
      </c>
      <c r="K1109">
        <v>1</v>
      </c>
      <c r="L1109" s="6">
        <v>20</v>
      </c>
      <c r="M1109" s="6">
        <v>14.19</v>
      </c>
      <c r="N1109" s="6">
        <v>5.81</v>
      </c>
      <c r="O1109" s="6">
        <v>1.94</v>
      </c>
      <c r="P1109" s="6">
        <v>3.87</v>
      </c>
      <c r="Q1109" t="s">
        <v>75</v>
      </c>
      <c r="R1109" t="s">
        <v>66</v>
      </c>
      <c r="S1109" t="s">
        <v>67</v>
      </c>
    </row>
    <row r="1110" spans="1:19" x14ac:dyDescent="0.35">
      <c r="A1110" t="s">
        <v>1237</v>
      </c>
      <c r="B1110" s="5">
        <v>45969</v>
      </c>
      <c r="C1110" t="s">
        <v>73</v>
      </c>
      <c r="D1110" t="s">
        <v>74</v>
      </c>
      <c r="E1110">
        <v>5</v>
      </c>
      <c r="F1110" s="6">
        <v>280</v>
      </c>
      <c r="G1110" s="7">
        <v>2</v>
      </c>
      <c r="H1110" s="6">
        <v>1372</v>
      </c>
      <c r="I1110">
        <v>0</v>
      </c>
      <c r="J1110" s="6">
        <v>0</v>
      </c>
      <c r="K1110">
        <v>5</v>
      </c>
      <c r="L1110" s="6">
        <v>1372</v>
      </c>
      <c r="M1110" s="6">
        <v>1089.33</v>
      </c>
      <c r="N1110" s="6">
        <v>282.67</v>
      </c>
      <c r="O1110" s="6">
        <v>102.73</v>
      </c>
      <c r="P1110" s="6">
        <v>179.94</v>
      </c>
      <c r="Q1110" t="s">
        <v>65</v>
      </c>
      <c r="R1110" t="s">
        <v>86</v>
      </c>
      <c r="S1110" t="s">
        <v>71</v>
      </c>
    </row>
    <row r="1111" spans="1:19" x14ac:dyDescent="0.35">
      <c r="A1111" t="s">
        <v>1238</v>
      </c>
      <c r="B1111" s="5">
        <v>45857</v>
      </c>
      <c r="C1111" t="s">
        <v>100</v>
      </c>
      <c r="D1111" t="s">
        <v>64</v>
      </c>
      <c r="E1111">
        <v>1</v>
      </c>
      <c r="F1111" s="6">
        <v>310</v>
      </c>
      <c r="G1111" s="7">
        <v>5</v>
      </c>
      <c r="H1111" s="6">
        <v>294.5</v>
      </c>
      <c r="I1111">
        <v>0</v>
      </c>
      <c r="J1111" s="6">
        <v>0</v>
      </c>
      <c r="K1111">
        <v>1</v>
      </c>
      <c r="L1111" s="6">
        <v>294.5</v>
      </c>
      <c r="M1111" s="6">
        <v>203.67</v>
      </c>
      <c r="N1111" s="6">
        <v>90.83</v>
      </c>
      <c r="O1111" s="6">
        <v>26.57</v>
      </c>
      <c r="P1111" s="6">
        <v>64.260000000000005</v>
      </c>
      <c r="Q1111" t="s">
        <v>81</v>
      </c>
      <c r="R1111" t="s">
        <v>66</v>
      </c>
      <c r="S1111" t="s">
        <v>76</v>
      </c>
    </row>
    <row r="1112" spans="1:19" x14ac:dyDescent="0.35">
      <c r="A1112" t="s">
        <v>1239</v>
      </c>
      <c r="B1112" s="5">
        <v>45735</v>
      </c>
      <c r="C1112" t="s">
        <v>69</v>
      </c>
      <c r="D1112" t="s">
        <v>70</v>
      </c>
      <c r="E1112">
        <v>2</v>
      </c>
      <c r="F1112" s="6">
        <v>210</v>
      </c>
      <c r="G1112" s="7">
        <v>10</v>
      </c>
      <c r="H1112" s="6">
        <v>378</v>
      </c>
      <c r="I1112">
        <v>0</v>
      </c>
      <c r="J1112" s="6">
        <v>0</v>
      </c>
      <c r="K1112">
        <v>2</v>
      </c>
      <c r="L1112" s="6">
        <v>378</v>
      </c>
      <c r="M1112" s="6">
        <v>305.17</v>
      </c>
      <c r="N1112" s="6">
        <v>72.83</v>
      </c>
      <c r="O1112" s="6">
        <v>37.25</v>
      </c>
      <c r="P1112" s="6">
        <v>35.58</v>
      </c>
      <c r="Q1112" t="s">
        <v>81</v>
      </c>
      <c r="R1112" t="s">
        <v>66</v>
      </c>
      <c r="S1112" t="s">
        <v>61</v>
      </c>
    </row>
    <row r="1113" spans="1:19" x14ac:dyDescent="0.35">
      <c r="A1113" t="s">
        <v>1240</v>
      </c>
      <c r="B1113" s="5">
        <v>45891</v>
      </c>
      <c r="C1113" t="s">
        <v>69</v>
      </c>
      <c r="D1113" t="s">
        <v>70</v>
      </c>
      <c r="E1113">
        <v>3</v>
      </c>
      <c r="F1113" s="6">
        <v>210</v>
      </c>
      <c r="G1113" s="7">
        <v>15</v>
      </c>
      <c r="H1113" s="6">
        <v>535.5</v>
      </c>
      <c r="I1113">
        <v>0</v>
      </c>
      <c r="J1113" s="6">
        <v>0</v>
      </c>
      <c r="K1113">
        <v>3</v>
      </c>
      <c r="L1113" s="6">
        <v>535.5</v>
      </c>
      <c r="M1113" s="6">
        <v>426.12</v>
      </c>
      <c r="N1113" s="6">
        <v>109.38</v>
      </c>
      <c r="O1113" s="6">
        <v>64.150000000000006</v>
      </c>
      <c r="P1113" s="6">
        <v>45.23</v>
      </c>
      <c r="Q1113" t="s">
        <v>65</v>
      </c>
      <c r="R1113" t="s">
        <v>86</v>
      </c>
      <c r="S1113" t="s">
        <v>71</v>
      </c>
    </row>
    <row r="1114" spans="1:19" x14ac:dyDescent="0.35">
      <c r="A1114" t="s">
        <v>1241</v>
      </c>
      <c r="B1114" s="5">
        <v>45752</v>
      </c>
      <c r="C1114" t="s">
        <v>107</v>
      </c>
      <c r="D1114" t="s">
        <v>74</v>
      </c>
      <c r="E1114">
        <v>3</v>
      </c>
      <c r="F1114" s="6">
        <v>125</v>
      </c>
      <c r="G1114" s="7">
        <v>5</v>
      </c>
      <c r="H1114" s="6">
        <v>356.25</v>
      </c>
      <c r="I1114">
        <v>0</v>
      </c>
      <c r="J1114" s="6">
        <v>0</v>
      </c>
      <c r="K1114">
        <v>3</v>
      </c>
      <c r="L1114" s="6">
        <v>356.25</v>
      </c>
      <c r="M1114" s="6">
        <v>258.82</v>
      </c>
      <c r="N1114" s="6">
        <v>97.43</v>
      </c>
      <c r="O1114" s="6">
        <v>32.83</v>
      </c>
      <c r="P1114" s="6">
        <v>64.599999999999994</v>
      </c>
      <c r="Q1114" t="s">
        <v>59</v>
      </c>
      <c r="R1114" t="s">
        <v>66</v>
      </c>
      <c r="S1114" t="s">
        <v>67</v>
      </c>
    </row>
    <row r="1115" spans="1:19" x14ac:dyDescent="0.35">
      <c r="A1115" t="s">
        <v>1242</v>
      </c>
      <c r="B1115" s="5">
        <v>45783</v>
      </c>
      <c r="C1115" t="s">
        <v>557</v>
      </c>
      <c r="D1115" t="s">
        <v>74</v>
      </c>
      <c r="E1115">
        <v>3</v>
      </c>
      <c r="F1115" s="6">
        <v>95</v>
      </c>
      <c r="G1115" s="7">
        <v>5</v>
      </c>
      <c r="H1115" s="6">
        <v>270.75</v>
      </c>
      <c r="I1115">
        <v>0</v>
      </c>
      <c r="J1115" s="6">
        <v>0</v>
      </c>
      <c r="K1115">
        <v>3</v>
      </c>
      <c r="L1115" s="6">
        <v>270.75</v>
      </c>
      <c r="M1115" s="6">
        <v>168.25</v>
      </c>
      <c r="N1115" s="6">
        <v>102.5</v>
      </c>
      <c r="O1115" s="6">
        <v>31.89</v>
      </c>
      <c r="P1115" s="6">
        <v>70.61</v>
      </c>
      <c r="Q1115" t="s">
        <v>65</v>
      </c>
      <c r="R1115" t="s">
        <v>60</v>
      </c>
      <c r="S1115" t="s">
        <v>61</v>
      </c>
    </row>
    <row r="1116" spans="1:19" x14ac:dyDescent="0.35">
      <c r="A1116" t="s">
        <v>1243</v>
      </c>
      <c r="B1116" s="5">
        <v>45697</v>
      </c>
      <c r="C1116" t="s">
        <v>90</v>
      </c>
      <c r="D1116" t="s">
        <v>70</v>
      </c>
      <c r="E1116" t="s">
        <v>295</v>
      </c>
      <c r="F1116" s="6">
        <v>38</v>
      </c>
      <c r="G1116" s="7">
        <v>0</v>
      </c>
      <c r="H1116" s="6">
        <v>76</v>
      </c>
      <c r="I1116">
        <v>0</v>
      </c>
      <c r="J1116" s="6">
        <v>0</v>
      </c>
      <c r="K1116">
        <v>2</v>
      </c>
      <c r="L1116" s="6">
        <v>76</v>
      </c>
      <c r="M1116" s="6">
        <v>59.3</v>
      </c>
      <c r="N1116" s="6">
        <v>16.7</v>
      </c>
      <c r="O1116" s="6">
        <v>7.71</v>
      </c>
      <c r="P1116" s="6">
        <v>8.99</v>
      </c>
      <c r="Q1116" t="s">
        <v>65</v>
      </c>
      <c r="R1116" t="s">
        <v>66</v>
      </c>
      <c r="S1116" t="s">
        <v>61</v>
      </c>
    </row>
    <row r="1117" spans="1:19" x14ac:dyDescent="0.35">
      <c r="A1117" t="s">
        <v>1244</v>
      </c>
      <c r="B1117" s="5">
        <v>46000</v>
      </c>
      <c r="C1117" t="s">
        <v>88</v>
      </c>
      <c r="D1117" t="s">
        <v>57</v>
      </c>
      <c r="E1117">
        <v>2</v>
      </c>
      <c r="F1117" s="6">
        <v>30</v>
      </c>
      <c r="G1117" s="7">
        <v>5</v>
      </c>
      <c r="H1117" s="6">
        <v>57</v>
      </c>
      <c r="I1117">
        <v>0</v>
      </c>
      <c r="J1117" s="6">
        <v>0</v>
      </c>
      <c r="K1117">
        <v>2</v>
      </c>
      <c r="L1117" s="6">
        <v>57</v>
      </c>
      <c r="M1117" s="6">
        <v>48.53</v>
      </c>
      <c r="N1117" s="6">
        <v>8.4700000000000006</v>
      </c>
      <c r="O1117" s="6">
        <v>4.28</v>
      </c>
      <c r="P1117" s="6">
        <v>4.1900000000000004</v>
      </c>
      <c r="Q1117" t="s">
        <v>65</v>
      </c>
      <c r="R1117" t="s">
        <v>66</v>
      </c>
      <c r="S1117" t="s">
        <v>76</v>
      </c>
    </row>
    <row r="1118" spans="1:19" x14ac:dyDescent="0.35">
      <c r="A1118" t="s">
        <v>1245</v>
      </c>
      <c r="B1118" s="5">
        <v>46006</v>
      </c>
      <c r="C1118" t="s">
        <v>163</v>
      </c>
      <c r="D1118" t="s">
        <v>79</v>
      </c>
      <c r="E1118">
        <v>5</v>
      </c>
      <c r="F1118" s="6">
        <v>85</v>
      </c>
      <c r="G1118" s="7">
        <v>10</v>
      </c>
      <c r="H1118" s="6">
        <v>382.5</v>
      </c>
      <c r="I1118">
        <v>0</v>
      </c>
      <c r="J1118" s="6">
        <v>0</v>
      </c>
      <c r="K1118">
        <v>5</v>
      </c>
      <c r="L1118" s="6">
        <v>382.5</v>
      </c>
      <c r="M1118" s="6">
        <v>259.70999999999998</v>
      </c>
      <c r="N1118" s="6">
        <v>122.79</v>
      </c>
      <c r="O1118" s="6">
        <v>27.53</v>
      </c>
      <c r="P1118" s="6">
        <v>95.26</v>
      </c>
      <c r="Q1118" t="s">
        <v>59</v>
      </c>
      <c r="R1118" t="s">
        <v>86</v>
      </c>
      <c r="S1118" t="s">
        <v>71</v>
      </c>
    </row>
    <row r="1119" spans="1:19" x14ac:dyDescent="0.35">
      <c r="A1119" t="s">
        <v>1246</v>
      </c>
      <c r="B1119" s="5">
        <v>46000</v>
      </c>
      <c r="C1119" t="s">
        <v>56</v>
      </c>
      <c r="D1119" t="s">
        <v>57</v>
      </c>
      <c r="E1119">
        <v>5</v>
      </c>
      <c r="F1119" s="6">
        <v>40</v>
      </c>
      <c r="G1119" s="7">
        <v>10</v>
      </c>
      <c r="H1119" s="6">
        <v>180</v>
      </c>
      <c r="I1119">
        <v>0</v>
      </c>
      <c r="J1119" s="6">
        <v>0</v>
      </c>
      <c r="K1119">
        <v>5</v>
      </c>
      <c r="L1119" s="6">
        <v>180</v>
      </c>
      <c r="M1119" s="6">
        <v>112.75</v>
      </c>
      <c r="N1119" s="6">
        <v>67.25</v>
      </c>
      <c r="O1119" s="6">
        <v>12.09</v>
      </c>
      <c r="P1119" s="6">
        <v>55.16</v>
      </c>
      <c r="Q1119" t="s">
        <v>81</v>
      </c>
      <c r="R1119" t="s">
        <v>86</v>
      </c>
      <c r="S1119" t="s">
        <v>76</v>
      </c>
    </row>
    <row r="1120" spans="1:19" x14ac:dyDescent="0.35">
      <c r="A1120" t="s">
        <v>1247</v>
      </c>
      <c r="B1120" s="5">
        <v>45823</v>
      </c>
      <c r="C1120" t="s">
        <v>1248</v>
      </c>
      <c r="D1120" t="s">
        <v>57</v>
      </c>
      <c r="E1120">
        <v>4</v>
      </c>
      <c r="F1120" s="6">
        <v>55</v>
      </c>
      <c r="G1120" s="7">
        <v>15</v>
      </c>
      <c r="H1120" s="6">
        <v>187</v>
      </c>
      <c r="I1120">
        <v>0</v>
      </c>
      <c r="J1120" s="6">
        <v>0</v>
      </c>
      <c r="K1120">
        <v>4</v>
      </c>
      <c r="L1120" s="6">
        <v>187</v>
      </c>
      <c r="M1120" s="6">
        <v>150.72999999999999</v>
      </c>
      <c r="N1120" s="6">
        <v>36.270000000000003</v>
      </c>
      <c r="O1120" s="6">
        <v>17.3</v>
      </c>
      <c r="P1120" s="6">
        <v>18.97</v>
      </c>
      <c r="Q1120" t="s">
        <v>81</v>
      </c>
      <c r="R1120" t="s">
        <v>60</v>
      </c>
      <c r="S1120" t="s">
        <v>76</v>
      </c>
    </row>
    <row r="1121" spans="1:19" x14ac:dyDescent="0.35">
      <c r="A1121" t="s">
        <v>1249</v>
      </c>
      <c r="B1121" s="5">
        <v>45757</v>
      </c>
      <c r="C1121" t="s">
        <v>107</v>
      </c>
      <c r="D1121" t="s">
        <v>74</v>
      </c>
      <c r="E1121">
        <v>4</v>
      </c>
      <c r="F1121" s="6">
        <v>125</v>
      </c>
      <c r="G1121" s="7">
        <v>2</v>
      </c>
      <c r="H1121" s="6">
        <v>490</v>
      </c>
      <c r="I1121">
        <v>0</v>
      </c>
      <c r="J1121" s="6">
        <v>0</v>
      </c>
      <c r="K1121">
        <v>4</v>
      </c>
      <c r="L1121" s="6">
        <v>490</v>
      </c>
      <c r="M1121" s="6">
        <v>350.13</v>
      </c>
      <c r="N1121" s="6">
        <v>139.87</v>
      </c>
      <c r="O1121" s="6">
        <v>31.09</v>
      </c>
      <c r="P1121" s="6">
        <v>108.78</v>
      </c>
      <c r="Q1121" t="s">
        <v>65</v>
      </c>
      <c r="R1121" t="s">
        <v>82</v>
      </c>
      <c r="S1121" t="s">
        <v>67</v>
      </c>
    </row>
    <row r="1122" spans="1:19" x14ac:dyDescent="0.35">
      <c r="A1122" t="s">
        <v>1250</v>
      </c>
      <c r="B1122" s="5">
        <v>45944</v>
      </c>
      <c r="C1122" t="s">
        <v>671</v>
      </c>
      <c r="D1122" t="s">
        <v>57</v>
      </c>
      <c r="E1122">
        <v>2</v>
      </c>
      <c r="F1122" s="6">
        <v>40</v>
      </c>
      <c r="G1122" s="7">
        <v>0</v>
      </c>
      <c r="H1122" s="6">
        <v>80</v>
      </c>
      <c r="I1122">
        <v>0</v>
      </c>
      <c r="J1122" s="6">
        <v>0</v>
      </c>
      <c r="K1122">
        <v>2</v>
      </c>
      <c r="L1122" s="6">
        <v>80</v>
      </c>
      <c r="M1122" s="6">
        <v>64.19</v>
      </c>
      <c r="N1122" s="6">
        <v>15.81</v>
      </c>
      <c r="O1122" s="6">
        <v>6.92</v>
      </c>
      <c r="P1122" s="6">
        <v>8.89</v>
      </c>
      <c r="Q1122" t="s">
        <v>65</v>
      </c>
      <c r="R1122" t="s">
        <v>86</v>
      </c>
      <c r="S1122" t="s">
        <v>61</v>
      </c>
    </row>
    <row r="1123" spans="1:19" x14ac:dyDescent="0.35">
      <c r="A1123" t="s">
        <v>1251</v>
      </c>
      <c r="B1123" s="5">
        <v>45721</v>
      </c>
      <c r="C1123" t="s">
        <v>599</v>
      </c>
      <c r="D1123" t="s">
        <v>70</v>
      </c>
      <c r="E1123">
        <v>5</v>
      </c>
      <c r="F1123" s="6">
        <v>110</v>
      </c>
      <c r="G1123" s="7">
        <v>2</v>
      </c>
      <c r="H1123" s="6">
        <v>539</v>
      </c>
      <c r="I1123">
        <v>0</v>
      </c>
      <c r="J1123" s="6">
        <v>0</v>
      </c>
      <c r="K1123">
        <v>5</v>
      </c>
      <c r="L1123" s="6">
        <v>539</v>
      </c>
      <c r="M1123" s="6">
        <v>400.49</v>
      </c>
      <c r="N1123" s="6">
        <v>138.51</v>
      </c>
      <c r="O1123" s="6">
        <v>54.65</v>
      </c>
      <c r="P1123" s="6">
        <v>83.86</v>
      </c>
      <c r="Q1123" t="s">
        <v>75</v>
      </c>
      <c r="R1123" t="s">
        <v>86</v>
      </c>
      <c r="S1123" t="s">
        <v>76</v>
      </c>
    </row>
    <row r="1124" spans="1:19" x14ac:dyDescent="0.35">
      <c r="A1124" t="s">
        <v>1252</v>
      </c>
      <c r="B1124" s="5">
        <v>45736</v>
      </c>
      <c r="C1124" t="s">
        <v>117</v>
      </c>
      <c r="D1124" t="s">
        <v>74</v>
      </c>
      <c r="E1124">
        <v>1</v>
      </c>
      <c r="F1124" s="6">
        <v>95</v>
      </c>
      <c r="G1124" s="7">
        <v>15</v>
      </c>
      <c r="H1124" s="6">
        <v>80.75</v>
      </c>
      <c r="I1124">
        <v>0</v>
      </c>
      <c r="J1124" s="6">
        <v>0</v>
      </c>
      <c r="K1124">
        <v>1</v>
      </c>
      <c r="L1124" s="6">
        <v>80.75</v>
      </c>
      <c r="M1124" s="6">
        <v>65.39</v>
      </c>
      <c r="N1124" s="6">
        <v>15.36</v>
      </c>
      <c r="O1124" s="6">
        <v>7.67</v>
      </c>
      <c r="P1124" s="6">
        <v>7.69</v>
      </c>
      <c r="Q1124" t="s">
        <v>65</v>
      </c>
      <c r="R1124" t="s">
        <v>66</v>
      </c>
      <c r="S1124" t="s">
        <v>67</v>
      </c>
    </row>
    <row r="1125" spans="1:19" x14ac:dyDescent="0.35">
      <c r="A1125" t="s">
        <v>1253</v>
      </c>
      <c r="B1125" s="5">
        <v>45872</v>
      </c>
      <c r="C1125" t="s">
        <v>73</v>
      </c>
      <c r="D1125" t="s">
        <v>74</v>
      </c>
      <c r="E1125">
        <v>4</v>
      </c>
      <c r="F1125" s="6">
        <v>280</v>
      </c>
      <c r="G1125" s="7">
        <v>0</v>
      </c>
      <c r="H1125" s="6">
        <v>1120</v>
      </c>
      <c r="I1125">
        <v>0</v>
      </c>
      <c r="J1125" s="6">
        <v>0</v>
      </c>
      <c r="K1125">
        <v>4</v>
      </c>
      <c r="L1125" s="6">
        <v>1120</v>
      </c>
      <c r="M1125" s="6">
        <v>775.35</v>
      </c>
      <c r="N1125" s="6">
        <v>344.65</v>
      </c>
      <c r="O1125" s="6">
        <v>100.63</v>
      </c>
      <c r="P1125" s="6">
        <v>244.02</v>
      </c>
      <c r="Q1125" t="s">
        <v>75</v>
      </c>
      <c r="S1125" t="s">
        <v>61</v>
      </c>
    </row>
    <row r="1126" spans="1:19" x14ac:dyDescent="0.35">
      <c r="A1126" t="s">
        <v>1254</v>
      </c>
      <c r="B1126" s="5">
        <v>45663</v>
      </c>
      <c r="C1126" t="s">
        <v>121</v>
      </c>
      <c r="D1126" t="s">
        <v>70</v>
      </c>
      <c r="E1126">
        <v>3</v>
      </c>
      <c r="F1126" s="6">
        <v>110</v>
      </c>
      <c r="G1126" s="7">
        <v>2</v>
      </c>
      <c r="H1126" s="6">
        <v>323.39999999999998</v>
      </c>
      <c r="I1126">
        <v>0</v>
      </c>
      <c r="J1126" s="6">
        <v>0</v>
      </c>
      <c r="K1126">
        <v>3</v>
      </c>
      <c r="L1126" s="6">
        <v>323.39999999999998</v>
      </c>
      <c r="M1126" s="6">
        <v>271.48</v>
      </c>
      <c r="N1126" s="6">
        <v>51.92</v>
      </c>
      <c r="O1126" s="6">
        <v>36.1</v>
      </c>
      <c r="P1126" s="6">
        <v>15.82</v>
      </c>
      <c r="R1126" t="s">
        <v>82</v>
      </c>
      <c r="S1126" t="s">
        <v>71</v>
      </c>
    </row>
    <row r="1127" spans="1:19" x14ac:dyDescent="0.35">
      <c r="A1127" t="s">
        <v>1255</v>
      </c>
      <c r="B1127" s="5">
        <v>45699</v>
      </c>
      <c r="C1127" t="s">
        <v>95</v>
      </c>
      <c r="D1127" t="s">
        <v>128</v>
      </c>
      <c r="E1127">
        <v>4</v>
      </c>
      <c r="F1127" s="6">
        <v>52</v>
      </c>
      <c r="G1127" s="7">
        <v>0</v>
      </c>
      <c r="H1127" s="6">
        <v>208</v>
      </c>
      <c r="I1127">
        <v>0</v>
      </c>
      <c r="J1127" s="6">
        <v>0</v>
      </c>
      <c r="K1127">
        <v>4</v>
      </c>
      <c r="L1127" s="6">
        <v>208</v>
      </c>
      <c r="M1127" s="6">
        <v>172.47</v>
      </c>
      <c r="N1127" s="6">
        <v>35.53</v>
      </c>
      <c r="O1127" s="6">
        <v>15.48</v>
      </c>
      <c r="P1127" s="6">
        <v>20.05</v>
      </c>
      <c r="Q1127" t="s">
        <v>59</v>
      </c>
      <c r="R1127" t="s">
        <v>66</v>
      </c>
      <c r="S1127" t="s">
        <v>71</v>
      </c>
    </row>
    <row r="1128" spans="1:19" x14ac:dyDescent="0.35">
      <c r="A1128" t="s">
        <v>1256</v>
      </c>
      <c r="B1128" s="5">
        <v>45903</v>
      </c>
      <c r="C1128" t="s">
        <v>63</v>
      </c>
      <c r="D1128" t="s">
        <v>64</v>
      </c>
      <c r="E1128">
        <v>5</v>
      </c>
      <c r="F1128" s="6">
        <v>145</v>
      </c>
      <c r="G1128" s="7">
        <v>0</v>
      </c>
      <c r="H1128" s="6">
        <v>725</v>
      </c>
      <c r="I1128">
        <v>0</v>
      </c>
      <c r="J1128" s="6">
        <v>0</v>
      </c>
      <c r="K1128">
        <v>5</v>
      </c>
      <c r="L1128" s="6">
        <v>725</v>
      </c>
      <c r="M1128" s="6">
        <v>471.26</v>
      </c>
      <c r="N1128" s="6">
        <v>253.74</v>
      </c>
      <c r="O1128" s="6">
        <v>52.58</v>
      </c>
      <c r="P1128" s="6">
        <v>201.16</v>
      </c>
      <c r="Q1128" t="s">
        <v>59</v>
      </c>
      <c r="R1128" t="s">
        <v>66</v>
      </c>
      <c r="S1128" t="s">
        <v>67</v>
      </c>
    </row>
    <row r="1129" spans="1:19" x14ac:dyDescent="0.35">
      <c r="A1129" t="s">
        <v>1257</v>
      </c>
      <c r="B1129" s="5">
        <v>45978</v>
      </c>
      <c r="C1129" t="s">
        <v>104</v>
      </c>
      <c r="D1129" t="s">
        <v>105</v>
      </c>
      <c r="E1129">
        <v>3</v>
      </c>
      <c r="F1129" s="6">
        <v>65</v>
      </c>
      <c r="G1129" s="7">
        <v>0</v>
      </c>
      <c r="H1129" s="6">
        <v>195</v>
      </c>
      <c r="I1129">
        <v>0</v>
      </c>
      <c r="J1129" s="6">
        <v>0</v>
      </c>
      <c r="K1129">
        <v>3</v>
      </c>
      <c r="L1129" s="6">
        <v>195</v>
      </c>
      <c r="M1129" s="6">
        <v>147.91</v>
      </c>
      <c r="N1129" s="6">
        <v>47.09</v>
      </c>
      <c r="O1129" s="6">
        <v>19.64</v>
      </c>
      <c r="P1129" s="6">
        <v>27.45</v>
      </c>
      <c r="Q1129" t="s">
        <v>65</v>
      </c>
      <c r="R1129" t="s">
        <v>176</v>
      </c>
      <c r="S1129" t="s">
        <v>61</v>
      </c>
    </row>
    <row r="1130" spans="1:19" x14ac:dyDescent="0.35">
      <c r="A1130" t="s">
        <v>1258</v>
      </c>
      <c r="B1130" s="5">
        <v>46013</v>
      </c>
      <c r="C1130" t="s">
        <v>78</v>
      </c>
      <c r="D1130" t="s">
        <v>79</v>
      </c>
      <c r="E1130">
        <v>2</v>
      </c>
      <c r="F1130" s="6">
        <v>120</v>
      </c>
      <c r="G1130" s="7">
        <v>0</v>
      </c>
      <c r="H1130" s="6">
        <v>240</v>
      </c>
      <c r="I1130">
        <v>0</v>
      </c>
      <c r="J1130" s="6">
        <v>0</v>
      </c>
      <c r="K1130">
        <v>2</v>
      </c>
      <c r="L1130" s="6">
        <v>240</v>
      </c>
      <c r="M1130" s="6">
        <v>150.53</v>
      </c>
      <c r="N1130" s="6">
        <v>89.47</v>
      </c>
      <c r="O1130" s="6">
        <v>22.97</v>
      </c>
      <c r="P1130" s="6">
        <v>66.5</v>
      </c>
      <c r="Q1130" t="s">
        <v>81</v>
      </c>
      <c r="R1130" t="s">
        <v>82</v>
      </c>
      <c r="S1130" t="s">
        <v>61</v>
      </c>
    </row>
    <row r="1131" spans="1:19" x14ac:dyDescent="0.35">
      <c r="A1131" t="s">
        <v>1259</v>
      </c>
      <c r="B1131" s="5">
        <v>45902</v>
      </c>
      <c r="C1131" t="s">
        <v>84</v>
      </c>
      <c r="D1131" t="s">
        <v>85</v>
      </c>
      <c r="E1131">
        <v>2</v>
      </c>
      <c r="F1131" s="6">
        <v>48</v>
      </c>
      <c r="G1131" s="7">
        <v>0</v>
      </c>
      <c r="H1131" s="6">
        <v>96</v>
      </c>
      <c r="I1131">
        <v>0</v>
      </c>
      <c r="J1131" s="6">
        <v>0</v>
      </c>
      <c r="K1131">
        <v>2</v>
      </c>
      <c r="L1131" s="6">
        <v>96</v>
      </c>
      <c r="M1131" s="6">
        <v>78.87</v>
      </c>
      <c r="N1131" s="6">
        <v>17.13</v>
      </c>
      <c r="O1131" s="6">
        <v>7.05</v>
      </c>
      <c r="P1131" s="6">
        <v>10.08</v>
      </c>
      <c r="Q1131" t="s">
        <v>81</v>
      </c>
      <c r="R1131" t="s">
        <v>86</v>
      </c>
      <c r="S1131" t="s">
        <v>71</v>
      </c>
    </row>
    <row r="1132" spans="1:19" x14ac:dyDescent="0.35">
      <c r="A1132" t="s">
        <v>1260</v>
      </c>
      <c r="B1132" s="5">
        <v>45673</v>
      </c>
      <c r="C1132" t="s">
        <v>121</v>
      </c>
      <c r="D1132" t="s">
        <v>70</v>
      </c>
      <c r="E1132">
        <v>1</v>
      </c>
      <c r="F1132" s="6">
        <v>110</v>
      </c>
      <c r="G1132" s="7">
        <v>10</v>
      </c>
      <c r="H1132" s="6">
        <v>99</v>
      </c>
      <c r="I1132">
        <v>0</v>
      </c>
      <c r="J1132" s="6">
        <v>0</v>
      </c>
      <c r="K1132">
        <v>1</v>
      </c>
      <c r="L1132" s="6">
        <v>99</v>
      </c>
      <c r="M1132" s="6">
        <v>81.64</v>
      </c>
      <c r="N1132" s="6">
        <v>17.36</v>
      </c>
      <c r="O1132" s="6">
        <v>8.06</v>
      </c>
      <c r="P1132" s="6">
        <v>9.3000000000000007</v>
      </c>
      <c r="Q1132" t="s">
        <v>65</v>
      </c>
      <c r="R1132" t="s">
        <v>60</v>
      </c>
      <c r="S1132" t="s">
        <v>71</v>
      </c>
    </row>
    <row r="1133" spans="1:19" x14ac:dyDescent="0.35">
      <c r="A1133" t="s">
        <v>1261</v>
      </c>
      <c r="B1133" s="5">
        <v>45822</v>
      </c>
      <c r="C1133" t="s">
        <v>100</v>
      </c>
      <c r="D1133" t="s">
        <v>64</v>
      </c>
      <c r="E1133">
        <v>2</v>
      </c>
      <c r="F1133" s="6">
        <v>310</v>
      </c>
      <c r="G1133" s="7">
        <v>10</v>
      </c>
      <c r="H1133" s="6">
        <v>558</v>
      </c>
      <c r="I1133">
        <v>0</v>
      </c>
      <c r="J1133" s="6">
        <v>0</v>
      </c>
      <c r="K1133">
        <v>2</v>
      </c>
      <c r="L1133" s="6">
        <v>558</v>
      </c>
      <c r="M1133" s="6">
        <v>394.79</v>
      </c>
      <c r="N1133" s="6">
        <v>163.21</v>
      </c>
      <c r="O1133" s="6">
        <v>39.78</v>
      </c>
      <c r="P1133" s="6">
        <v>123.43</v>
      </c>
      <c r="Q1133" t="s">
        <v>59</v>
      </c>
      <c r="R1133" t="s">
        <v>82</v>
      </c>
      <c r="S1133" t="s">
        <v>76</v>
      </c>
    </row>
    <row r="1134" spans="1:19" x14ac:dyDescent="0.35">
      <c r="A1134" t="s">
        <v>1262</v>
      </c>
      <c r="B1134" s="5">
        <v>46015</v>
      </c>
      <c r="C1134" t="s">
        <v>56</v>
      </c>
      <c r="D1134" t="s">
        <v>57</v>
      </c>
      <c r="E1134">
        <v>4</v>
      </c>
      <c r="F1134" s="6">
        <v>40</v>
      </c>
      <c r="G1134" s="7">
        <v>0</v>
      </c>
      <c r="H1134" s="6">
        <v>160</v>
      </c>
      <c r="I1134">
        <v>0</v>
      </c>
      <c r="J1134" s="6">
        <v>0</v>
      </c>
      <c r="K1134">
        <v>4</v>
      </c>
      <c r="L1134" s="6">
        <v>160</v>
      </c>
      <c r="M1134" s="6">
        <v>100.93</v>
      </c>
      <c r="N1134" s="6">
        <v>59.07</v>
      </c>
      <c r="O1134" s="6">
        <v>17.03</v>
      </c>
      <c r="P1134" s="6">
        <v>42.04</v>
      </c>
      <c r="Q1134" t="s">
        <v>65</v>
      </c>
      <c r="R1134" t="s">
        <v>66</v>
      </c>
      <c r="S1134" t="s">
        <v>71</v>
      </c>
    </row>
    <row r="1135" spans="1:19" x14ac:dyDescent="0.35">
      <c r="A1135" t="s">
        <v>1263</v>
      </c>
      <c r="B1135" s="5">
        <v>46009</v>
      </c>
      <c r="C1135" t="s">
        <v>95</v>
      </c>
      <c r="D1135" t="s">
        <v>64</v>
      </c>
      <c r="E1135">
        <v>5</v>
      </c>
      <c r="F1135" s="6">
        <v>52</v>
      </c>
      <c r="G1135" s="7">
        <v>0</v>
      </c>
      <c r="H1135" s="6">
        <v>260</v>
      </c>
      <c r="I1135">
        <v>0</v>
      </c>
      <c r="J1135" s="6">
        <v>0</v>
      </c>
      <c r="K1135">
        <v>5</v>
      </c>
      <c r="L1135" s="6">
        <v>260</v>
      </c>
      <c r="M1135" s="6">
        <v>169.83</v>
      </c>
      <c r="N1135" s="6">
        <v>90.17</v>
      </c>
      <c r="O1135" s="6">
        <v>33.380000000000003</v>
      </c>
      <c r="P1135" s="6">
        <v>56.79</v>
      </c>
      <c r="Q1135" t="s">
        <v>59</v>
      </c>
      <c r="R1135" t="s">
        <v>66</v>
      </c>
      <c r="S1135" t="s">
        <v>61</v>
      </c>
    </row>
    <row r="1136" spans="1:19" x14ac:dyDescent="0.35">
      <c r="A1136" t="s">
        <v>1264</v>
      </c>
      <c r="B1136" s="5">
        <v>45714</v>
      </c>
      <c r="C1136" t="s">
        <v>78</v>
      </c>
      <c r="D1136" t="s">
        <v>79</v>
      </c>
      <c r="E1136">
        <v>1</v>
      </c>
      <c r="F1136" s="6">
        <v>120</v>
      </c>
      <c r="G1136" s="7">
        <v>2</v>
      </c>
      <c r="H1136" s="6">
        <v>117.6</v>
      </c>
      <c r="I1136">
        <v>0</v>
      </c>
      <c r="J1136" s="6">
        <v>0</v>
      </c>
      <c r="K1136">
        <v>1</v>
      </c>
      <c r="L1136" s="6">
        <v>117.6</v>
      </c>
      <c r="M1136" s="6">
        <v>97.57</v>
      </c>
      <c r="N1136" s="6">
        <v>20.03</v>
      </c>
      <c r="O1136" s="6">
        <v>10.119999999999999</v>
      </c>
      <c r="P1136" s="6">
        <v>9.91</v>
      </c>
      <c r="Q1136" t="s">
        <v>59</v>
      </c>
      <c r="R1136" t="s">
        <v>86</v>
      </c>
      <c r="S1136" t="s">
        <v>76</v>
      </c>
    </row>
    <row r="1137" spans="1:19" x14ac:dyDescent="0.35">
      <c r="A1137" t="s">
        <v>1265</v>
      </c>
      <c r="B1137" s="5">
        <v>45659</v>
      </c>
      <c r="C1137" t="s">
        <v>63</v>
      </c>
      <c r="D1137" t="s">
        <v>64</v>
      </c>
      <c r="E1137">
        <v>5</v>
      </c>
      <c r="F1137" s="6">
        <v>145</v>
      </c>
      <c r="G1137" s="7">
        <v>0</v>
      </c>
      <c r="H1137" s="6">
        <v>725</v>
      </c>
      <c r="I1137">
        <v>0</v>
      </c>
      <c r="J1137" s="6">
        <v>0</v>
      </c>
      <c r="K1137">
        <v>5</v>
      </c>
      <c r="L1137" s="6">
        <v>725</v>
      </c>
      <c r="M1137" s="6">
        <v>477.01</v>
      </c>
      <c r="N1137" s="6">
        <v>247.99</v>
      </c>
      <c r="O1137" s="6">
        <v>47.18</v>
      </c>
      <c r="P1137" s="6">
        <v>200.81</v>
      </c>
      <c r="Q1137" t="s">
        <v>65</v>
      </c>
      <c r="R1137" t="s">
        <v>66</v>
      </c>
      <c r="S1137" t="s">
        <v>67</v>
      </c>
    </row>
    <row r="1138" spans="1:19" x14ac:dyDescent="0.35">
      <c r="A1138" t="s">
        <v>1266</v>
      </c>
      <c r="B1138" s="5">
        <v>45769</v>
      </c>
      <c r="C1138" t="s">
        <v>114</v>
      </c>
      <c r="D1138" t="s">
        <v>64</v>
      </c>
      <c r="E1138">
        <v>2</v>
      </c>
      <c r="F1138" s="6">
        <v>420</v>
      </c>
      <c r="G1138" s="7">
        <v>0</v>
      </c>
      <c r="H1138" s="6">
        <v>840</v>
      </c>
      <c r="I1138">
        <v>0</v>
      </c>
      <c r="J1138" s="6">
        <v>0</v>
      </c>
      <c r="K1138">
        <v>2</v>
      </c>
      <c r="L1138" s="6">
        <v>840</v>
      </c>
      <c r="M1138" s="6">
        <v>574.35</v>
      </c>
      <c r="N1138" s="6">
        <v>265.64999999999998</v>
      </c>
      <c r="O1138" s="6">
        <v>95.95</v>
      </c>
      <c r="P1138" s="6">
        <v>169.7</v>
      </c>
      <c r="Q1138" t="s">
        <v>75</v>
      </c>
      <c r="R1138" t="s">
        <v>60</v>
      </c>
      <c r="S1138" t="s">
        <v>61</v>
      </c>
    </row>
    <row r="1139" spans="1:19" x14ac:dyDescent="0.35">
      <c r="A1139" t="s">
        <v>1267</v>
      </c>
      <c r="B1139" s="5">
        <v>45824</v>
      </c>
      <c r="C1139" t="s">
        <v>69</v>
      </c>
      <c r="D1139" t="s">
        <v>70</v>
      </c>
      <c r="E1139">
        <v>10</v>
      </c>
      <c r="F1139" s="6">
        <v>210</v>
      </c>
      <c r="G1139" s="7">
        <v>10</v>
      </c>
      <c r="H1139" s="6">
        <v>1890</v>
      </c>
      <c r="I1139">
        <v>0</v>
      </c>
      <c r="J1139" s="6">
        <v>0</v>
      </c>
      <c r="K1139">
        <v>10</v>
      </c>
      <c r="L1139" s="6">
        <v>1890</v>
      </c>
      <c r="M1139" s="6">
        <v>1562.87</v>
      </c>
      <c r="N1139" s="6">
        <v>327.13</v>
      </c>
      <c r="O1139" s="6">
        <v>165.24</v>
      </c>
      <c r="P1139" s="6">
        <v>161.88999999999999</v>
      </c>
      <c r="Q1139" t="s">
        <v>75</v>
      </c>
      <c r="R1139" t="s">
        <v>86</v>
      </c>
      <c r="S1139" t="s">
        <v>67</v>
      </c>
    </row>
    <row r="1140" spans="1:19" x14ac:dyDescent="0.35">
      <c r="A1140" t="s">
        <v>1268</v>
      </c>
      <c r="B1140" s="5">
        <v>45674</v>
      </c>
      <c r="C1140" t="s">
        <v>109</v>
      </c>
      <c r="D1140" t="s">
        <v>85</v>
      </c>
      <c r="E1140">
        <v>8</v>
      </c>
      <c r="F1140" s="6">
        <v>180</v>
      </c>
      <c r="G1140" s="7">
        <v>0</v>
      </c>
      <c r="H1140" s="6">
        <v>1440</v>
      </c>
      <c r="I1140">
        <v>0</v>
      </c>
      <c r="J1140" s="6">
        <v>0</v>
      </c>
      <c r="K1140">
        <v>8</v>
      </c>
      <c r="L1140" s="6">
        <v>1440</v>
      </c>
      <c r="M1140" s="6">
        <v>1100.53</v>
      </c>
      <c r="N1140" s="6">
        <v>339.47</v>
      </c>
      <c r="O1140" s="6">
        <v>181.51</v>
      </c>
      <c r="P1140" s="6">
        <v>157.96</v>
      </c>
      <c r="Q1140" t="s">
        <v>65</v>
      </c>
      <c r="R1140" t="s">
        <v>66</v>
      </c>
      <c r="S1140" t="s">
        <v>61</v>
      </c>
    </row>
    <row r="1141" spans="1:19" x14ac:dyDescent="0.35">
      <c r="A1141" t="s">
        <v>1269</v>
      </c>
      <c r="B1141" s="5">
        <v>45942</v>
      </c>
      <c r="C1141" t="s">
        <v>121</v>
      </c>
      <c r="D1141" t="s">
        <v>70</v>
      </c>
      <c r="E1141">
        <v>2</v>
      </c>
      <c r="F1141" s="6">
        <v>110</v>
      </c>
      <c r="G1141" s="7">
        <v>5</v>
      </c>
      <c r="H1141" s="6">
        <v>209</v>
      </c>
      <c r="I1141">
        <v>0</v>
      </c>
      <c r="J1141" s="6">
        <v>0</v>
      </c>
      <c r="K1141">
        <v>2</v>
      </c>
      <c r="L1141" s="6">
        <v>209</v>
      </c>
      <c r="M1141" s="6">
        <v>157.28</v>
      </c>
      <c r="N1141" s="6">
        <v>51.72</v>
      </c>
      <c r="O1141" s="6">
        <v>15.85</v>
      </c>
      <c r="P1141" s="6">
        <v>35.869999999999997</v>
      </c>
      <c r="Q1141" t="s">
        <v>59</v>
      </c>
      <c r="R1141" t="s">
        <v>82</v>
      </c>
      <c r="S1141" t="s">
        <v>61</v>
      </c>
    </row>
    <row r="1142" spans="1:19" x14ac:dyDescent="0.35">
      <c r="A1142" t="s">
        <v>1270</v>
      </c>
      <c r="B1142" s="5">
        <v>45752</v>
      </c>
      <c r="C1142" t="s">
        <v>84</v>
      </c>
      <c r="D1142" t="s">
        <v>85</v>
      </c>
      <c r="E1142">
        <v>1</v>
      </c>
      <c r="F1142" s="6">
        <v>48</v>
      </c>
      <c r="G1142" s="7">
        <v>15</v>
      </c>
      <c r="H1142" s="6">
        <v>40.799999999999997</v>
      </c>
      <c r="I1142">
        <v>0</v>
      </c>
      <c r="J1142" s="6">
        <v>0</v>
      </c>
      <c r="K1142">
        <v>1</v>
      </c>
      <c r="L1142" s="6">
        <v>40.799999999999997</v>
      </c>
      <c r="M1142" s="6">
        <v>30.3</v>
      </c>
      <c r="N1142" s="6">
        <v>10.5</v>
      </c>
      <c r="O1142" s="6">
        <v>3.38</v>
      </c>
      <c r="P1142" s="6">
        <v>7.12</v>
      </c>
      <c r="Q1142" t="s">
        <v>81</v>
      </c>
      <c r="R1142" t="s">
        <v>66</v>
      </c>
      <c r="S1142" t="s">
        <v>67</v>
      </c>
    </row>
    <row r="1143" spans="1:19" x14ac:dyDescent="0.35">
      <c r="A1143" t="s">
        <v>1271</v>
      </c>
      <c r="B1143" s="5">
        <v>45830</v>
      </c>
      <c r="C1143" t="s">
        <v>280</v>
      </c>
      <c r="D1143" t="s">
        <v>64</v>
      </c>
      <c r="E1143">
        <v>3</v>
      </c>
      <c r="F1143" s="6">
        <v>310</v>
      </c>
      <c r="G1143" s="7">
        <v>0</v>
      </c>
      <c r="H1143" s="6">
        <v>930</v>
      </c>
      <c r="I1143">
        <v>0</v>
      </c>
      <c r="J1143" s="6">
        <v>0</v>
      </c>
      <c r="K1143">
        <v>3</v>
      </c>
      <c r="L1143" s="6">
        <v>930</v>
      </c>
      <c r="M1143" s="6">
        <v>687.56</v>
      </c>
      <c r="N1143" s="6">
        <v>242.44</v>
      </c>
      <c r="O1143" s="6">
        <v>83.41</v>
      </c>
      <c r="P1143" s="6">
        <v>159.03</v>
      </c>
      <c r="Q1143" t="s">
        <v>65</v>
      </c>
      <c r="R1143" t="s">
        <v>60</v>
      </c>
      <c r="S1143" t="s">
        <v>67</v>
      </c>
    </row>
    <row r="1144" spans="1:19" x14ac:dyDescent="0.35">
      <c r="A1144" t="s">
        <v>1272</v>
      </c>
      <c r="B1144" s="5">
        <v>45932</v>
      </c>
      <c r="C1144" t="s">
        <v>84</v>
      </c>
      <c r="D1144" t="s">
        <v>85</v>
      </c>
      <c r="E1144">
        <v>1</v>
      </c>
      <c r="F1144" s="6">
        <v>48</v>
      </c>
      <c r="G1144" s="7">
        <v>0</v>
      </c>
      <c r="H1144" s="6">
        <v>48</v>
      </c>
      <c r="I1144">
        <v>0</v>
      </c>
      <c r="J1144" s="6">
        <v>0</v>
      </c>
      <c r="K1144">
        <v>1</v>
      </c>
      <c r="L1144" s="6">
        <v>48</v>
      </c>
      <c r="M1144" s="6">
        <v>32.53</v>
      </c>
      <c r="N1144" s="6">
        <v>15.47</v>
      </c>
      <c r="O1144" s="6">
        <v>2.82</v>
      </c>
      <c r="P1144" s="6">
        <v>12.65</v>
      </c>
      <c r="Q1144" t="s">
        <v>81</v>
      </c>
      <c r="R1144" t="s">
        <v>86</v>
      </c>
      <c r="S1144" t="s">
        <v>67</v>
      </c>
    </row>
    <row r="1145" spans="1:19" x14ac:dyDescent="0.35">
      <c r="A1145" t="s">
        <v>1273</v>
      </c>
      <c r="B1145" s="5">
        <v>45792</v>
      </c>
      <c r="C1145" t="s">
        <v>95</v>
      </c>
      <c r="D1145" t="s">
        <v>64</v>
      </c>
      <c r="E1145">
        <v>5</v>
      </c>
      <c r="F1145" s="6">
        <v>52</v>
      </c>
      <c r="G1145" s="7">
        <v>10</v>
      </c>
      <c r="H1145" s="6">
        <v>234</v>
      </c>
      <c r="I1145">
        <v>0</v>
      </c>
      <c r="J1145" s="6">
        <v>0</v>
      </c>
      <c r="K1145">
        <v>5</v>
      </c>
      <c r="L1145" s="6">
        <v>234</v>
      </c>
      <c r="M1145" s="6">
        <v>154.75</v>
      </c>
      <c r="N1145" s="6">
        <v>79.25</v>
      </c>
      <c r="O1145" s="6">
        <v>17.05</v>
      </c>
      <c r="P1145" s="6">
        <v>62.2</v>
      </c>
      <c r="Q1145" t="s">
        <v>81</v>
      </c>
      <c r="R1145" t="s">
        <v>66</v>
      </c>
      <c r="S1145" t="s">
        <v>61</v>
      </c>
    </row>
    <row r="1146" spans="1:19" x14ac:dyDescent="0.35">
      <c r="A1146" t="s">
        <v>1274</v>
      </c>
      <c r="B1146" s="5">
        <v>45660</v>
      </c>
      <c r="C1146" t="s">
        <v>264</v>
      </c>
      <c r="D1146" t="s">
        <v>85</v>
      </c>
      <c r="E1146">
        <v>4</v>
      </c>
      <c r="F1146" s="6">
        <v>20</v>
      </c>
      <c r="G1146" s="7">
        <v>2</v>
      </c>
      <c r="H1146" s="6">
        <v>78.400000000000006</v>
      </c>
      <c r="I1146">
        <v>0</v>
      </c>
      <c r="J1146" s="6">
        <v>0</v>
      </c>
      <c r="K1146">
        <v>4</v>
      </c>
      <c r="L1146" s="6">
        <v>78.400000000000006</v>
      </c>
      <c r="M1146" s="6">
        <v>58.88</v>
      </c>
      <c r="N1146" s="6">
        <v>19.52</v>
      </c>
      <c r="O1146" s="6">
        <v>9.7799999999999994</v>
      </c>
      <c r="P1146" s="6">
        <v>9.74</v>
      </c>
      <c r="Q1146" t="s">
        <v>75</v>
      </c>
      <c r="R1146" t="s">
        <v>66</v>
      </c>
      <c r="S1146" t="s">
        <v>76</v>
      </c>
    </row>
    <row r="1147" spans="1:19" x14ac:dyDescent="0.35">
      <c r="A1147" t="s">
        <v>1275</v>
      </c>
      <c r="B1147" s="5">
        <v>45726</v>
      </c>
      <c r="C1147" t="s">
        <v>97</v>
      </c>
      <c r="D1147" t="s">
        <v>57</v>
      </c>
      <c r="E1147">
        <v>1</v>
      </c>
      <c r="F1147" s="6">
        <v>55</v>
      </c>
      <c r="G1147" s="7">
        <v>2</v>
      </c>
      <c r="H1147" s="6">
        <v>53.9</v>
      </c>
      <c r="I1147">
        <v>0</v>
      </c>
      <c r="J1147" s="6">
        <v>0</v>
      </c>
      <c r="K1147">
        <v>1</v>
      </c>
      <c r="L1147" s="6">
        <v>53.9</v>
      </c>
      <c r="M1147" s="6">
        <v>42.5</v>
      </c>
      <c r="N1147" s="6">
        <v>11.4</v>
      </c>
      <c r="O1147" s="6">
        <v>5.84</v>
      </c>
      <c r="P1147" s="6">
        <v>5.56</v>
      </c>
      <c r="Q1147" t="s">
        <v>75</v>
      </c>
      <c r="R1147" t="s">
        <v>66</v>
      </c>
      <c r="S1147" t="s">
        <v>67</v>
      </c>
    </row>
    <row r="1148" spans="1:19" x14ac:dyDescent="0.35">
      <c r="A1148" t="s">
        <v>1276</v>
      </c>
      <c r="B1148" s="5">
        <v>45905</v>
      </c>
      <c r="C1148" t="s">
        <v>73</v>
      </c>
      <c r="D1148" t="s">
        <v>74</v>
      </c>
      <c r="E1148">
        <v>3</v>
      </c>
      <c r="F1148" s="6">
        <v>280</v>
      </c>
      <c r="G1148" s="7">
        <v>2</v>
      </c>
      <c r="H1148" s="6">
        <v>823.2</v>
      </c>
      <c r="I1148">
        <v>0</v>
      </c>
      <c r="J1148" s="6">
        <v>0</v>
      </c>
      <c r="K1148">
        <v>3</v>
      </c>
      <c r="L1148" s="6">
        <v>823.2</v>
      </c>
      <c r="M1148" s="6">
        <v>676.97</v>
      </c>
      <c r="N1148" s="6">
        <v>146.22999999999999</v>
      </c>
      <c r="O1148" s="6">
        <v>54.73</v>
      </c>
      <c r="P1148" s="6">
        <v>91.5</v>
      </c>
      <c r="Q1148" t="s">
        <v>65</v>
      </c>
      <c r="R1148" t="s">
        <v>82</v>
      </c>
      <c r="S1148" t="s">
        <v>61</v>
      </c>
    </row>
    <row r="1149" spans="1:19" x14ac:dyDescent="0.35">
      <c r="A1149" t="s">
        <v>1277</v>
      </c>
      <c r="B1149" s="5">
        <v>45769</v>
      </c>
      <c r="C1149" t="s">
        <v>117</v>
      </c>
      <c r="D1149" t="s">
        <v>74</v>
      </c>
      <c r="E1149">
        <v>4</v>
      </c>
      <c r="F1149" s="6">
        <v>95</v>
      </c>
      <c r="G1149" s="7">
        <v>2</v>
      </c>
      <c r="H1149" s="6">
        <v>372.4</v>
      </c>
      <c r="I1149">
        <v>0</v>
      </c>
      <c r="J1149" s="6">
        <v>0</v>
      </c>
      <c r="K1149">
        <v>4</v>
      </c>
      <c r="L1149" s="6">
        <v>372.4</v>
      </c>
      <c r="M1149" s="6">
        <v>315.39999999999998</v>
      </c>
      <c r="N1149" s="6">
        <v>57</v>
      </c>
      <c r="O1149" s="6">
        <v>36.47</v>
      </c>
      <c r="P1149" s="6">
        <v>20.53</v>
      </c>
      <c r="Q1149" t="s">
        <v>81</v>
      </c>
      <c r="R1149" t="s">
        <v>60</v>
      </c>
      <c r="S1149" t="s">
        <v>67</v>
      </c>
    </row>
    <row r="1150" spans="1:19" x14ac:dyDescent="0.35">
      <c r="A1150" t="s">
        <v>1278</v>
      </c>
      <c r="B1150" s="5">
        <v>46012</v>
      </c>
      <c r="C1150" t="s">
        <v>121</v>
      </c>
      <c r="D1150" t="s">
        <v>70</v>
      </c>
      <c r="E1150">
        <v>3</v>
      </c>
      <c r="F1150" s="6">
        <v>110</v>
      </c>
      <c r="G1150" s="7">
        <v>2</v>
      </c>
      <c r="H1150" s="6">
        <v>323.39999999999998</v>
      </c>
      <c r="I1150">
        <v>0</v>
      </c>
      <c r="J1150" s="6">
        <v>0</v>
      </c>
      <c r="K1150">
        <v>3</v>
      </c>
      <c r="L1150" s="6">
        <v>323.39999999999998</v>
      </c>
      <c r="M1150" s="6">
        <v>261.97000000000003</v>
      </c>
      <c r="N1150" s="6">
        <v>61.43</v>
      </c>
      <c r="O1150" s="6">
        <v>39.69</v>
      </c>
      <c r="P1150" s="6">
        <v>21.74</v>
      </c>
      <c r="Q1150" t="s">
        <v>59</v>
      </c>
      <c r="R1150" t="s">
        <v>86</v>
      </c>
      <c r="S1150" t="s">
        <v>76</v>
      </c>
    </row>
    <row r="1151" spans="1:19" x14ac:dyDescent="0.35">
      <c r="A1151" t="s">
        <v>1279</v>
      </c>
      <c r="B1151" s="5">
        <v>46012</v>
      </c>
      <c r="C1151" t="s">
        <v>117</v>
      </c>
      <c r="D1151" t="s">
        <v>74</v>
      </c>
      <c r="E1151">
        <v>2</v>
      </c>
      <c r="F1151" s="6">
        <v>95</v>
      </c>
      <c r="G1151" s="7">
        <v>0</v>
      </c>
      <c r="H1151" s="6">
        <v>190</v>
      </c>
      <c r="I1151">
        <v>0</v>
      </c>
      <c r="J1151" s="6">
        <v>0</v>
      </c>
      <c r="K1151">
        <v>2</v>
      </c>
      <c r="L1151" s="6">
        <v>190</v>
      </c>
      <c r="M1151" s="6">
        <v>129.06</v>
      </c>
      <c r="N1151" s="6">
        <v>60.94</v>
      </c>
      <c r="O1151" s="6">
        <v>19.14</v>
      </c>
      <c r="P1151" s="6">
        <v>41.8</v>
      </c>
      <c r="Q1151" t="s">
        <v>65</v>
      </c>
      <c r="R1151" t="s">
        <v>66</v>
      </c>
      <c r="S1151" t="s">
        <v>67</v>
      </c>
    </row>
    <row r="1152" spans="1:19" x14ac:dyDescent="0.35">
      <c r="A1152" t="s">
        <v>1280</v>
      </c>
      <c r="B1152" s="5">
        <v>45954</v>
      </c>
      <c r="C1152" t="s">
        <v>63</v>
      </c>
      <c r="D1152" t="s">
        <v>64</v>
      </c>
      <c r="E1152">
        <v>6</v>
      </c>
      <c r="F1152" s="6">
        <v>145</v>
      </c>
      <c r="G1152" s="7">
        <v>10</v>
      </c>
      <c r="H1152" s="6">
        <v>783</v>
      </c>
      <c r="I1152">
        <v>0</v>
      </c>
      <c r="J1152" s="6">
        <v>0</v>
      </c>
      <c r="K1152">
        <v>6</v>
      </c>
      <c r="L1152" s="6">
        <v>783</v>
      </c>
      <c r="M1152" s="6">
        <v>561.12</v>
      </c>
      <c r="N1152" s="6">
        <v>221.88</v>
      </c>
      <c r="O1152" s="6">
        <v>63.2</v>
      </c>
      <c r="P1152" s="6">
        <v>158.68</v>
      </c>
      <c r="Q1152" t="s">
        <v>75</v>
      </c>
      <c r="R1152" t="s">
        <v>82</v>
      </c>
      <c r="S1152" t="s">
        <v>76</v>
      </c>
    </row>
    <row r="1153" spans="1:19" x14ac:dyDescent="0.35">
      <c r="A1153" t="s">
        <v>1281</v>
      </c>
      <c r="B1153" s="5">
        <v>45933</v>
      </c>
      <c r="C1153" t="s">
        <v>95</v>
      </c>
      <c r="D1153" t="s">
        <v>64</v>
      </c>
      <c r="E1153">
        <v>5</v>
      </c>
      <c r="F1153" s="6">
        <v>52</v>
      </c>
      <c r="G1153" s="7">
        <v>0</v>
      </c>
      <c r="H1153" s="6">
        <v>260</v>
      </c>
      <c r="I1153">
        <v>0</v>
      </c>
      <c r="J1153" s="6">
        <v>0</v>
      </c>
      <c r="K1153">
        <v>5</v>
      </c>
      <c r="L1153" s="6">
        <v>260</v>
      </c>
      <c r="M1153" s="6">
        <v>164.67</v>
      </c>
      <c r="N1153" s="6">
        <v>95.33</v>
      </c>
      <c r="O1153" s="6">
        <v>16.2</v>
      </c>
      <c r="P1153" s="6">
        <v>79.13</v>
      </c>
      <c r="Q1153" t="s">
        <v>59</v>
      </c>
      <c r="R1153" t="s">
        <v>86</v>
      </c>
      <c r="S1153" t="s">
        <v>61</v>
      </c>
    </row>
    <row r="1154" spans="1:19" x14ac:dyDescent="0.35">
      <c r="A1154" t="s">
        <v>1282</v>
      </c>
      <c r="B1154" s="5">
        <v>45803</v>
      </c>
      <c r="C1154" t="s">
        <v>69</v>
      </c>
      <c r="D1154" t="s">
        <v>683</v>
      </c>
      <c r="E1154">
        <v>2</v>
      </c>
      <c r="F1154" s="6">
        <v>210</v>
      </c>
      <c r="G1154" s="7">
        <v>2</v>
      </c>
      <c r="H1154" s="6">
        <v>411.6</v>
      </c>
      <c r="I1154">
        <v>0</v>
      </c>
      <c r="J1154" s="6">
        <v>0</v>
      </c>
      <c r="K1154">
        <v>2</v>
      </c>
      <c r="L1154" s="6">
        <v>411.6</v>
      </c>
      <c r="M1154" s="6">
        <v>324.20999999999998</v>
      </c>
      <c r="N1154" s="6">
        <v>87.39</v>
      </c>
      <c r="O1154" s="6">
        <v>36.799999999999997</v>
      </c>
      <c r="P1154" s="6">
        <v>50.59</v>
      </c>
      <c r="Q1154" t="s">
        <v>59</v>
      </c>
      <c r="R1154" t="s">
        <v>86</v>
      </c>
      <c r="S1154" t="s">
        <v>67</v>
      </c>
    </row>
    <row r="1155" spans="1:19" x14ac:dyDescent="0.35">
      <c r="A1155" t="s">
        <v>1283</v>
      </c>
      <c r="B1155" s="5">
        <v>45768</v>
      </c>
      <c r="C1155" t="s">
        <v>121</v>
      </c>
      <c r="D1155" t="s">
        <v>70</v>
      </c>
      <c r="E1155" t="s">
        <v>295</v>
      </c>
      <c r="F1155" s="6">
        <v>110</v>
      </c>
      <c r="G1155" s="7">
        <v>0</v>
      </c>
      <c r="H1155" s="6">
        <v>220</v>
      </c>
      <c r="I1155">
        <v>0</v>
      </c>
      <c r="J1155" s="6">
        <v>0</v>
      </c>
      <c r="K1155">
        <v>2</v>
      </c>
      <c r="L1155" s="6">
        <v>220</v>
      </c>
      <c r="M1155" s="6">
        <v>180.36</v>
      </c>
      <c r="N1155" s="6">
        <v>39.64</v>
      </c>
      <c r="O1155" s="6">
        <v>23.62</v>
      </c>
      <c r="P1155" s="6">
        <v>16.02</v>
      </c>
      <c r="Q1155" t="s">
        <v>65</v>
      </c>
      <c r="R1155" t="s">
        <v>66</v>
      </c>
      <c r="S1155" t="s">
        <v>76</v>
      </c>
    </row>
    <row r="1156" spans="1:19" x14ac:dyDescent="0.35">
      <c r="A1156" t="s">
        <v>1284</v>
      </c>
      <c r="B1156" s="5">
        <v>45878</v>
      </c>
      <c r="C1156" t="s">
        <v>92</v>
      </c>
      <c r="D1156" t="s">
        <v>79</v>
      </c>
      <c r="E1156">
        <v>5</v>
      </c>
      <c r="F1156" s="6">
        <v>85</v>
      </c>
      <c r="G1156" s="7">
        <v>0</v>
      </c>
      <c r="H1156" s="6">
        <v>425</v>
      </c>
      <c r="I1156">
        <v>0</v>
      </c>
      <c r="J1156" s="6">
        <v>0</v>
      </c>
      <c r="K1156">
        <v>5</v>
      </c>
      <c r="L1156" s="6">
        <v>425</v>
      </c>
      <c r="M1156" s="6">
        <v>364.43</v>
      </c>
      <c r="N1156" s="6">
        <v>60.57</v>
      </c>
      <c r="O1156" s="6">
        <v>29.91</v>
      </c>
      <c r="P1156" s="6">
        <v>30.66</v>
      </c>
      <c r="Q1156" t="s">
        <v>59</v>
      </c>
      <c r="R1156" t="s">
        <v>60</v>
      </c>
      <c r="S1156" t="s">
        <v>76</v>
      </c>
    </row>
    <row r="1157" spans="1:19" x14ac:dyDescent="0.35">
      <c r="A1157" t="s">
        <v>1285</v>
      </c>
      <c r="B1157" s="5">
        <v>45977</v>
      </c>
      <c r="C1157" t="s">
        <v>84</v>
      </c>
      <c r="D1157" t="s">
        <v>85</v>
      </c>
      <c r="E1157">
        <v>4</v>
      </c>
      <c r="F1157" s="6">
        <v>48</v>
      </c>
      <c r="G1157" s="7">
        <v>5</v>
      </c>
      <c r="H1157" s="6">
        <v>182.4</v>
      </c>
      <c r="I1157">
        <v>0</v>
      </c>
      <c r="J1157" s="6">
        <v>0</v>
      </c>
      <c r="K1157">
        <v>4</v>
      </c>
      <c r="L1157" s="6">
        <v>182.4</v>
      </c>
      <c r="M1157" s="6">
        <v>115.05</v>
      </c>
      <c r="N1157" s="6">
        <v>67.349999999999994</v>
      </c>
      <c r="O1157" s="6">
        <v>13.21</v>
      </c>
      <c r="P1157" s="6">
        <v>54.14</v>
      </c>
      <c r="Q1157" t="s">
        <v>81</v>
      </c>
      <c r="R1157" t="s">
        <v>82</v>
      </c>
      <c r="S1157" t="s">
        <v>71</v>
      </c>
    </row>
    <row r="1158" spans="1:19" x14ac:dyDescent="0.35">
      <c r="A1158" t="s">
        <v>1286</v>
      </c>
      <c r="B1158" s="5">
        <v>45705</v>
      </c>
      <c r="C1158" t="s">
        <v>88</v>
      </c>
      <c r="D1158" t="s">
        <v>57</v>
      </c>
      <c r="E1158">
        <v>3</v>
      </c>
      <c r="F1158" s="6">
        <v>30</v>
      </c>
      <c r="G1158" s="7">
        <v>2</v>
      </c>
      <c r="H1158" s="6">
        <v>88.2</v>
      </c>
      <c r="I1158">
        <v>0</v>
      </c>
      <c r="J1158" s="6">
        <v>0</v>
      </c>
      <c r="K1158">
        <v>3</v>
      </c>
      <c r="L1158" s="6">
        <v>88.2</v>
      </c>
      <c r="M1158" s="6">
        <v>62.75</v>
      </c>
      <c r="N1158" s="6">
        <v>25.45</v>
      </c>
      <c r="O1158" s="6">
        <v>6.78</v>
      </c>
      <c r="P1158" s="6">
        <v>18.670000000000002</v>
      </c>
      <c r="Q1158" t="s">
        <v>65</v>
      </c>
      <c r="R1158" t="s">
        <v>66</v>
      </c>
      <c r="S1158" t="s">
        <v>76</v>
      </c>
    </row>
    <row r="1159" spans="1:19" x14ac:dyDescent="0.35">
      <c r="A1159" t="s">
        <v>1287</v>
      </c>
      <c r="B1159" s="5">
        <v>45667</v>
      </c>
      <c r="C1159" t="s">
        <v>63</v>
      </c>
      <c r="D1159" t="s">
        <v>64</v>
      </c>
      <c r="E1159">
        <v>1</v>
      </c>
      <c r="F1159" s="6">
        <v>145</v>
      </c>
      <c r="G1159" s="7">
        <v>0</v>
      </c>
      <c r="H1159" s="6">
        <v>145</v>
      </c>
      <c r="I1159">
        <v>0</v>
      </c>
      <c r="J1159" s="6">
        <v>0</v>
      </c>
      <c r="K1159">
        <v>1</v>
      </c>
      <c r="L1159" s="6">
        <v>145</v>
      </c>
      <c r="M1159" s="6">
        <v>122.71</v>
      </c>
      <c r="N1159" s="6">
        <v>22.29</v>
      </c>
      <c r="O1159" s="6">
        <v>8.27</v>
      </c>
      <c r="P1159" s="6">
        <v>14.02</v>
      </c>
      <c r="Q1159" t="s">
        <v>75</v>
      </c>
      <c r="R1159" t="s">
        <v>86</v>
      </c>
      <c r="S1159" t="s">
        <v>67</v>
      </c>
    </row>
    <row r="1160" spans="1:19" x14ac:dyDescent="0.35">
      <c r="A1160" t="s">
        <v>1288</v>
      </c>
      <c r="B1160" s="5">
        <v>45912</v>
      </c>
      <c r="C1160" t="s">
        <v>599</v>
      </c>
      <c r="D1160" t="s">
        <v>70</v>
      </c>
      <c r="E1160">
        <v>3</v>
      </c>
      <c r="F1160" s="6">
        <v>110</v>
      </c>
      <c r="G1160" s="7">
        <v>0</v>
      </c>
      <c r="H1160" s="6">
        <v>330</v>
      </c>
      <c r="I1160">
        <v>0</v>
      </c>
      <c r="J1160" s="6">
        <v>0</v>
      </c>
      <c r="K1160">
        <v>3</v>
      </c>
      <c r="L1160" s="6">
        <v>330</v>
      </c>
      <c r="M1160" s="6">
        <v>254.22</v>
      </c>
      <c r="N1160" s="6">
        <v>75.78</v>
      </c>
      <c r="O1160" s="6">
        <v>42.08</v>
      </c>
      <c r="P1160" s="6">
        <v>33.700000000000003</v>
      </c>
      <c r="Q1160" t="s">
        <v>81</v>
      </c>
      <c r="R1160" t="s">
        <v>66</v>
      </c>
      <c r="S1160" t="s">
        <v>67</v>
      </c>
    </row>
    <row r="1161" spans="1:19" x14ac:dyDescent="0.35">
      <c r="A1161" t="s">
        <v>1289</v>
      </c>
      <c r="B1161" s="5">
        <v>45693</v>
      </c>
      <c r="C1161" t="s">
        <v>117</v>
      </c>
      <c r="D1161" t="s">
        <v>74</v>
      </c>
      <c r="E1161">
        <v>8</v>
      </c>
      <c r="F1161" s="6">
        <v>95</v>
      </c>
      <c r="G1161" s="7">
        <v>10</v>
      </c>
      <c r="H1161" s="6">
        <v>684</v>
      </c>
      <c r="I1161">
        <v>0</v>
      </c>
      <c r="J1161" s="6">
        <v>0</v>
      </c>
      <c r="K1161">
        <v>8</v>
      </c>
      <c r="L1161" s="6">
        <v>684</v>
      </c>
      <c r="M1161" s="6">
        <v>567.84</v>
      </c>
      <c r="N1161" s="6">
        <v>116.16</v>
      </c>
      <c r="O1161" s="6">
        <v>85.82</v>
      </c>
      <c r="P1161" s="6">
        <v>30.34</v>
      </c>
      <c r="Q1161" t="s">
        <v>75</v>
      </c>
      <c r="R1161" t="s">
        <v>60</v>
      </c>
      <c r="S1161" t="s">
        <v>67</v>
      </c>
    </row>
    <row r="1162" spans="1:19" x14ac:dyDescent="0.35">
      <c r="A1162" t="s">
        <v>1290</v>
      </c>
      <c r="B1162" s="5">
        <v>45920</v>
      </c>
      <c r="C1162" t="s">
        <v>88</v>
      </c>
      <c r="D1162" t="s">
        <v>57</v>
      </c>
      <c r="E1162">
        <v>1</v>
      </c>
      <c r="F1162" s="6">
        <v>30</v>
      </c>
      <c r="G1162" s="7">
        <v>0</v>
      </c>
      <c r="H1162" s="6">
        <v>30</v>
      </c>
      <c r="I1162">
        <v>0</v>
      </c>
      <c r="J1162" s="6">
        <v>0</v>
      </c>
      <c r="K1162">
        <v>1</v>
      </c>
      <c r="L1162" s="6">
        <v>30</v>
      </c>
      <c r="M1162" s="6">
        <v>24.11</v>
      </c>
      <c r="N1162" s="6">
        <v>5.89</v>
      </c>
      <c r="O1162" s="6">
        <v>3.61</v>
      </c>
      <c r="P1162" s="6">
        <v>2.2799999999999998</v>
      </c>
      <c r="Q1162" t="s">
        <v>59</v>
      </c>
      <c r="R1162" t="s">
        <v>147</v>
      </c>
      <c r="S1162" t="s">
        <v>61</v>
      </c>
    </row>
    <row r="1163" spans="1:19" x14ac:dyDescent="0.35">
      <c r="A1163" t="s">
        <v>1291</v>
      </c>
      <c r="B1163" s="5">
        <v>45976</v>
      </c>
      <c r="C1163" t="s">
        <v>125</v>
      </c>
      <c r="D1163" t="s">
        <v>85</v>
      </c>
      <c r="E1163">
        <v>2</v>
      </c>
      <c r="F1163" s="6">
        <v>125</v>
      </c>
      <c r="G1163" s="7">
        <v>5</v>
      </c>
      <c r="H1163" s="6">
        <v>237.5</v>
      </c>
      <c r="I1163">
        <v>0</v>
      </c>
      <c r="J1163" s="6">
        <v>0</v>
      </c>
      <c r="K1163">
        <v>2</v>
      </c>
      <c r="L1163" s="6">
        <v>237.5</v>
      </c>
      <c r="M1163" s="6">
        <v>168.22</v>
      </c>
      <c r="N1163" s="6">
        <v>69.28</v>
      </c>
      <c r="O1163" s="6">
        <v>13.77</v>
      </c>
      <c r="P1163" s="6">
        <v>55.51</v>
      </c>
      <c r="Q1163" t="s">
        <v>75</v>
      </c>
      <c r="R1163" t="s">
        <v>86</v>
      </c>
      <c r="S1163" t="s">
        <v>76</v>
      </c>
    </row>
    <row r="1164" spans="1:19" x14ac:dyDescent="0.35">
      <c r="A1164" t="s">
        <v>1292</v>
      </c>
      <c r="B1164" s="5">
        <v>45876</v>
      </c>
      <c r="C1164" t="s">
        <v>90</v>
      </c>
      <c r="D1164" t="s">
        <v>70</v>
      </c>
      <c r="E1164">
        <v>4</v>
      </c>
      <c r="F1164" s="6">
        <v>38</v>
      </c>
      <c r="G1164" s="7">
        <v>0</v>
      </c>
      <c r="H1164" s="6">
        <v>152</v>
      </c>
      <c r="I1164">
        <v>0</v>
      </c>
      <c r="J1164" s="6">
        <v>0</v>
      </c>
      <c r="K1164">
        <v>4</v>
      </c>
      <c r="L1164" s="6">
        <v>152</v>
      </c>
      <c r="M1164" s="6">
        <v>126.51</v>
      </c>
      <c r="N1164" s="6">
        <v>25.49</v>
      </c>
      <c r="O1164" s="6">
        <v>12.81</v>
      </c>
      <c r="P1164" s="6">
        <v>12.68</v>
      </c>
      <c r="Q1164" t="s">
        <v>81</v>
      </c>
      <c r="R1164" t="s">
        <v>66</v>
      </c>
      <c r="S1164" t="s">
        <v>61</v>
      </c>
    </row>
    <row r="1165" spans="1:19" x14ac:dyDescent="0.35">
      <c r="A1165" t="s">
        <v>1293</v>
      </c>
      <c r="B1165" s="5">
        <v>45700</v>
      </c>
      <c r="C1165" t="s">
        <v>109</v>
      </c>
      <c r="D1165" t="s">
        <v>85</v>
      </c>
      <c r="E1165">
        <v>5</v>
      </c>
      <c r="F1165" s="6">
        <v>180</v>
      </c>
      <c r="G1165" s="7">
        <v>0</v>
      </c>
      <c r="H1165" s="6">
        <v>900</v>
      </c>
      <c r="I1165">
        <v>0</v>
      </c>
      <c r="J1165" s="6">
        <v>0</v>
      </c>
      <c r="K1165">
        <v>5</v>
      </c>
      <c r="L1165" s="6">
        <v>900</v>
      </c>
      <c r="M1165" s="6">
        <v>753.39</v>
      </c>
      <c r="N1165" s="6">
        <v>146.61000000000001</v>
      </c>
      <c r="O1165" s="6">
        <v>72.150000000000006</v>
      </c>
      <c r="P1165" s="6">
        <v>74.459999999999994</v>
      </c>
      <c r="Q1165" t="s">
        <v>59</v>
      </c>
      <c r="R1165" t="s">
        <v>66</v>
      </c>
      <c r="S1165" t="s">
        <v>61</v>
      </c>
    </row>
    <row r="1166" spans="1:19" x14ac:dyDescent="0.35">
      <c r="A1166" t="s">
        <v>1294</v>
      </c>
      <c r="B1166" s="5">
        <v>45789</v>
      </c>
      <c r="C1166" t="s">
        <v>496</v>
      </c>
      <c r="D1166" t="s">
        <v>85</v>
      </c>
      <c r="E1166">
        <v>1</v>
      </c>
      <c r="F1166" s="6">
        <v>125</v>
      </c>
      <c r="G1166" s="7">
        <v>2</v>
      </c>
      <c r="H1166" s="6">
        <v>122.5</v>
      </c>
      <c r="I1166">
        <v>0</v>
      </c>
      <c r="J1166" s="6">
        <v>0</v>
      </c>
      <c r="K1166">
        <v>1</v>
      </c>
      <c r="L1166" s="6">
        <v>122.5</v>
      </c>
      <c r="M1166" s="6">
        <v>104.64</v>
      </c>
      <c r="N1166" s="6">
        <v>17.86</v>
      </c>
      <c r="O1166" s="6">
        <v>10.64</v>
      </c>
      <c r="P1166" s="6">
        <v>7.22</v>
      </c>
      <c r="Q1166" t="s">
        <v>65</v>
      </c>
      <c r="R1166" t="s">
        <v>66</v>
      </c>
      <c r="S1166" t="s">
        <v>76</v>
      </c>
    </row>
    <row r="1167" spans="1:19" x14ac:dyDescent="0.35">
      <c r="A1167" t="s">
        <v>1295</v>
      </c>
      <c r="B1167" s="5">
        <v>45838</v>
      </c>
      <c r="C1167" t="s">
        <v>97</v>
      </c>
      <c r="D1167" t="s">
        <v>57</v>
      </c>
      <c r="E1167">
        <v>5</v>
      </c>
      <c r="F1167" s="6">
        <v>55</v>
      </c>
      <c r="G1167" s="7">
        <v>0</v>
      </c>
      <c r="H1167" s="6">
        <v>275</v>
      </c>
      <c r="I1167">
        <v>0</v>
      </c>
      <c r="J1167" s="6">
        <v>0</v>
      </c>
      <c r="K1167">
        <v>5</v>
      </c>
      <c r="L1167" s="6">
        <v>275</v>
      </c>
      <c r="M1167" s="6">
        <v>236.4</v>
      </c>
      <c r="N1167" s="6">
        <v>38.6</v>
      </c>
      <c r="O1167" s="6">
        <v>32.76</v>
      </c>
      <c r="P1167" s="6">
        <v>5.84</v>
      </c>
      <c r="Q1167" t="s">
        <v>81</v>
      </c>
      <c r="R1167" t="s">
        <v>86</v>
      </c>
      <c r="S1167" t="s">
        <v>76</v>
      </c>
    </row>
    <row r="1168" spans="1:19" x14ac:dyDescent="0.35">
      <c r="A1168" t="s">
        <v>1296</v>
      </c>
      <c r="B1168" s="5">
        <v>45986</v>
      </c>
      <c r="C1168" t="s">
        <v>117</v>
      </c>
      <c r="D1168" t="s">
        <v>74</v>
      </c>
      <c r="E1168">
        <v>3</v>
      </c>
      <c r="F1168" s="6">
        <v>95</v>
      </c>
      <c r="G1168" s="7">
        <v>0</v>
      </c>
      <c r="H1168" s="6">
        <v>285</v>
      </c>
      <c r="I1168">
        <v>0</v>
      </c>
      <c r="J1168" s="6">
        <v>0</v>
      </c>
      <c r="K1168">
        <v>3</v>
      </c>
      <c r="L1168" s="6">
        <v>285</v>
      </c>
      <c r="M1168" s="6">
        <v>232.94</v>
      </c>
      <c r="N1168" s="6">
        <v>52.06</v>
      </c>
      <c r="O1168" s="6">
        <v>30.33</v>
      </c>
      <c r="P1168" s="6">
        <v>21.73</v>
      </c>
      <c r="Q1168" t="s">
        <v>65</v>
      </c>
      <c r="R1168" t="s">
        <v>60</v>
      </c>
      <c r="S1168" t="s">
        <v>61</v>
      </c>
    </row>
    <row r="1169" spans="1:19" x14ac:dyDescent="0.35">
      <c r="A1169" t="s">
        <v>1297</v>
      </c>
      <c r="B1169" s="5">
        <v>45681</v>
      </c>
      <c r="C1169" t="s">
        <v>88</v>
      </c>
      <c r="D1169" t="s">
        <v>57</v>
      </c>
      <c r="E1169">
        <v>4</v>
      </c>
      <c r="F1169" s="6">
        <v>30</v>
      </c>
      <c r="G1169" s="7">
        <v>0</v>
      </c>
      <c r="H1169" s="6">
        <v>120</v>
      </c>
      <c r="I1169">
        <v>0</v>
      </c>
      <c r="J1169" s="6">
        <v>0</v>
      </c>
      <c r="K1169">
        <v>4</v>
      </c>
      <c r="L1169" s="6">
        <v>120</v>
      </c>
      <c r="M1169" s="6">
        <v>77.67</v>
      </c>
      <c r="N1169" s="6">
        <v>42.33</v>
      </c>
      <c r="O1169" s="6">
        <v>12.81</v>
      </c>
      <c r="P1169" s="6">
        <v>29.52</v>
      </c>
      <c r="Q1169" t="s">
        <v>65</v>
      </c>
      <c r="R1169" t="s">
        <v>86</v>
      </c>
      <c r="S1169" t="s">
        <v>76</v>
      </c>
    </row>
    <row r="1170" spans="1:19" x14ac:dyDescent="0.35">
      <c r="A1170" t="s">
        <v>1298</v>
      </c>
      <c r="B1170" s="5">
        <v>45825</v>
      </c>
      <c r="C1170" t="s">
        <v>78</v>
      </c>
      <c r="D1170" t="s">
        <v>79</v>
      </c>
      <c r="E1170">
        <v>3</v>
      </c>
      <c r="F1170" s="6">
        <v>120</v>
      </c>
      <c r="G1170" s="7">
        <v>5</v>
      </c>
      <c r="H1170" s="6">
        <v>342</v>
      </c>
      <c r="I1170">
        <v>0</v>
      </c>
      <c r="J1170" s="6">
        <v>0</v>
      </c>
      <c r="K1170">
        <v>3</v>
      </c>
      <c r="L1170" s="6">
        <v>342</v>
      </c>
      <c r="M1170" s="6">
        <v>276.99</v>
      </c>
      <c r="N1170" s="6">
        <v>65.010000000000005</v>
      </c>
      <c r="O1170" s="6">
        <v>38.46</v>
      </c>
      <c r="P1170" s="6">
        <v>26.55</v>
      </c>
      <c r="Q1170" t="s">
        <v>81</v>
      </c>
      <c r="R1170" t="s">
        <v>60</v>
      </c>
      <c r="S1170" t="s">
        <v>61</v>
      </c>
    </row>
    <row r="1171" spans="1:19" x14ac:dyDescent="0.35">
      <c r="A1171" t="s">
        <v>1299</v>
      </c>
      <c r="B1171" s="5">
        <v>45894</v>
      </c>
      <c r="C1171" t="s">
        <v>90</v>
      </c>
      <c r="D1171" t="s">
        <v>70</v>
      </c>
      <c r="E1171">
        <v>5</v>
      </c>
      <c r="F1171" s="6">
        <v>38</v>
      </c>
      <c r="G1171" s="7">
        <v>0</v>
      </c>
      <c r="H1171" s="6">
        <v>190</v>
      </c>
      <c r="I1171">
        <v>0</v>
      </c>
      <c r="J1171" s="6">
        <v>0</v>
      </c>
      <c r="K1171">
        <v>5</v>
      </c>
      <c r="L1171" s="6">
        <v>190</v>
      </c>
      <c r="M1171" s="6">
        <v>143.52000000000001</v>
      </c>
      <c r="N1171" s="6">
        <v>46.48</v>
      </c>
      <c r="O1171" s="6">
        <v>23.52</v>
      </c>
      <c r="P1171" s="6">
        <v>22.96</v>
      </c>
      <c r="Q1171" t="s">
        <v>65</v>
      </c>
      <c r="R1171" t="s">
        <v>60</v>
      </c>
      <c r="S1171" t="s">
        <v>67</v>
      </c>
    </row>
    <row r="1172" spans="1:19" x14ac:dyDescent="0.35">
      <c r="A1172" t="s">
        <v>1300</v>
      </c>
      <c r="B1172" s="5">
        <v>45857</v>
      </c>
      <c r="C1172" t="s">
        <v>92</v>
      </c>
      <c r="D1172" t="s">
        <v>79</v>
      </c>
      <c r="E1172">
        <v>2</v>
      </c>
      <c r="F1172" s="6">
        <v>85</v>
      </c>
      <c r="G1172" s="7">
        <v>2</v>
      </c>
      <c r="H1172" s="6">
        <v>166.6</v>
      </c>
      <c r="I1172">
        <v>0</v>
      </c>
      <c r="J1172" s="6">
        <v>0</v>
      </c>
      <c r="K1172">
        <v>2</v>
      </c>
      <c r="L1172" s="6">
        <v>166.6</v>
      </c>
      <c r="M1172" s="6">
        <v>118.32</v>
      </c>
      <c r="N1172" s="6">
        <v>48.28</v>
      </c>
      <c r="O1172" s="6">
        <v>20.010000000000002</v>
      </c>
      <c r="P1172" s="6">
        <v>28.27</v>
      </c>
      <c r="Q1172" t="s">
        <v>65</v>
      </c>
      <c r="R1172" t="s">
        <v>60</v>
      </c>
      <c r="S1172" t="s">
        <v>67</v>
      </c>
    </row>
    <row r="1173" spans="1:19" x14ac:dyDescent="0.35">
      <c r="A1173" t="s">
        <v>1301</v>
      </c>
      <c r="B1173" s="5">
        <v>45905</v>
      </c>
      <c r="C1173" t="s">
        <v>84</v>
      </c>
      <c r="D1173" t="s">
        <v>85</v>
      </c>
      <c r="E1173">
        <v>2</v>
      </c>
      <c r="F1173" s="6">
        <v>48</v>
      </c>
      <c r="G1173" s="7">
        <v>0</v>
      </c>
      <c r="H1173" s="6">
        <v>96</v>
      </c>
      <c r="I1173">
        <v>0</v>
      </c>
      <c r="J1173" s="6">
        <v>0</v>
      </c>
      <c r="K1173">
        <v>2</v>
      </c>
      <c r="L1173" s="6">
        <v>96</v>
      </c>
      <c r="M1173" s="6">
        <v>72.88</v>
      </c>
      <c r="N1173" s="6">
        <v>23.12</v>
      </c>
      <c r="O1173" s="6">
        <v>5.52</v>
      </c>
      <c r="P1173" s="6">
        <v>17.600000000000001</v>
      </c>
      <c r="Q1173" t="s">
        <v>81</v>
      </c>
      <c r="R1173" t="s">
        <v>60</v>
      </c>
      <c r="S1173" t="s">
        <v>67</v>
      </c>
    </row>
    <row r="1174" spans="1:19" x14ac:dyDescent="0.35">
      <c r="A1174" t="s">
        <v>1302</v>
      </c>
      <c r="B1174" s="5">
        <v>45848</v>
      </c>
      <c r="C1174" t="s">
        <v>107</v>
      </c>
      <c r="D1174" t="s">
        <v>74</v>
      </c>
      <c r="E1174">
        <v>1</v>
      </c>
      <c r="F1174" s="6">
        <v>125</v>
      </c>
      <c r="G1174" s="7">
        <v>0</v>
      </c>
      <c r="H1174" s="6">
        <v>125</v>
      </c>
      <c r="I1174">
        <v>0</v>
      </c>
      <c r="J1174" s="6">
        <v>0</v>
      </c>
      <c r="K1174">
        <v>1</v>
      </c>
      <c r="L1174" s="6">
        <v>125</v>
      </c>
      <c r="M1174" s="6">
        <v>89.37</v>
      </c>
      <c r="N1174" s="6">
        <v>35.630000000000003</v>
      </c>
      <c r="O1174" s="6">
        <v>14.67</v>
      </c>
      <c r="P1174" s="6">
        <v>20.96</v>
      </c>
      <c r="R1174" t="s">
        <v>60</v>
      </c>
      <c r="S1174" t="s">
        <v>71</v>
      </c>
    </row>
    <row r="1175" spans="1:19" x14ac:dyDescent="0.35">
      <c r="A1175" t="s">
        <v>1303</v>
      </c>
      <c r="B1175" s="5">
        <v>46002</v>
      </c>
      <c r="C1175" t="s">
        <v>107</v>
      </c>
      <c r="D1175" t="s">
        <v>74</v>
      </c>
      <c r="E1175">
        <v>2</v>
      </c>
      <c r="F1175" s="6">
        <v>125</v>
      </c>
      <c r="G1175" s="7">
        <v>0</v>
      </c>
      <c r="H1175" s="6">
        <v>250</v>
      </c>
      <c r="I1175">
        <v>0</v>
      </c>
      <c r="J1175" s="6">
        <v>0</v>
      </c>
      <c r="K1175">
        <v>2</v>
      </c>
      <c r="L1175" s="6">
        <v>250</v>
      </c>
      <c r="M1175" s="6">
        <v>187.09</v>
      </c>
      <c r="N1175" s="6">
        <v>62.91</v>
      </c>
      <c r="O1175" s="6">
        <v>22.67</v>
      </c>
      <c r="P1175" s="6">
        <v>40.24</v>
      </c>
      <c r="Q1175" t="s">
        <v>81</v>
      </c>
      <c r="R1175" t="s">
        <v>66</v>
      </c>
      <c r="S1175" t="s">
        <v>61</v>
      </c>
    </row>
    <row r="1176" spans="1:19" x14ac:dyDescent="0.35">
      <c r="A1176" t="s">
        <v>1304</v>
      </c>
      <c r="B1176" s="5">
        <v>45751</v>
      </c>
      <c r="C1176" t="s">
        <v>107</v>
      </c>
      <c r="D1176" t="s">
        <v>74</v>
      </c>
      <c r="E1176">
        <v>1</v>
      </c>
      <c r="F1176" s="6">
        <v>125</v>
      </c>
      <c r="G1176" s="7">
        <v>0</v>
      </c>
      <c r="H1176" s="6">
        <v>125</v>
      </c>
      <c r="I1176">
        <v>0</v>
      </c>
      <c r="J1176" s="6">
        <v>0</v>
      </c>
      <c r="K1176">
        <v>1</v>
      </c>
      <c r="L1176" s="6">
        <v>125</v>
      </c>
      <c r="M1176" s="6">
        <v>104.4</v>
      </c>
      <c r="N1176" s="6">
        <v>20.6</v>
      </c>
      <c r="O1176" s="6">
        <v>13.95</v>
      </c>
      <c r="P1176" s="6">
        <v>6.65</v>
      </c>
      <c r="Q1176" t="s">
        <v>81</v>
      </c>
      <c r="R1176" t="s">
        <v>82</v>
      </c>
      <c r="S1176" t="s">
        <v>67</v>
      </c>
    </row>
    <row r="1177" spans="1:19" x14ac:dyDescent="0.35">
      <c r="A1177" t="s">
        <v>1305</v>
      </c>
      <c r="B1177" s="5">
        <v>45973</v>
      </c>
      <c r="C1177" t="s">
        <v>56</v>
      </c>
      <c r="D1177" t="s">
        <v>57</v>
      </c>
      <c r="E1177">
        <v>8</v>
      </c>
      <c r="F1177" s="6">
        <v>40</v>
      </c>
      <c r="G1177" s="7">
        <v>0</v>
      </c>
      <c r="H1177" s="6">
        <v>320</v>
      </c>
      <c r="I1177">
        <v>0</v>
      </c>
      <c r="J1177" s="6">
        <v>0</v>
      </c>
      <c r="K1177">
        <v>8</v>
      </c>
      <c r="L1177" s="6">
        <v>320</v>
      </c>
      <c r="M1177" s="6">
        <v>243.17</v>
      </c>
      <c r="N1177" s="6">
        <v>76.83</v>
      </c>
      <c r="O1177" s="6">
        <v>40.299999999999997</v>
      </c>
      <c r="P1177" s="6">
        <v>36.53</v>
      </c>
      <c r="Q1177" t="s">
        <v>59</v>
      </c>
      <c r="R1177" t="s">
        <v>66</v>
      </c>
      <c r="S1177" t="s">
        <v>61</v>
      </c>
    </row>
    <row r="1178" spans="1:19" x14ac:dyDescent="0.35">
      <c r="A1178" t="s">
        <v>1306</v>
      </c>
      <c r="B1178" s="5">
        <v>45711</v>
      </c>
      <c r="C1178" t="s">
        <v>117</v>
      </c>
      <c r="D1178" t="s">
        <v>74</v>
      </c>
      <c r="E1178">
        <v>2</v>
      </c>
      <c r="F1178" s="6">
        <v>95</v>
      </c>
      <c r="G1178" s="7">
        <v>5</v>
      </c>
      <c r="H1178" s="6">
        <v>180.5</v>
      </c>
      <c r="I1178">
        <v>0</v>
      </c>
      <c r="J1178" s="6">
        <v>0</v>
      </c>
      <c r="K1178">
        <v>2</v>
      </c>
      <c r="L1178" s="6">
        <v>180.5</v>
      </c>
      <c r="M1178" s="6">
        <v>147.56</v>
      </c>
      <c r="N1178" s="6">
        <v>32.94</v>
      </c>
      <c r="O1178" s="6">
        <v>19.149999999999999</v>
      </c>
      <c r="P1178" s="6">
        <v>13.79</v>
      </c>
      <c r="Q1178" t="s">
        <v>75</v>
      </c>
      <c r="R1178" t="s">
        <v>86</v>
      </c>
      <c r="S1178" t="s">
        <v>67</v>
      </c>
    </row>
    <row r="1179" spans="1:19" x14ac:dyDescent="0.35">
      <c r="A1179" t="s">
        <v>1307</v>
      </c>
      <c r="B1179" s="5">
        <v>45848</v>
      </c>
      <c r="C1179" t="s">
        <v>125</v>
      </c>
      <c r="D1179" t="s">
        <v>85</v>
      </c>
      <c r="E1179">
        <v>4</v>
      </c>
      <c r="F1179" s="6">
        <v>125</v>
      </c>
      <c r="G1179" s="7">
        <v>0</v>
      </c>
      <c r="H1179" s="6">
        <v>500</v>
      </c>
      <c r="I1179">
        <v>0</v>
      </c>
      <c r="J1179" s="6">
        <v>0</v>
      </c>
      <c r="K1179">
        <v>4</v>
      </c>
      <c r="L1179" s="6">
        <v>500</v>
      </c>
      <c r="M1179" s="6">
        <v>327.84</v>
      </c>
      <c r="N1179" s="6">
        <v>172.16</v>
      </c>
      <c r="O1179" s="6">
        <v>40.43</v>
      </c>
      <c r="P1179" s="6">
        <v>131.72999999999999</v>
      </c>
      <c r="Q1179" t="s">
        <v>81</v>
      </c>
      <c r="R1179" t="s">
        <v>86</v>
      </c>
      <c r="S1179" t="s">
        <v>76</v>
      </c>
    </row>
    <row r="1180" spans="1:19" x14ac:dyDescent="0.35">
      <c r="A1180" t="s">
        <v>1308</v>
      </c>
      <c r="B1180" s="5">
        <v>45949</v>
      </c>
      <c r="C1180" t="s">
        <v>104</v>
      </c>
      <c r="D1180" t="s">
        <v>105</v>
      </c>
      <c r="E1180">
        <v>1</v>
      </c>
      <c r="F1180" s="6">
        <v>65</v>
      </c>
      <c r="G1180" s="7">
        <v>2</v>
      </c>
      <c r="H1180" s="6">
        <v>63.7</v>
      </c>
      <c r="I1180">
        <v>0</v>
      </c>
      <c r="J1180" s="6">
        <v>0</v>
      </c>
      <c r="K1180">
        <v>1</v>
      </c>
      <c r="L1180" s="6">
        <v>63.7</v>
      </c>
      <c r="M1180" s="6">
        <v>48.1</v>
      </c>
      <c r="N1180" s="6">
        <v>15.6</v>
      </c>
      <c r="O1180" s="6">
        <v>3.95</v>
      </c>
      <c r="P1180" s="6">
        <v>11.65</v>
      </c>
      <c r="Q1180" t="s">
        <v>65</v>
      </c>
      <c r="R1180" t="s">
        <v>86</v>
      </c>
    </row>
    <row r="1181" spans="1:19" x14ac:dyDescent="0.35">
      <c r="A1181" t="s">
        <v>1309</v>
      </c>
      <c r="B1181" s="5">
        <v>45738</v>
      </c>
      <c r="C1181" t="s">
        <v>117</v>
      </c>
      <c r="D1181" t="s">
        <v>74</v>
      </c>
      <c r="E1181">
        <v>1</v>
      </c>
      <c r="F1181" s="6">
        <v>95</v>
      </c>
      <c r="G1181" s="7">
        <v>10</v>
      </c>
      <c r="H1181" s="6">
        <v>85.5</v>
      </c>
      <c r="I1181">
        <v>0</v>
      </c>
      <c r="J1181" s="6">
        <v>0</v>
      </c>
      <c r="K1181">
        <v>1</v>
      </c>
      <c r="L1181" s="6">
        <v>85.5</v>
      </c>
      <c r="M1181" s="6">
        <v>58.27</v>
      </c>
      <c r="N1181" s="6">
        <v>27.23</v>
      </c>
      <c r="O1181" s="6">
        <v>10.23</v>
      </c>
      <c r="P1181" s="6">
        <v>17</v>
      </c>
      <c r="Q1181" t="s">
        <v>75</v>
      </c>
      <c r="R1181" t="s">
        <v>60</v>
      </c>
      <c r="S1181" t="s">
        <v>71</v>
      </c>
    </row>
    <row r="1182" spans="1:19" x14ac:dyDescent="0.35">
      <c r="A1182" t="s">
        <v>1310</v>
      </c>
      <c r="B1182" s="5">
        <v>45687</v>
      </c>
      <c r="C1182" t="s">
        <v>84</v>
      </c>
      <c r="D1182" t="s">
        <v>85</v>
      </c>
      <c r="E1182">
        <v>4</v>
      </c>
      <c r="F1182" s="6">
        <v>48</v>
      </c>
      <c r="G1182" s="7">
        <v>0</v>
      </c>
      <c r="H1182" s="6">
        <v>192</v>
      </c>
      <c r="I1182">
        <v>0</v>
      </c>
      <c r="J1182" s="6">
        <v>0</v>
      </c>
      <c r="K1182">
        <v>4</v>
      </c>
      <c r="L1182" s="6">
        <v>192</v>
      </c>
      <c r="M1182" s="6">
        <v>139.62</v>
      </c>
      <c r="N1182" s="6">
        <v>52.38</v>
      </c>
      <c r="O1182" s="6">
        <v>13.57</v>
      </c>
      <c r="P1182" s="6">
        <v>38.81</v>
      </c>
      <c r="Q1182" t="s">
        <v>59</v>
      </c>
      <c r="R1182" t="s">
        <v>66</v>
      </c>
      <c r="S1182" t="s">
        <v>61</v>
      </c>
    </row>
    <row r="1183" spans="1:19" x14ac:dyDescent="0.35">
      <c r="A1183" t="s">
        <v>1311</v>
      </c>
      <c r="B1183" s="5">
        <v>45887</v>
      </c>
      <c r="C1183" t="s">
        <v>125</v>
      </c>
      <c r="D1183" t="s">
        <v>110</v>
      </c>
      <c r="E1183">
        <v>3</v>
      </c>
      <c r="F1183" s="6">
        <v>125</v>
      </c>
      <c r="G1183" s="7">
        <v>0</v>
      </c>
      <c r="H1183" s="6">
        <v>375</v>
      </c>
      <c r="I1183">
        <v>0</v>
      </c>
      <c r="J1183" s="6">
        <v>0</v>
      </c>
      <c r="K1183">
        <v>3</v>
      </c>
      <c r="L1183" s="6">
        <v>375</v>
      </c>
      <c r="M1183" s="6">
        <v>274.35000000000002</v>
      </c>
      <c r="N1183" s="6">
        <v>100.65</v>
      </c>
      <c r="O1183" s="6">
        <v>45.27</v>
      </c>
      <c r="P1183" s="6">
        <v>55.38</v>
      </c>
      <c r="Q1183" t="s">
        <v>59</v>
      </c>
      <c r="R1183" t="s">
        <v>86</v>
      </c>
      <c r="S1183" t="s">
        <v>67</v>
      </c>
    </row>
    <row r="1184" spans="1:19" x14ac:dyDescent="0.35">
      <c r="A1184" t="s">
        <v>1312</v>
      </c>
      <c r="B1184" s="5">
        <v>45923</v>
      </c>
      <c r="C1184" t="s">
        <v>117</v>
      </c>
      <c r="D1184" t="s">
        <v>74</v>
      </c>
      <c r="E1184">
        <v>2</v>
      </c>
      <c r="F1184" s="6">
        <v>95</v>
      </c>
      <c r="G1184" s="7">
        <v>0</v>
      </c>
      <c r="H1184" s="6">
        <v>190</v>
      </c>
      <c r="I1184">
        <v>0</v>
      </c>
      <c r="J1184" s="6">
        <v>0</v>
      </c>
      <c r="K1184">
        <v>2</v>
      </c>
      <c r="L1184" s="6">
        <v>190</v>
      </c>
      <c r="M1184" s="6">
        <v>134.84</v>
      </c>
      <c r="N1184" s="6">
        <v>55.16</v>
      </c>
      <c r="O1184" s="6">
        <v>19.7</v>
      </c>
      <c r="P1184" s="6">
        <v>35.46</v>
      </c>
      <c r="Q1184" t="s">
        <v>75</v>
      </c>
      <c r="R1184" t="s">
        <v>66</v>
      </c>
      <c r="S1184" t="s">
        <v>61</v>
      </c>
    </row>
    <row r="1185" spans="1:19" x14ac:dyDescent="0.35">
      <c r="A1185" t="s">
        <v>1313</v>
      </c>
      <c r="B1185" s="5">
        <v>46013</v>
      </c>
      <c r="C1185" t="s">
        <v>95</v>
      </c>
      <c r="D1185" t="s">
        <v>64</v>
      </c>
      <c r="E1185">
        <v>1</v>
      </c>
      <c r="F1185" s="6">
        <v>52</v>
      </c>
      <c r="G1185" s="7">
        <v>0</v>
      </c>
      <c r="H1185" s="6">
        <v>52</v>
      </c>
      <c r="I1185">
        <v>0</v>
      </c>
      <c r="J1185" s="6">
        <v>0</v>
      </c>
      <c r="K1185">
        <v>1</v>
      </c>
      <c r="L1185" s="6">
        <v>52</v>
      </c>
      <c r="M1185" s="6">
        <v>32.270000000000003</v>
      </c>
      <c r="N1185" s="6">
        <v>19.73</v>
      </c>
      <c r="O1185" s="6">
        <v>4.6900000000000004</v>
      </c>
      <c r="P1185" s="6">
        <v>15.04</v>
      </c>
      <c r="Q1185" t="s">
        <v>59</v>
      </c>
      <c r="R1185" t="s">
        <v>86</v>
      </c>
      <c r="S1185" t="s">
        <v>61</v>
      </c>
    </row>
    <row r="1186" spans="1:19" x14ac:dyDescent="0.35">
      <c r="A1186" t="s">
        <v>1314</v>
      </c>
      <c r="B1186" s="5">
        <v>45764</v>
      </c>
      <c r="C1186" t="s">
        <v>271</v>
      </c>
      <c r="D1186" t="s">
        <v>74</v>
      </c>
      <c r="E1186">
        <v>2</v>
      </c>
      <c r="F1186" s="6">
        <v>280</v>
      </c>
      <c r="G1186" s="7">
        <v>0</v>
      </c>
      <c r="H1186" s="6">
        <v>560</v>
      </c>
      <c r="I1186">
        <v>0</v>
      </c>
      <c r="J1186" s="6">
        <v>0</v>
      </c>
      <c r="K1186">
        <v>2</v>
      </c>
      <c r="L1186" s="6">
        <v>560</v>
      </c>
      <c r="M1186" s="6">
        <v>434.17</v>
      </c>
      <c r="N1186" s="6">
        <v>125.83</v>
      </c>
      <c r="O1186" s="6">
        <v>50.19</v>
      </c>
      <c r="P1186" s="6">
        <v>75.64</v>
      </c>
      <c r="Q1186" t="s">
        <v>59</v>
      </c>
      <c r="R1186" t="s">
        <v>82</v>
      </c>
      <c r="S1186" t="s">
        <v>67</v>
      </c>
    </row>
    <row r="1187" spans="1:19" x14ac:dyDescent="0.35">
      <c r="A1187" t="s">
        <v>1315</v>
      </c>
      <c r="B1187" s="5">
        <v>45951</v>
      </c>
      <c r="C1187" t="s">
        <v>88</v>
      </c>
      <c r="D1187" t="s">
        <v>57</v>
      </c>
      <c r="E1187">
        <v>3</v>
      </c>
      <c r="F1187" s="6">
        <v>30</v>
      </c>
      <c r="G1187" s="7">
        <v>5</v>
      </c>
      <c r="H1187" s="6">
        <v>85.5</v>
      </c>
      <c r="I1187">
        <v>0</v>
      </c>
      <c r="J1187" s="6">
        <v>0</v>
      </c>
      <c r="K1187">
        <v>3</v>
      </c>
      <c r="L1187" s="6">
        <v>85.5</v>
      </c>
      <c r="M1187" s="6">
        <v>64.44</v>
      </c>
      <c r="N1187" s="6">
        <v>21.06</v>
      </c>
      <c r="O1187" s="6">
        <v>6.86</v>
      </c>
      <c r="P1187" s="6">
        <v>14.2</v>
      </c>
      <c r="Q1187" t="s">
        <v>59</v>
      </c>
      <c r="R1187" t="s">
        <v>60</v>
      </c>
      <c r="S1187" t="s">
        <v>71</v>
      </c>
    </row>
    <row r="1188" spans="1:19" x14ac:dyDescent="0.35">
      <c r="A1188" t="s">
        <v>1316</v>
      </c>
      <c r="B1188" s="5">
        <v>45739</v>
      </c>
      <c r="C1188" t="s">
        <v>78</v>
      </c>
      <c r="D1188" t="s">
        <v>79</v>
      </c>
      <c r="E1188">
        <v>1</v>
      </c>
      <c r="F1188" s="6">
        <v>120</v>
      </c>
      <c r="G1188" s="7">
        <v>2</v>
      </c>
      <c r="H1188" s="6">
        <v>117.6</v>
      </c>
      <c r="I1188">
        <v>0</v>
      </c>
      <c r="J1188" s="6">
        <v>0</v>
      </c>
      <c r="K1188">
        <v>1</v>
      </c>
      <c r="L1188" s="6">
        <v>117.6</v>
      </c>
      <c r="M1188" s="6">
        <v>74.650000000000006</v>
      </c>
      <c r="N1188" s="6">
        <v>42.95</v>
      </c>
      <c r="O1188" s="6">
        <v>7.22</v>
      </c>
      <c r="P1188" s="6">
        <v>35.729999999999997</v>
      </c>
      <c r="Q1188" t="s">
        <v>59</v>
      </c>
      <c r="R1188" t="s">
        <v>66</v>
      </c>
      <c r="S1188" t="s">
        <v>67</v>
      </c>
    </row>
    <row r="1189" spans="1:19" x14ac:dyDescent="0.35">
      <c r="A1189" t="s">
        <v>1317</v>
      </c>
      <c r="B1189" s="5">
        <v>45926</v>
      </c>
      <c r="C1189" t="s">
        <v>264</v>
      </c>
      <c r="D1189" t="s">
        <v>85</v>
      </c>
      <c r="E1189">
        <v>2</v>
      </c>
      <c r="F1189" s="6">
        <v>20</v>
      </c>
      <c r="G1189" s="7">
        <v>2</v>
      </c>
      <c r="H1189" s="6">
        <v>39.200000000000003</v>
      </c>
      <c r="I1189">
        <v>0</v>
      </c>
      <c r="J1189" s="6">
        <v>0</v>
      </c>
      <c r="K1189">
        <v>2</v>
      </c>
      <c r="L1189" s="6">
        <v>39.200000000000003</v>
      </c>
      <c r="M1189" s="6">
        <v>26.9</v>
      </c>
      <c r="N1189" s="6">
        <v>12.3</v>
      </c>
      <c r="O1189" s="6">
        <v>2.76</v>
      </c>
      <c r="P1189" s="6">
        <v>9.5399999999999991</v>
      </c>
      <c r="Q1189" t="s">
        <v>65</v>
      </c>
      <c r="R1189" t="s">
        <v>60</v>
      </c>
      <c r="S1189" t="s">
        <v>76</v>
      </c>
    </row>
    <row r="1190" spans="1:19" x14ac:dyDescent="0.35">
      <c r="A1190" t="s">
        <v>1318</v>
      </c>
      <c r="B1190" s="5">
        <v>45911</v>
      </c>
      <c r="C1190" t="s">
        <v>90</v>
      </c>
      <c r="D1190" t="s">
        <v>70</v>
      </c>
      <c r="E1190">
        <v>6</v>
      </c>
      <c r="F1190" s="6">
        <v>38</v>
      </c>
      <c r="G1190" s="7">
        <v>0</v>
      </c>
      <c r="H1190" s="6">
        <v>228</v>
      </c>
      <c r="I1190">
        <v>0</v>
      </c>
      <c r="J1190" s="6">
        <v>0</v>
      </c>
      <c r="K1190">
        <v>6</v>
      </c>
      <c r="L1190" s="6">
        <v>228</v>
      </c>
      <c r="M1190" s="6">
        <v>195.47</v>
      </c>
      <c r="N1190" s="6">
        <v>32.53</v>
      </c>
      <c r="O1190" s="6">
        <v>12.83</v>
      </c>
      <c r="P1190" s="6">
        <v>19.7</v>
      </c>
      <c r="Q1190" t="s">
        <v>65</v>
      </c>
      <c r="R1190" t="s">
        <v>66</v>
      </c>
      <c r="S1190" t="s">
        <v>67</v>
      </c>
    </row>
    <row r="1191" spans="1:19" x14ac:dyDescent="0.35">
      <c r="A1191" t="s">
        <v>1319</v>
      </c>
      <c r="B1191" s="5">
        <v>45961</v>
      </c>
      <c r="C1191" t="s">
        <v>95</v>
      </c>
      <c r="D1191" t="s">
        <v>64</v>
      </c>
      <c r="E1191">
        <v>2</v>
      </c>
      <c r="F1191" s="6">
        <v>52</v>
      </c>
      <c r="G1191" s="7">
        <v>0</v>
      </c>
      <c r="H1191" s="6">
        <v>104</v>
      </c>
      <c r="I1191">
        <v>0</v>
      </c>
      <c r="J1191" s="6">
        <v>0</v>
      </c>
      <c r="K1191">
        <v>2</v>
      </c>
      <c r="L1191" s="6">
        <v>104</v>
      </c>
      <c r="M1191" s="6">
        <v>79.56</v>
      </c>
      <c r="N1191" s="6">
        <v>24.44</v>
      </c>
      <c r="O1191" s="6">
        <v>10.210000000000001</v>
      </c>
      <c r="P1191" s="6">
        <v>14.23</v>
      </c>
      <c r="Q1191" t="s">
        <v>59</v>
      </c>
      <c r="R1191" t="s">
        <v>66</v>
      </c>
      <c r="S1191" t="s">
        <v>76</v>
      </c>
    </row>
    <row r="1192" spans="1:19" x14ac:dyDescent="0.35">
      <c r="A1192" t="s">
        <v>1320</v>
      </c>
      <c r="B1192" s="5">
        <v>45872</v>
      </c>
      <c r="C1192" t="s">
        <v>63</v>
      </c>
      <c r="D1192" t="s">
        <v>64</v>
      </c>
      <c r="E1192">
        <v>2</v>
      </c>
      <c r="F1192" s="6">
        <v>145</v>
      </c>
      <c r="G1192" s="7">
        <v>0</v>
      </c>
      <c r="H1192" s="6">
        <v>290</v>
      </c>
      <c r="I1192">
        <v>0</v>
      </c>
      <c r="J1192" s="6">
        <v>0</v>
      </c>
      <c r="K1192">
        <v>2</v>
      </c>
      <c r="L1192" s="6">
        <v>290</v>
      </c>
      <c r="M1192" s="6">
        <v>212.45</v>
      </c>
      <c r="N1192" s="6">
        <v>77.55</v>
      </c>
      <c r="O1192" s="6">
        <v>16.989999999999998</v>
      </c>
      <c r="P1192" s="6">
        <v>60.56</v>
      </c>
      <c r="Q1192" t="s">
        <v>59</v>
      </c>
      <c r="R1192" t="s">
        <v>82</v>
      </c>
      <c r="S1192" t="s">
        <v>71</v>
      </c>
    </row>
    <row r="1193" spans="1:19" x14ac:dyDescent="0.35">
      <c r="A1193" t="s">
        <v>1321</v>
      </c>
      <c r="B1193" s="5">
        <v>45723</v>
      </c>
      <c r="C1193" t="s">
        <v>84</v>
      </c>
      <c r="D1193" t="s">
        <v>85</v>
      </c>
      <c r="E1193">
        <v>5</v>
      </c>
      <c r="F1193" s="6">
        <v>48</v>
      </c>
      <c r="G1193" s="7">
        <v>0</v>
      </c>
      <c r="H1193" s="6">
        <v>240</v>
      </c>
      <c r="I1193">
        <v>0</v>
      </c>
      <c r="J1193" s="6">
        <v>0</v>
      </c>
      <c r="K1193">
        <v>5</v>
      </c>
      <c r="L1193" s="6">
        <v>240</v>
      </c>
      <c r="M1193" s="6">
        <v>189.35</v>
      </c>
      <c r="N1193" s="6">
        <v>50.65</v>
      </c>
      <c r="O1193" s="6">
        <v>17.95</v>
      </c>
      <c r="P1193" s="6">
        <v>32.700000000000003</v>
      </c>
      <c r="Q1193" t="s">
        <v>75</v>
      </c>
      <c r="R1193" t="s">
        <v>66</v>
      </c>
      <c r="S1193" t="s">
        <v>67</v>
      </c>
    </row>
    <row r="1194" spans="1:19" x14ac:dyDescent="0.35">
      <c r="A1194" t="s">
        <v>1322</v>
      </c>
      <c r="B1194" s="5">
        <v>45816</v>
      </c>
      <c r="C1194" t="s">
        <v>84</v>
      </c>
      <c r="D1194" t="s">
        <v>85</v>
      </c>
      <c r="E1194">
        <v>2</v>
      </c>
      <c r="F1194" s="6">
        <v>48</v>
      </c>
      <c r="G1194" s="7">
        <v>0</v>
      </c>
      <c r="H1194" s="6">
        <v>96</v>
      </c>
      <c r="I1194">
        <v>0</v>
      </c>
      <c r="J1194" s="6">
        <v>0</v>
      </c>
      <c r="K1194">
        <v>2</v>
      </c>
      <c r="L1194" s="6">
        <v>96</v>
      </c>
      <c r="M1194" s="6">
        <v>77.64</v>
      </c>
      <c r="N1194" s="6">
        <v>18.36</v>
      </c>
      <c r="O1194" s="6">
        <v>11.24</v>
      </c>
      <c r="P1194" s="6">
        <v>7.12</v>
      </c>
      <c r="Q1194" t="s">
        <v>65</v>
      </c>
      <c r="R1194" t="s">
        <v>66</v>
      </c>
      <c r="S1194" t="s">
        <v>71</v>
      </c>
    </row>
    <row r="1195" spans="1:19" x14ac:dyDescent="0.35">
      <c r="A1195" t="s">
        <v>1323</v>
      </c>
      <c r="B1195" s="5">
        <v>45668</v>
      </c>
      <c r="C1195" t="s">
        <v>69</v>
      </c>
      <c r="D1195" t="s">
        <v>70</v>
      </c>
      <c r="E1195">
        <v>1</v>
      </c>
      <c r="F1195" s="6">
        <v>210</v>
      </c>
      <c r="G1195" s="7">
        <v>0</v>
      </c>
      <c r="H1195" s="6">
        <v>210</v>
      </c>
      <c r="I1195">
        <v>0</v>
      </c>
      <c r="J1195" s="6">
        <v>0</v>
      </c>
      <c r="K1195">
        <v>1</v>
      </c>
      <c r="L1195" s="6">
        <v>210</v>
      </c>
      <c r="M1195" s="6">
        <v>172.7</v>
      </c>
      <c r="N1195" s="6">
        <v>37.299999999999997</v>
      </c>
      <c r="O1195" s="6">
        <v>15.73</v>
      </c>
      <c r="P1195" s="6">
        <v>21.57</v>
      </c>
      <c r="Q1195" t="s">
        <v>59</v>
      </c>
      <c r="R1195" t="s">
        <v>82</v>
      </c>
      <c r="S1195" t="s">
        <v>67</v>
      </c>
    </row>
    <row r="1196" spans="1:19" x14ac:dyDescent="0.35">
      <c r="A1196" t="s">
        <v>1324</v>
      </c>
      <c r="B1196" s="5">
        <v>45843</v>
      </c>
      <c r="C1196" t="s">
        <v>69</v>
      </c>
      <c r="D1196" t="s">
        <v>70</v>
      </c>
      <c r="E1196">
        <v>2</v>
      </c>
      <c r="F1196" s="6">
        <v>210</v>
      </c>
      <c r="G1196" s="7">
        <v>0</v>
      </c>
      <c r="H1196" s="6">
        <v>420</v>
      </c>
      <c r="I1196">
        <v>0</v>
      </c>
      <c r="J1196" s="6">
        <v>0</v>
      </c>
      <c r="K1196">
        <v>2</v>
      </c>
      <c r="L1196" s="6">
        <v>420</v>
      </c>
      <c r="M1196" s="6">
        <v>332.77</v>
      </c>
      <c r="N1196" s="6">
        <v>87.23</v>
      </c>
      <c r="O1196" s="6">
        <v>22.71</v>
      </c>
      <c r="P1196" s="6">
        <v>64.52</v>
      </c>
      <c r="Q1196" t="s">
        <v>81</v>
      </c>
      <c r="R1196" t="s">
        <v>66</v>
      </c>
      <c r="S1196" t="s">
        <v>61</v>
      </c>
    </row>
    <row r="1197" spans="1:19" x14ac:dyDescent="0.35">
      <c r="A1197" t="s">
        <v>1325</v>
      </c>
      <c r="B1197" s="5">
        <v>45684</v>
      </c>
      <c r="C1197" t="s">
        <v>109</v>
      </c>
      <c r="D1197" t="s">
        <v>85</v>
      </c>
      <c r="E1197">
        <v>2</v>
      </c>
      <c r="F1197" s="6">
        <v>180</v>
      </c>
      <c r="G1197" s="7">
        <v>0</v>
      </c>
      <c r="H1197" s="6">
        <v>360</v>
      </c>
      <c r="I1197">
        <v>0</v>
      </c>
      <c r="J1197" s="6">
        <v>0</v>
      </c>
      <c r="K1197">
        <v>2</v>
      </c>
      <c r="L1197" s="6">
        <v>360</v>
      </c>
      <c r="M1197" s="6">
        <v>236.46</v>
      </c>
      <c r="N1197" s="6">
        <v>123.54</v>
      </c>
      <c r="O1197" s="6">
        <v>19.97</v>
      </c>
      <c r="P1197" s="6">
        <v>103.57</v>
      </c>
      <c r="Q1197" t="s">
        <v>81</v>
      </c>
      <c r="R1197" t="s">
        <v>86</v>
      </c>
      <c r="S1197" t="s">
        <v>71</v>
      </c>
    </row>
    <row r="1198" spans="1:19" x14ac:dyDescent="0.35">
      <c r="A1198" t="s">
        <v>1326</v>
      </c>
      <c r="B1198" s="5">
        <v>45872</v>
      </c>
      <c r="C1198" t="s">
        <v>88</v>
      </c>
      <c r="D1198" t="s">
        <v>57</v>
      </c>
      <c r="E1198">
        <v>4</v>
      </c>
      <c r="F1198" s="6">
        <v>30</v>
      </c>
      <c r="G1198" s="7">
        <v>0</v>
      </c>
      <c r="H1198" s="6">
        <v>120</v>
      </c>
      <c r="I1198">
        <v>0</v>
      </c>
      <c r="J1198" s="6">
        <v>0</v>
      </c>
      <c r="K1198">
        <v>4</v>
      </c>
      <c r="L1198" s="6">
        <v>120</v>
      </c>
      <c r="M1198" s="6">
        <v>80.87</v>
      </c>
      <c r="N1198" s="6">
        <v>39.130000000000003</v>
      </c>
      <c r="O1198" s="6">
        <v>12.8</v>
      </c>
      <c r="P1198" s="6">
        <v>26.33</v>
      </c>
      <c r="Q1198" t="s">
        <v>81</v>
      </c>
      <c r="R1198" t="s">
        <v>82</v>
      </c>
      <c r="S1198" t="s">
        <v>71</v>
      </c>
    </row>
    <row r="1199" spans="1:19" x14ac:dyDescent="0.35">
      <c r="A1199" t="s">
        <v>1327</v>
      </c>
      <c r="B1199" s="5">
        <v>45947</v>
      </c>
      <c r="C1199" t="s">
        <v>84</v>
      </c>
      <c r="D1199" t="s">
        <v>85</v>
      </c>
      <c r="E1199">
        <v>2</v>
      </c>
      <c r="F1199" s="6">
        <v>48</v>
      </c>
      <c r="G1199" s="7">
        <v>0</v>
      </c>
      <c r="H1199" s="6">
        <v>96</v>
      </c>
      <c r="I1199">
        <v>0</v>
      </c>
      <c r="J1199" s="6">
        <v>0</v>
      </c>
      <c r="K1199">
        <v>2</v>
      </c>
      <c r="L1199" s="6">
        <v>96</v>
      </c>
      <c r="M1199" s="6">
        <v>59.96</v>
      </c>
      <c r="N1199" s="6">
        <v>36.04</v>
      </c>
      <c r="O1199" s="6">
        <v>6.11</v>
      </c>
      <c r="P1199" s="6">
        <v>29.93</v>
      </c>
      <c r="Q1199" t="s">
        <v>59</v>
      </c>
      <c r="R1199" t="s">
        <v>66</v>
      </c>
      <c r="S1199" t="s">
        <v>67</v>
      </c>
    </row>
    <row r="1200" spans="1:19" x14ac:dyDescent="0.35">
      <c r="A1200" t="s">
        <v>1328</v>
      </c>
      <c r="B1200" s="5">
        <v>45702</v>
      </c>
      <c r="C1200" t="s">
        <v>125</v>
      </c>
      <c r="D1200" t="s">
        <v>85</v>
      </c>
      <c r="E1200">
        <v>5</v>
      </c>
      <c r="F1200" s="6">
        <v>125</v>
      </c>
      <c r="G1200" s="7">
        <v>0</v>
      </c>
      <c r="H1200" s="6">
        <v>625</v>
      </c>
      <c r="I1200">
        <v>0</v>
      </c>
      <c r="J1200" s="6">
        <v>0</v>
      </c>
      <c r="K1200">
        <v>5</v>
      </c>
      <c r="L1200" s="6">
        <v>625</v>
      </c>
      <c r="M1200" s="6">
        <v>424.08</v>
      </c>
      <c r="N1200" s="6">
        <v>200.92</v>
      </c>
      <c r="O1200" s="6">
        <v>74.209999999999994</v>
      </c>
      <c r="P1200" s="6">
        <v>126.71</v>
      </c>
      <c r="Q1200" t="s">
        <v>65</v>
      </c>
      <c r="R1200" t="s">
        <v>66</v>
      </c>
      <c r="S1200" t="s">
        <v>61</v>
      </c>
    </row>
    <row r="1201" spans="1:19" x14ac:dyDescent="0.35">
      <c r="A1201" t="s">
        <v>1329</v>
      </c>
      <c r="B1201" s="5">
        <v>45937</v>
      </c>
      <c r="C1201" t="s">
        <v>264</v>
      </c>
      <c r="D1201" t="s">
        <v>85</v>
      </c>
      <c r="E1201">
        <v>10</v>
      </c>
      <c r="F1201" s="6">
        <v>20</v>
      </c>
      <c r="G1201" s="7">
        <v>10</v>
      </c>
      <c r="H1201" s="6">
        <v>180</v>
      </c>
      <c r="I1201">
        <v>0</v>
      </c>
      <c r="J1201" s="6">
        <v>0</v>
      </c>
      <c r="K1201">
        <v>10</v>
      </c>
      <c r="L1201" s="6">
        <v>180</v>
      </c>
      <c r="M1201" s="6">
        <v>142.12</v>
      </c>
      <c r="N1201" s="6">
        <v>37.880000000000003</v>
      </c>
      <c r="O1201" s="6">
        <v>11.38</v>
      </c>
      <c r="P1201" s="6">
        <v>26.5</v>
      </c>
      <c r="Q1201" t="s">
        <v>59</v>
      </c>
      <c r="R1201" t="s">
        <v>86</v>
      </c>
      <c r="S1201" t="s">
        <v>67</v>
      </c>
    </row>
    <row r="1202" spans="1:19" x14ac:dyDescent="0.35">
      <c r="A1202" t="s">
        <v>1330</v>
      </c>
      <c r="B1202" s="5">
        <v>45833</v>
      </c>
      <c r="C1202" t="s">
        <v>73</v>
      </c>
      <c r="D1202" t="s">
        <v>74</v>
      </c>
      <c r="E1202">
        <v>3</v>
      </c>
      <c r="F1202" s="6">
        <v>280</v>
      </c>
      <c r="G1202" s="7">
        <v>10</v>
      </c>
      <c r="H1202" s="6">
        <v>756</v>
      </c>
      <c r="I1202">
        <v>0</v>
      </c>
      <c r="J1202" s="6">
        <v>0</v>
      </c>
      <c r="K1202">
        <v>3</v>
      </c>
      <c r="L1202" s="6">
        <v>756</v>
      </c>
      <c r="M1202" s="6">
        <v>538.95000000000005</v>
      </c>
      <c r="N1202" s="6">
        <v>217.05</v>
      </c>
      <c r="O1202" s="6">
        <v>86.36</v>
      </c>
      <c r="P1202" s="6">
        <v>130.69</v>
      </c>
      <c r="Q1202" t="s">
        <v>81</v>
      </c>
      <c r="R1202" t="s">
        <v>66</v>
      </c>
      <c r="S1202" t="s">
        <v>76</v>
      </c>
    </row>
    <row r="1203" spans="1:19" x14ac:dyDescent="0.35">
      <c r="A1203" t="s">
        <v>1331</v>
      </c>
      <c r="B1203" s="5">
        <v>45744</v>
      </c>
      <c r="C1203" t="s">
        <v>63</v>
      </c>
      <c r="D1203" t="s">
        <v>64</v>
      </c>
      <c r="E1203">
        <v>2</v>
      </c>
      <c r="F1203" s="6">
        <v>145</v>
      </c>
      <c r="G1203" s="7">
        <v>0</v>
      </c>
      <c r="H1203" s="6">
        <v>290</v>
      </c>
      <c r="I1203">
        <v>0</v>
      </c>
      <c r="J1203" s="6">
        <v>0</v>
      </c>
      <c r="K1203">
        <v>2</v>
      </c>
      <c r="L1203" s="6">
        <v>290</v>
      </c>
      <c r="M1203" s="6">
        <v>228.2</v>
      </c>
      <c r="N1203" s="6">
        <v>61.8</v>
      </c>
      <c r="O1203" s="6">
        <v>29.92</v>
      </c>
      <c r="P1203" s="6">
        <v>31.88</v>
      </c>
      <c r="Q1203" t="s">
        <v>81</v>
      </c>
      <c r="R1203" t="s">
        <v>60</v>
      </c>
      <c r="S1203" t="s">
        <v>67</v>
      </c>
    </row>
    <row r="1204" spans="1:19" x14ac:dyDescent="0.35">
      <c r="A1204" t="s">
        <v>1332</v>
      </c>
      <c r="B1204" s="5">
        <v>45953</v>
      </c>
      <c r="C1204" t="s">
        <v>95</v>
      </c>
      <c r="D1204" t="s">
        <v>64</v>
      </c>
      <c r="E1204">
        <v>6</v>
      </c>
      <c r="F1204" s="6">
        <v>52</v>
      </c>
      <c r="G1204" s="7">
        <v>2</v>
      </c>
      <c r="H1204" s="6">
        <v>305.76</v>
      </c>
      <c r="I1204">
        <v>0</v>
      </c>
      <c r="J1204" s="6">
        <v>0</v>
      </c>
      <c r="K1204">
        <v>6</v>
      </c>
      <c r="L1204" s="6">
        <v>305.76</v>
      </c>
      <c r="M1204" s="6">
        <v>248.5</v>
      </c>
      <c r="N1204" s="6">
        <v>57.26</v>
      </c>
      <c r="O1204" s="6">
        <v>20.010000000000002</v>
      </c>
      <c r="P1204" s="6">
        <v>37.25</v>
      </c>
      <c r="Q1204" t="s">
        <v>81</v>
      </c>
      <c r="R1204" t="s">
        <v>82</v>
      </c>
      <c r="S1204" t="s">
        <v>61</v>
      </c>
    </row>
    <row r="1205" spans="1:19" x14ac:dyDescent="0.35">
      <c r="A1205" t="s">
        <v>1333</v>
      </c>
      <c r="B1205" s="5">
        <v>45936</v>
      </c>
      <c r="C1205" t="s">
        <v>109</v>
      </c>
      <c r="D1205" t="s">
        <v>85</v>
      </c>
      <c r="E1205">
        <v>1</v>
      </c>
      <c r="F1205" s="6">
        <v>180</v>
      </c>
      <c r="G1205" s="7">
        <v>0</v>
      </c>
      <c r="H1205" s="6">
        <v>180</v>
      </c>
      <c r="I1205">
        <v>0</v>
      </c>
      <c r="J1205" s="6">
        <v>0</v>
      </c>
      <c r="K1205">
        <v>1</v>
      </c>
      <c r="L1205" s="6">
        <v>180</v>
      </c>
      <c r="M1205" s="6">
        <v>147.58000000000001</v>
      </c>
      <c r="N1205" s="6">
        <v>32.42</v>
      </c>
      <c r="O1205" s="6">
        <v>13.58</v>
      </c>
      <c r="P1205" s="6">
        <v>18.84</v>
      </c>
      <c r="Q1205" t="s">
        <v>75</v>
      </c>
      <c r="R1205" t="s">
        <v>86</v>
      </c>
      <c r="S1205" t="s">
        <v>61</v>
      </c>
    </row>
    <row r="1206" spans="1:19" x14ac:dyDescent="0.35">
      <c r="A1206" t="s">
        <v>1334</v>
      </c>
      <c r="B1206" s="5">
        <v>45952</v>
      </c>
      <c r="C1206" t="s">
        <v>121</v>
      </c>
      <c r="D1206" t="s">
        <v>70</v>
      </c>
      <c r="E1206">
        <v>3</v>
      </c>
      <c r="F1206" s="6">
        <v>110</v>
      </c>
      <c r="G1206" s="7">
        <v>2</v>
      </c>
      <c r="H1206" s="6">
        <v>323.39999999999998</v>
      </c>
      <c r="I1206">
        <v>0</v>
      </c>
      <c r="J1206" s="6">
        <v>0</v>
      </c>
      <c r="K1206">
        <v>3</v>
      </c>
      <c r="L1206" s="6">
        <v>323.39999999999998</v>
      </c>
      <c r="M1206" s="6">
        <v>272.05</v>
      </c>
      <c r="N1206" s="6">
        <v>51.35</v>
      </c>
      <c r="O1206" s="6">
        <v>39.51</v>
      </c>
      <c r="P1206" s="6">
        <v>11.84</v>
      </c>
      <c r="Q1206" t="s">
        <v>81</v>
      </c>
      <c r="R1206" t="s">
        <v>60</v>
      </c>
      <c r="S1206" t="s">
        <v>71</v>
      </c>
    </row>
    <row r="1207" spans="1:19" x14ac:dyDescent="0.35">
      <c r="A1207" t="s">
        <v>1335</v>
      </c>
      <c r="B1207" s="5">
        <v>45863</v>
      </c>
      <c r="C1207" t="s">
        <v>109</v>
      </c>
      <c r="D1207" t="s">
        <v>85</v>
      </c>
      <c r="E1207">
        <v>3</v>
      </c>
      <c r="F1207" s="6">
        <v>180</v>
      </c>
      <c r="G1207" s="7">
        <v>0</v>
      </c>
      <c r="H1207" s="6">
        <v>540</v>
      </c>
      <c r="I1207">
        <v>0</v>
      </c>
      <c r="J1207" s="6">
        <v>0</v>
      </c>
      <c r="K1207">
        <v>3</v>
      </c>
      <c r="L1207" s="6">
        <v>540</v>
      </c>
      <c r="M1207" s="6">
        <v>368.83</v>
      </c>
      <c r="N1207" s="6">
        <v>171.17</v>
      </c>
      <c r="O1207" s="6">
        <v>40.200000000000003</v>
      </c>
      <c r="P1207" s="6">
        <v>130.97</v>
      </c>
      <c r="Q1207" t="s">
        <v>81</v>
      </c>
      <c r="R1207" t="s">
        <v>66</v>
      </c>
      <c r="S1207" t="s">
        <v>61</v>
      </c>
    </row>
    <row r="1208" spans="1:19" x14ac:dyDescent="0.35">
      <c r="A1208" t="s">
        <v>1336</v>
      </c>
      <c r="B1208" s="5">
        <v>45939</v>
      </c>
      <c r="C1208" t="s">
        <v>114</v>
      </c>
      <c r="D1208" t="s">
        <v>64</v>
      </c>
      <c r="E1208">
        <v>4</v>
      </c>
      <c r="F1208" s="6">
        <v>420</v>
      </c>
      <c r="G1208" s="7">
        <v>5</v>
      </c>
      <c r="H1208" s="6">
        <v>1596</v>
      </c>
      <c r="I1208">
        <v>0</v>
      </c>
      <c r="J1208" s="6">
        <v>0</v>
      </c>
      <c r="K1208">
        <v>4</v>
      </c>
      <c r="L1208" s="6">
        <v>1596</v>
      </c>
      <c r="M1208" s="6">
        <v>1163.93</v>
      </c>
      <c r="N1208" s="6">
        <v>432.07</v>
      </c>
      <c r="O1208" s="6">
        <v>129.33000000000001</v>
      </c>
      <c r="P1208" s="6">
        <v>302.74</v>
      </c>
      <c r="Q1208" t="s">
        <v>81</v>
      </c>
      <c r="R1208" t="s">
        <v>66</v>
      </c>
      <c r="S1208" t="s">
        <v>61</v>
      </c>
    </row>
    <row r="1209" spans="1:19" x14ac:dyDescent="0.35">
      <c r="A1209" t="s">
        <v>1337</v>
      </c>
      <c r="B1209" s="5">
        <v>45994</v>
      </c>
      <c r="C1209" t="s">
        <v>100</v>
      </c>
      <c r="D1209" t="s">
        <v>64</v>
      </c>
      <c r="E1209">
        <v>8</v>
      </c>
      <c r="F1209" s="6">
        <v>310</v>
      </c>
      <c r="G1209" s="7">
        <v>0</v>
      </c>
      <c r="H1209" s="6">
        <v>2480</v>
      </c>
      <c r="I1209">
        <v>0</v>
      </c>
      <c r="J1209" s="6">
        <v>0</v>
      </c>
      <c r="K1209">
        <v>8</v>
      </c>
      <c r="L1209" s="6">
        <v>2480</v>
      </c>
      <c r="M1209" s="6">
        <v>1839.6</v>
      </c>
      <c r="N1209" s="6">
        <v>640.4</v>
      </c>
      <c r="O1209" s="6">
        <v>224.85</v>
      </c>
      <c r="P1209" s="6">
        <v>415.55</v>
      </c>
      <c r="Q1209" t="s">
        <v>65</v>
      </c>
      <c r="R1209" t="s">
        <v>66</v>
      </c>
      <c r="S1209" t="s">
        <v>71</v>
      </c>
    </row>
    <row r="1210" spans="1:19" x14ac:dyDescent="0.35">
      <c r="A1210" t="s">
        <v>1338</v>
      </c>
      <c r="B1210" s="5">
        <v>45747</v>
      </c>
      <c r="C1210" t="s">
        <v>104</v>
      </c>
      <c r="D1210" t="s">
        <v>105</v>
      </c>
      <c r="E1210">
        <v>1</v>
      </c>
      <c r="F1210" s="6">
        <v>65</v>
      </c>
      <c r="G1210" s="7">
        <v>15</v>
      </c>
      <c r="H1210" s="6">
        <v>55.25</v>
      </c>
      <c r="I1210">
        <v>0</v>
      </c>
      <c r="J1210" s="6">
        <v>0</v>
      </c>
      <c r="K1210">
        <v>1</v>
      </c>
      <c r="L1210" s="6">
        <v>55.25</v>
      </c>
      <c r="M1210" s="6">
        <v>40.39</v>
      </c>
      <c r="N1210" s="6">
        <v>14.86</v>
      </c>
      <c r="O1210" s="6">
        <v>3.9</v>
      </c>
      <c r="P1210" s="6">
        <v>10.96</v>
      </c>
      <c r="Q1210" t="s">
        <v>65</v>
      </c>
      <c r="R1210" t="s">
        <v>66</v>
      </c>
      <c r="S1210" t="s">
        <v>76</v>
      </c>
    </row>
    <row r="1211" spans="1:19" x14ac:dyDescent="0.35">
      <c r="A1211" t="s">
        <v>1339</v>
      </c>
      <c r="B1211" s="5">
        <v>45821</v>
      </c>
      <c r="C1211" t="s">
        <v>121</v>
      </c>
      <c r="D1211" t="s">
        <v>70</v>
      </c>
      <c r="E1211" t="s">
        <v>115</v>
      </c>
      <c r="F1211" s="6">
        <v>110</v>
      </c>
      <c r="G1211" s="7">
        <v>0</v>
      </c>
      <c r="H1211" s="6">
        <v>440</v>
      </c>
      <c r="I1211">
        <v>0</v>
      </c>
      <c r="J1211" s="6">
        <v>0</v>
      </c>
      <c r="K1211">
        <v>4</v>
      </c>
      <c r="L1211" s="6">
        <v>440</v>
      </c>
      <c r="M1211" s="6">
        <v>353.81</v>
      </c>
      <c r="N1211" s="6">
        <v>86.19</v>
      </c>
      <c r="O1211" s="6">
        <v>53.69</v>
      </c>
      <c r="P1211" s="6">
        <v>32.5</v>
      </c>
      <c r="Q1211" t="s">
        <v>59</v>
      </c>
      <c r="R1211" t="s">
        <v>60</v>
      </c>
      <c r="S1211" t="s">
        <v>67</v>
      </c>
    </row>
    <row r="1212" spans="1:19" x14ac:dyDescent="0.35">
      <c r="A1212" t="s">
        <v>1340</v>
      </c>
      <c r="B1212" s="5">
        <v>45799</v>
      </c>
      <c r="C1212" t="s">
        <v>88</v>
      </c>
      <c r="D1212" t="s">
        <v>57</v>
      </c>
      <c r="E1212">
        <v>1</v>
      </c>
      <c r="F1212" s="6">
        <v>30</v>
      </c>
      <c r="G1212" s="7">
        <v>0</v>
      </c>
      <c r="H1212" s="6">
        <v>30</v>
      </c>
      <c r="I1212">
        <v>0</v>
      </c>
      <c r="J1212" s="6">
        <v>0</v>
      </c>
      <c r="K1212">
        <v>1</v>
      </c>
      <c r="L1212" s="6">
        <v>30</v>
      </c>
      <c r="M1212" s="6">
        <v>22.25</v>
      </c>
      <c r="N1212" s="6">
        <v>7.75</v>
      </c>
      <c r="O1212" s="6">
        <v>3.69</v>
      </c>
      <c r="P1212" s="6">
        <v>4.0599999999999996</v>
      </c>
      <c r="Q1212" t="s">
        <v>81</v>
      </c>
      <c r="R1212" t="s">
        <v>147</v>
      </c>
      <c r="S1212" t="s">
        <v>71</v>
      </c>
    </row>
    <row r="1213" spans="1:19" x14ac:dyDescent="0.35">
      <c r="A1213" t="s">
        <v>1341</v>
      </c>
      <c r="B1213" s="5">
        <v>45887</v>
      </c>
      <c r="C1213" t="s">
        <v>69</v>
      </c>
      <c r="D1213" t="s">
        <v>70</v>
      </c>
      <c r="E1213">
        <v>3</v>
      </c>
      <c r="F1213" s="6">
        <v>210</v>
      </c>
      <c r="G1213" s="7">
        <v>0</v>
      </c>
      <c r="H1213" s="6">
        <v>630</v>
      </c>
      <c r="I1213">
        <v>0</v>
      </c>
      <c r="J1213" s="6">
        <v>0</v>
      </c>
      <c r="K1213">
        <v>3</v>
      </c>
      <c r="L1213" s="6">
        <v>630</v>
      </c>
      <c r="M1213" s="6">
        <v>474.5</v>
      </c>
      <c r="N1213" s="6">
        <v>155.5</v>
      </c>
      <c r="O1213" s="6">
        <v>74.83</v>
      </c>
      <c r="P1213" s="6">
        <v>80.67</v>
      </c>
      <c r="Q1213" t="s">
        <v>65</v>
      </c>
      <c r="R1213" t="s">
        <v>86</v>
      </c>
      <c r="S1213" t="s">
        <v>71</v>
      </c>
    </row>
    <row r="1214" spans="1:19" x14ac:dyDescent="0.35">
      <c r="A1214" t="s">
        <v>1342</v>
      </c>
      <c r="B1214" s="5">
        <v>45957</v>
      </c>
      <c r="C1214" t="s">
        <v>90</v>
      </c>
      <c r="D1214" t="s">
        <v>683</v>
      </c>
      <c r="E1214">
        <v>3</v>
      </c>
      <c r="F1214" s="6">
        <v>38</v>
      </c>
      <c r="G1214" s="7">
        <v>0</v>
      </c>
      <c r="H1214" s="6">
        <v>114</v>
      </c>
      <c r="I1214">
        <v>0</v>
      </c>
      <c r="J1214" s="6">
        <v>0</v>
      </c>
      <c r="K1214">
        <v>3</v>
      </c>
      <c r="L1214" s="6">
        <v>114</v>
      </c>
      <c r="M1214" s="6">
        <v>90.76</v>
      </c>
      <c r="N1214" s="6">
        <v>23.24</v>
      </c>
      <c r="O1214" s="6">
        <v>11.44</v>
      </c>
      <c r="P1214" s="6">
        <v>11.8</v>
      </c>
      <c r="Q1214" t="s">
        <v>81</v>
      </c>
      <c r="R1214" t="s">
        <v>66</v>
      </c>
      <c r="S1214" t="s">
        <v>67</v>
      </c>
    </row>
    <row r="1215" spans="1:19" x14ac:dyDescent="0.35">
      <c r="A1215" t="s">
        <v>1343</v>
      </c>
      <c r="B1215" s="5">
        <v>45970</v>
      </c>
      <c r="C1215" t="s">
        <v>84</v>
      </c>
      <c r="D1215" t="s">
        <v>85</v>
      </c>
      <c r="E1215">
        <v>4</v>
      </c>
      <c r="F1215" s="6">
        <v>48</v>
      </c>
      <c r="G1215" s="7">
        <v>5</v>
      </c>
      <c r="H1215" s="6">
        <v>182.4</v>
      </c>
      <c r="I1215">
        <v>0</v>
      </c>
      <c r="J1215" s="6">
        <v>0</v>
      </c>
      <c r="K1215">
        <v>4</v>
      </c>
      <c r="L1215" s="6">
        <v>182.4</v>
      </c>
      <c r="M1215" s="6">
        <v>119.14</v>
      </c>
      <c r="N1215" s="6">
        <v>63.26</v>
      </c>
      <c r="O1215" s="6">
        <v>21.1</v>
      </c>
      <c r="P1215" s="6">
        <v>42.16</v>
      </c>
      <c r="Q1215" t="s">
        <v>81</v>
      </c>
      <c r="R1215" t="s">
        <v>82</v>
      </c>
      <c r="S1215" t="s">
        <v>61</v>
      </c>
    </row>
    <row r="1216" spans="1:19" x14ac:dyDescent="0.35">
      <c r="A1216" t="s">
        <v>1344</v>
      </c>
      <c r="B1216" s="5">
        <v>45675</v>
      </c>
      <c r="C1216" t="s">
        <v>63</v>
      </c>
      <c r="D1216" t="s">
        <v>64</v>
      </c>
      <c r="E1216">
        <v>1</v>
      </c>
      <c r="F1216" s="6">
        <v>145</v>
      </c>
      <c r="G1216" s="7">
        <v>5</v>
      </c>
      <c r="H1216" s="6">
        <v>137.75</v>
      </c>
      <c r="I1216">
        <v>0</v>
      </c>
      <c r="J1216" s="6">
        <v>0</v>
      </c>
      <c r="K1216">
        <v>1</v>
      </c>
      <c r="L1216" s="6">
        <v>137.75</v>
      </c>
      <c r="M1216" s="6">
        <v>100.93</v>
      </c>
      <c r="N1216" s="6">
        <v>36.82</v>
      </c>
      <c r="O1216" s="6">
        <v>15.11</v>
      </c>
      <c r="P1216" s="6">
        <v>21.71</v>
      </c>
      <c r="Q1216" t="s">
        <v>65</v>
      </c>
      <c r="R1216" t="s">
        <v>60</v>
      </c>
      <c r="S1216" t="s">
        <v>76</v>
      </c>
    </row>
    <row r="1217" spans="1:19" x14ac:dyDescent="0.35">
      <c r="A1217" t="s">
        <v>1345</v>
      </c>
      <c r="B1217" s="5">
        <v>45880</v>
      </c>
      <c r="C1217" t="s">
        <v>125</v>
      </c>
      <c r="D1217" t="s">
        <v>85</v>
      </c>
      <c r="E1217">
        <v>4</v>
      </c>
      <c r="F1217" s="6">
        <v>125</v>
      </c>
      <c r="G1217" s="7">
        <v>0</v>
      </c>
      <c r="H1217" s="6">
        <v>500</v>
      </c>
      <c r="I1217">
        <v>0</v>
      </c>
      <c r="J1217" s="6">
        <v>0</v>
      </c>
      <c r="K1217">
        <v>4</v>
      </c>
      <c r="L1217" s="6">
        <v>500</v>
      </c>
      <c r="M1217" s="6">
        <v>402.18</v>
      </c>
      <c r="N1217" s="6">
        <v>97.82</v>
      </c>
      <c r="O1217" s="6">
        <v>43.3</v>
      </c>
      <c r="P1217" s="6">
        <v>54.52</v>
      </c>
      <c r="Q1217" t="s">
        <v>75</v>
      </c>
      <c r="R1217" t="s">
        <v>66</v>
      </c>
      <c r="S1217" t="s">
        <v>61</v>
      </c>
    </row>
    <row r="1218" spans="1:19" x14ac:dyDescent="0.35">
      <c r="A1218" t="s">
        <v>1346</v>
      </c>
      <c r="B1218" s="5">
        <v>45899</v>
      </c>
      <c r="C1218" t="s">
        <v>84</v>
      </c>
      <c r="D1218" t="s">
        <v>110</v>
      </c>
      <c r="E1218">
        <v>2</v>
      </c>
      <c r="F1218" s="6">
        <v>48</v>
      </c>
      <c r="G1218" s="7">
        <v>2</v>
      </c>
      <c r="H1218" s="6">
        <v>94.08</v>
      </c>
      <c r="I1218">
        <v>0</v>
      </c>
      <c r="J1218" s="6">
        <v>0</v>
      </c>
      <c r="K1218">
        <v>2</v>
      </c>
      <c r="L1218" s="6">
        <v>94.08</v>
      </c>
      <c r="M1218" s="6">
        <v>72.84</v>
      </c>
      <c r="N1218" s="6">
        <v>21.24</v>
      </c>
      <c r="O1218" s="6">
        <v>11.04</v>
      </c>
      <c r="P1218" s="6">
        <v>10.199999999999999</v>
      </c>
      <c r="Q1218" t="s">
        <v>65</v>
      </c>
      <c r="R1218" t="s">
        <v>82</v>
      </c>
      <c r="S1218" t="s">
        <v>76</v>
      </c>
    </row>
    <row r="1219" spans="1:19" x14ac:dyDescent="0.35">
      <c r="A1219" t="s">
        <v>1347</v>
      </c>
      <c r="B1219" s="5">
        <v>45666</v>
      </c>
      <c r="C1219" t="s">
        <v>69</v>
      </c>
      <c r="D1219" t="s">
        <v>70</v>
      </c>
      <c r="E1219">
        <v>3</v>
      </c>
      <c r="F1219" s="6">
        <v>210</v>
      </c>
      <c r="G1219" s="7">
        <v>15</v>
      </c>
      <c r="H1219" s="6">
        <v>535.5</v>
      </c>
      <c r="I1219">
        <v>0</v>
      </c>
      <c r="J1219" s="6">
        <v>0</v>
      </c>
      <c r="K1219">
        <v>3</v>
      </c>
      <c r="L1219" s="6">
        <v>535.5</v>
      </c>
      <c r="M1219" s="6">
        <v>363.82</v>
      </c>
      <c r="N1219" s="6">
        <v>171.68</v>
      </c>
      <c r="O1219" s="6">
        <v>29.77</v>
      </c>
      <c r="P1219" s="6">
        <v>141.91</v>
      </c>
      <c r="Q1219" t="s">
        <v>75</v>
      </c>
      <c r="R1219" t="s">
        <v>66</v>
      </c>
      <c r="S1219" t="s">
        <v>67</v>
      </c>
    </row>
    <row r="1220" spans="1:19" x14ac:dyDescent="0.35">
      <c r="A1220" t="s">
        <v>1348</v>
      </c>
      <c r="B1220" s="5">
        <v>45791</v>
      </c>
      <c r="C1220" t="s">
        <v>97</v>
      </c>
      <c r="D1220" t="s">
        <v>57</v>
      </c>
      <c r="E1220">
        <v>10</v>
      </c>
      <c r="F1220" s="6">
        <v>55</v>
      </c>
      <c r="G1220" s="7">
        <v>10</v>
      </c>
      <c r="H1220" s="6">
        <v>495</v>
      </c>
      <c r="I1220">
        <v>0</v>
      </c>
      <c r="J1220" s="6">
        <v>0</v>
      </c>
      <c r="K1220">
        <v>10</v>
      </c>
      <c r="L1220" s="6">
        <v>495</v>
      </c>
      <c r="M1220" s="6">
        <v>411.99</v>
      </c>
      <c r="N1220" s="6">
        <v>83.01</v>
      </c>
      <c r="O1220" s="6">
        <v>49.86</v>
      </c>
      <c r="P1220" s="6">
        <v>33.15</v>
      </c>
      <c r="Q1220" t="s">
        <v>75</v>
      </c>
      <c r="R1220" t="s">
        <v>86</v>
      </c>
      <c r="S1220" t="s">
        <v>76</v>
      </c>
    </row>
    <row r="1221" spans="1:19" x14ac:dyDescent="0.35">
      <c r="A1221" t="s">
        <v>1349</v>
      </c>
      <c r="B1221" s="5">
        <v>45984</v>
      </c>
      <c r="C1221" t="s">
        <v>95</v>
      </c>
      <c r="D1221" t="s">
        <v>64</v>
      </c>
      <c r="E1221">
        <v>3</v>
      </c>
      <c r="F1221" s="6">
        <v>52</v>
      </c>
      <c r="G1221" s="7">
        <v>5</v>
      </c>
      <c r="H1221" s="6">
        <v>148.19999999999999</v>
      </c>
      <c r="I1221">
        <v>0</v>
      </c>
      <c r="J1221" s="6">
        <v>0</v>
      </c>
      <c r="K1221">
        <v>3</v>
      </c>
      <c r="L1221" s="6">
        <v>148.19999999999999</v>
      </c>
      <c r="M1221" s="6">
        <v>101.54</v>
      </c>
      <c r="N1221" s="6">
        <v>46.66</v>
      </c>
      <c r="O1221" s="6">
        <v>15.49</v>
      </c>
      <c r="P1221" s="6">
        <v>31.17</v>
      </c>
      <c r="Q1221" t="s">
        <v>59</v>
      </c>
      <c r="R1221" t="s">
        <v>82</v>
      </c>
      <c r="S1221" t="s">
        <v>61</v>
      </c>
    </row>
    <row r="1222" spans="1:19" x14ac:dyDescent="0.35">
      <c r="A1222" t="s">
        <v>1350</v>
      </c>
      <c r="B1222" s="5">
        <v>45971</v>
      </c>
      <c r="C1222" t="s">
        <v>121</v>
      </c>
      <c r="D1222" t="s">
        <v>70</v>
      </c>
      <c r="E1222">
        <v>10</v>
      </c>
      <c r="F1222" s="6">
        <v>110</v>
      </c>
      <c r="G1222" s="7">
        <v>0</v>
      </c>
      <c r="H1222" s="6">
        <v>1100</v>
      </c>
      <c r="I1222">
        <v>0</v>
      </c>
      <c r="J1222" s="6">
        <v>0</v>
      </c>
      <c r="K1222">
        <v>10</v>
      </c>
      <c r="L1222" s="6">
        <v>1100</v>
      </c>
      <c r="M1222" s="6">
        <v>844.47</v>
      </c>
      <c r="N1222" s="6">
        <v>255.53</v>
      </c>
      <c r="O1222" s="6">
        <v>89.57</v>
      </c>
      <c r="P1222" s="6">
        <v>165.96</v>
      </c>
      <c r="Q1222" t="s">
        <v>65</v>
      </c>
      <c r="R1222" t="s">
        <v>66</v>
      </c>
      <c r="S1222" t="s">
        <v>67</v>
      </c>
    </row>
    <row r="1223" spans="1:19" x14ac:dyDescent="0.35">
      <c r="A1223" t="s">
        <v>1351</v>
      </c>
      <c r="B1223" s="5">
        <v>45794</v>
      </c>
      <c r="C1223" t="s">
        <v>78</v>
      </c>
      <c r="D1223" t="s">
        <v>79</v>
      </c>
      <c r="E1223">
        <v>5</v>
      </c>
      <c r="F1223" s="6">
        <v>120</v>
      </c>
      <c r="G1223" s="7">
        <v>0</v>
      </c>
      <c r="H1223" s="6">
        <v>600</v>
      </c>
      <c r="I1223">
        <v>0</v>
      </c>
      <c r="J1223" s="6">
        <v>0</v>
      </c>
      <c r="K1223">
        <v>5</v>
      </c>
      <c r="L1223" s="6">
        <v>600</v>
      </c>
      <c r="M1223" s="6">
        <v>402.41</v>
      </c>
      <c r="N1223" s="6">
        <v>197.59</v>
      </c>
      <c r="O1223" s="6">
        <v>30.96</v>
      </c>
      <c r="P1223" s="6">
        <v>166.63</v>
      </c>
      <c r="Q1223" t="s">
        <v>65</v>
      </c>
      <c r="R1223" t="s">
        <v>66</v>
      </c>
      <c r="S1223" t="s">
        <v>61</v>
      </c>
    </row>
    <row r="1224" spans="1:19" x14ac:dyDescent="0.35">
      <c r="A1224" t="s">
        <v>1352</v>
      </c>
      <c r="B1224" s="5">
        <v>45918</v>
      </c>
      <c r="C1224" t="s">
        <v>100</v>
      </c>
      <c r="D1224" t="s">
        <v>64</v>
      </c>
      <c r="E1224">
        <v>1</v>
      </c>
      <c r="F1224" s="6">
        <v>310</v>
      </c>
      <c r="G1224" s="7">
        <v>0</v>
      </c>
      <c r="H1224" s="6">
        <v>310</v>
      </c>
      <c r="I1224">
        <v>0</v>
      </c>
      <c r="J1224" s="6">
        <v>0</v>
      </c>
      <c r="K1224">
        <v>1</v>
      </c>
      <c r="L1224" s="6">
        <v>310</v>
      </c>
      <c r="M1224" s="6">
        <v>245.17</v>
      </c>
      <c r="N1224" s="6">
        <v>64.83</v>
      </c>
      <c r="O1224" s="6">
        <v>38.659999999999997</v>
      </c>
      <c r="P1224" s="6">
        <v>26.17</v>
      </c>
      <c r="Q1224" t="s">
        <v>59</v>
      </c>
      <c r="R1224" t="s">
        <v>60</v>
      </c>
      <c r="S1224" t="s">
        <v>61</v>
      </c>
    </row>
    <row r="1225" spans="1:19" x14ac:dyDescent="0.35">
      <c r="A1225" t="s">
        <v>1353</v>
      </c>
      <c r="B1225" s="5">
        <v>45859</v>
      </c>
      <c r="C1225" t="s">
        <v>114</v>
      </c>
      <c r="D1225" t="s">
        <v>64</v>
      </c>
      <c r="E1225">
        <v>5</v>
      </c>
      <c r="F1225" s="6">
        <v>420</v>
      </c>
      <c r="G1225" s="7">
        <v>0</v>
      </c>
      <c r="H1225" s="6">
        <v>2100</v>
      </c>
      <c r="I1225">
        <v>0</v>
      </c>
      <c r="J1225" s="6">
        <v>0</v>
      </c>
      <c r="K1225">
        <v>5</v>
      </c>
      <c r="L1225" s="6">
        <v>2100</v>
      </c>
      <c r="M1225" s="6">
        <v>1367.94</v>
      </c>
      <c r="N1225" s="6">
        <v>732.06</v>
      </c>
      <c r="O1225" s="6">
        <v>199.06</v>
      </c>
      <c r="P1225" s="6">
        <v>533</v>
      </c>
      <c r="Q1225" t="s">
        <v>59</v>
      </c>
      <c r="R1225" t="s">
        <v>60</v>
      </c>
      <c r="S1225" t="s">
        <v>76</v>
      </c>
    </row>
    <row r="1226" spans="1:19" x14ac:dyDescent="0.35">
      <c r="A1226" t="s">
        <v>1354</v>
      </c>
      <c r="B1226" s="5">
        <v>45881</v>
      </c>
      <c r="C1226" t="s">
        <v>84</v>
      </c>
      <c r="D1226" t="s">
        <v>85</v>
      </c>
      <c r="E1226">
        <v>3</v>
      </c>
      <c r="F1226" s="6">
        <v>48</v>
      </c>
      <c r="G1226" s="7">
        <v>0</v>
      </c>
      <c r="H1226" s="6">
        <v>144</v>
      </c>
      <c r="I1226">
        <v>0</v>
      </c>
      <c r="J1226" s="6">
        <v>0</v>
      </c>
      <c r="K1226">
        <v>3</v>
      </c>
      <c r="L1226" s="6">
        <v>144</v>
      </c>
      <c r="M1226" s="6">
        <v>98.25</v>
      </c>
      <c r="N1226" s="6">
        <v>45.75</v>
      </c>
      <c r="O1226" s="6">
        <v>7.57</v>
      </c>
      <c r="P1226" s="6">
        <v>38.18</v>
      </c>
      <c r="Q1226" t="s">
        <v>59</v>
      </c>
      <c r="R1226" t="s">
        <v>86</v>
      </c>
      <c r="S1226" t="s">
        <v>71</v>
      </c>
    </row>
    <row r="1227" spans="1:19" x14ac:dyDescent="0.35">
      <c r="A1227" t="s">
        <v>1355</v>
      </c>
      <c r="B1227" s="5">
        <v>45753</v>
      </c>
      <c r="C1227" t="s">
        <v>125</v>
      </c>
      <c r="D1227" t="s">
        <v>85</v>
      </c>
      <c r="E1227">
        <v>4</v>
      </c>
      <c r="F1227" s="6">
        <v>125</v>
      </c>
      <c r="G1227" s="7">
        <v>2</v>
      </c>
      <c r="H1227" s="6">
        <v>490</v>
      </c>
      <c r="I1227">
        <v>0</v>
      </c>
      <c r="J1227" s="6">
        <v>0</v>
      </c>
      <c r="K1227">
        <v>4</v>
      </c>
      <c r="L1227" s="6">
        <v>490</v>
      </c>
      <c r="M1227" s="6">
        <v>357.94</v>
      </c>
      <c r="N1227" s="6">
        <v>132.06</v>
      </c>
      <c r="O1227" s="6">
        <v>38.340000000000003</v>
      </c>
      <c r="P1227" s="6">
        <v>93.72</v>
      </c>
      <c r="Q1227" t="s">
        <v>75</v>
      </c>
      <c r="R1227" t="s">
        <v>82</v>
      </c>
      <c r="S1227" t="s">
        <v>67</v>
      </c>
    </row>
    <row r="1228" spans="1:19" x14ac:dyDescent="0.35">
      <c r="A1228" t="s">
        <v>1356</v>
      </c>
      <c r="B1228" s="5">
        <v>45897</v>
      </c>
      <c r="C1228" t="s">
        <v>117</v>
      </c>
      <c r="D1228" t="s">
        <v>74</v>
      </c>
      <c r="E1228">
        <v>10</v>
      </c>
      <c r="F1228" s="6">
        <v>95</v>
      </c>
      <c r="G1228" s="7">
        <v>15</v>
      </c>
      <c r="H1228" s="6">
        <v>807.5</v>
      </c>
      <c r="I1228">
        <v>0</v>
      </c>
      <c r="J1228" s="6">
        <v>0</v>
      </c>
      <c r="K1228">
        <v>10</v>
      </c>
      <c r="L1228" s="6">
        <v>807.5</v>
      </c>
      <c r="M1228" s="6">
        <v>671.61</v>
      </c>
      <c r="N1228" s="6">
        <v>135.88999999999999</v>
      </c>
      <c r="O1228" s="6">
        <v>66.09</v>
      </c>
      <c r="P1228" s="6">
        <v>69.8</v>
      </c>
      <c r="Q1228" t="s">
        <v>81</v>
      </c>
      <c r="R1228" t="s">
        <v>86</v>
      </c>
      <c r="S1228" t="s">
        <v>76</v>
      </c>
    </row>
    <row r="1229" spans="1:19" x14ac:dyDescent="0.35">
      <c r="A1229" t="s">
        <v>1357</v>
      </c>
      <c r="B1229" s="5">
        <v>45743</v>
      </c>
      <c r="C1229" t="s">
        <v>56</v>
      </c>
      <c r="D1229" t="s">
        <v>57</v>
      </c>
      <c r="E1229">
        <v>4</v>
      </c>
      <c r="F1229" s="6">
        <v>40</v>
      </c>
      <c r="G1229" s="7">
        <v>2</v>
      </c>
      <c r="H1229" s="6">
        <v>156.80000000000001</v>
      </c>
      <c r="I1229">
        <v>0</v>
      </c>
      <c r="J1229" s="6">
        <v>0</v>
      </c>
      <c r="K1229">
        <v>4</v>
      </c>
      <c r="L1229" s="6">
        <v>156.80000000000001</v>
      </c>
      <c r="M1229" s="6">
        <v>131.69999999999999</v>
      </c>
      <c r="N1229" s="6">
        <v>25.1</v>
      </c>
      <c r="O1229" s="6">
        <v>9.7899999999999991</v>
      </c>
      <c r="P1229" s="6">
        <v>15.31</v>
      </c>
      <c r="Q1229" t="s">
        <v>65</v>
      </c>
      <c r="R1229" t="s">
        <v>86</v>
      </c>
      <c r="S1229" t="s">
        <v>61</v>
      </c>
    </row>
    <row r="1230" spans="1:19" x14ac:dyDescent="0.35">
      <c r="A1230" t="s">
        <v>1358</v>
      </c>
      <c r="B1230" s="5">
        <v>45738</v>
      </c>
      <c r="C1230" t="s">
        <v>92</v>
      </c>
      <c r="D1230" t="s">
        <v>79</v>
      </c>
      <c r="E1230">
        <v>5</v>
      </c>
      <c r="F1230" s="6">
        <v>85</v>
      </c>
      <c r="G1230" s="7">
        <v>0</v>
      </c>
      <c r="H1230" s="6">
        <v>425</v>
      </c>
      <c r="I1230">
        <v>0</v>
      </c>
      <c r="J1230" s="6">
        <v>0</v>
      </c>
      <c r="K1230">
        <v>5</v>
      </c>
      <c r="L1230" s="6">
        <v>425</v>
      </c>
      <c r="M1230" s="6">
        <v>347.48</v>
      </c>
      <c r="N1230" s="6">
        <v>77.52</v>
      </c>
      <c r="O1230" s="6">
        <v>48.11</v>
      </c>
      <c r="P1230" s="6">
        <v>29.41</v>
      </c>
      <c r="Q1230" t="s">
        <v>75</v>
      </c>
      <c r="R1230" t="s">
        <v>86</v>
      </c>
      <c r="S1230" t="s">
        <v>76</v>
      </c>
    </row>
    <row r="1231" spans="1:19" x14ac:dyDescent="0.35">
      <c r="A1231" t="s">
        <v>1359</v>
      </c>
      <c r="B1231" s="5">
        <v>45703</v>
      </c>
      <c r="C1231" t="s">
        <v>163</v>
      </c>
      <c r="D1231" t="s">
        <v>79</v>
      </c>
      <c r="E1231">
        <v>1</v>
      </c>
      <c r="F1231" s="6">
        <v>85</v>
      </c>
      <c r="G1231" s="7">
        <v>0</v>
      </c>
      <c r="H1231" s="6">
        <v>85</v>
      </c>
      <c r="I1231">
        <v>0</v>
      </c>
      <c r="J1231" s="6">
        <v>0</v>
      </c>
      <c r="K1231">
        <v>1</v>
      </c>
      <c r="L1231" s="6">
        <v>85</v>
      </c>
      <c r="M1231" s="6">
        <v>71.14</v>
      </c>
      <c r="N1231" s="6">
        <v>13.86</v>
      </c>
      <c r="O1231" s="6">
        <v>9.25</v>
      </c>
      <c r="P1231" s="6">
        <v>4.6100000000000003</v>
      </c>
      <c r="Q1231" t="s">
        <v>59</v>
      </c>
      <c r="R1231" t="s">
        <v>60</v>
      </c>
      <c r="S1231" t="s">
        <v>71</v>
      </c>
    </row>
    <row r="1232" spans="1:19" x14ac:dyDescent="0.35">
      <c r="A1232" t="s">
        <v>1360</v>
      </c>
      <c r="B1232" s="5">
        <v>45919</v>
      </c>
      <c r="C1232" t="s">
        <v>121</v>
      </c>
      <c r="D1232" t="s">
        <v>70</v>
      </c>
      <c r="E1232">
        <v>3</v>
      </c>
      <c r="F1232" s="6">
        <v>110</v>
      </c>
      <c r="G1232" s="7">
        <v>0</v>
      </c>
      <c r="H1232" s="6">
        <v>330</v>
      </c>
      <c r="I1232">
        <v>0</v>
      </c>
      <c r="J1232" s="6">
        <v>0</v>
      </c>
      <c r="K1232">
        <v>3</v>
      </c>
      <c r="L1232" s="6">
        <v>330</v>
      </c>
      <c r="M1232" s="6">
        <v>216.84</v>
      </c>
      <c r="N1232" s="6">
        <v>113.16</v>
      </c>
      <c r="O1232" s="6">
        <v>26.18</v>
      </c>
      <c r="P1232" s="6">
        <v>86.98</v>
      </c>
      <c r="Q1232" t="s">
        <v>65</v>
      </c>
      <c r="R1232" t="s">
        <v>82</v>
      </c>
      <c r="S1232" t="s">
        <v>71</v>
      </c>
    </row>
    <row r="1233" spans="1:19" x14ac:dyDescent="0.35">
      <c r="A1233" t="s">
        <v>1361</v>
      </c>
      <c r="B1233" s="5">
        <v>46005</v>
      </c>
      <c r="C1233" t="s">
        <v>56</v>
      </c>
      <c r="D1233" t="s">
        <v>57</v>
      </c>
      <c r="E1233">
        <v>1</v>
      </c>
      <c r="F1233" s="6">
        <v>40</v>
      </c>
      <c r="G1233" s="7">
        <v>0</v>
      </c>
      <c r="H1233" s="6">
        <v>40</v>
      </c>
      <c r="I1233">
        <v>0</v>
      </c>
      <c r="J1233" s="6">
        <v>0</v>
      </c>
      <c r="K1233">
        <v>1</v>
      </c>
      <c r="L1233" s="6">
        <v>40</v>
      </c>
      <c r="M1233" s="6">
        <v>26.7</v>
      </c>
      <c r="N1233" s="6">
        <v>13.3</v>
      </c>
      <c r="O1233" s="6">
        <v>2.56</v>
      </c>
      <c r="P1233" s="6">
        <v>10.74</v>
      </c>
      <c r="Q1233" t="s">
        <v>81</v>
      </c>
      <c r="R1233" t="s">
        <v>82</v>
      </c>
      <c r="S1233" t="s">
        <v>67</v>
      </c>
    </row>
    <row r="1234" spans="1:19" x14ac:dyDescent="0.35">
      <c r="A1234" t="s">
        <v>1362</v>
      </c>
      <c r="B1234" s="5">
        <v>45946</v>
      </c>
      <c r="C1234" t="s">
        <v>92</v>
      </c>
      <c r="D1234" t="s">
        <v>79</v>
      </c>
      <c r="E1234">
        <v>3</v>
      </c>
      <c r="F1234" s="6">
        <v>85</v>
      </c>
      <c r="G1234" s="7">
        <v>0</v>
      </c>
      <c r="H1234" s="6">
        <v>255</v>
      </c>
      <c r="I1234">
        <v>0</v>
      </c>
      <c r="J1234" s="6">
        <v>0</v>
      </c>
      <c r="K1234">
        <v>3</v>
      </c>
      <c r="L1234" s="6">
        <v>255</v>
      </c>
      <c r="M1234" s="6">
        <v>174.11</v>
      </c>
      <c r="N1234" s="6">
        <v>80.89</v>
      </c>
      <c r="O1234" s="6">
        <v>21.28</v>
      </c>
      <c r="P1234" s="6">
        <v>59.61</v>
      </c>
      <c r="Q1234" t="s">
        <v>65</v>
      </c>
      <c r="R1234" t="s">
        <v>82</v>
      </c>
      <c r="S1234" t="s">
        <v>71</v>
      </c>
    </row>
    <row r="1235" spans="1:19" x14ac:dyDescent="0.35">
      <c r="A1235" t="s">
        <v>1363</v>
      </c>
      <c r="B1235" s="5">
        <v>45798</v>
      </c>
      <c r="C1235" t="s">
        <v>107</v>
      </c>
      <c r="D1235" t="s">
        <v>74</v>
      </c>
      <c r="E1235">
        <v>5</v>
      </c>
      <c r="F1235" s="6">
        <v>125</v>
      </c>
      <c r="G1235" s="7">
        <v>2</v>
      </c>
      <c r="H1235" s="6">
        <v>612.5</v>
      </c>
      <c r="I1235">
        <v>0</v>
      </c>
      <c r="J1235" s="6">
        <v>0</v>
      </c>
      <c r="K1235">
        <v>5</v>
      </c>
      <c r="L1235" s="6">
        <v>612.5</v>
      </c>
      <c r="M1235" s="6">
        <v>521.52</v>
      </c>
      <c r="N1235" s="6">
        <v>90.98</v>
      </c>
      <c r="O1235" s="6">
        <v>65.62</v>
      </c>
      <c r="P1235" s="6">
        <v>25.36</v>
      </c>
      <c r="Q1235" t="s">
        <v>81</v>
      </c>
      <c r="R1235" t="s">
        <v>60</v>
      </c>
      <c r="S1235" t="s">
        <v>61</v>
      </c>
    </row>
    <row r="1236" spans="1:19" x14ac:dyDescent="0.35">
      <c r="A1236" t="s">
        <v>1364</v>
      </c>
      <c r="B1236" s="5">
        <v>45941</v>
      </c>
      <c r="C1236" t="s">
        <v>56</v>
      </c>
      <c r="D1236" t="s">
        <v>57</v>
      </c>
      <c r="E1236">
        <v>1</v>
      </c>
      <c r="F1236" s="6">
        <v>40</v>
      </c>
      <c r="G1236" s="7">
        <v>0</v>
      </c>
      <c r="H1236" s="6">
        <v>40</v>
      </c>
      <c r="I1236">
        <v>0</v>
      </c>
      <c r="J1236" s="6">
        <v>0</v>
      </c>
      <c r="K1236">
        <v>1</v>
      </c>
      <c r="L1236" s="6">
        <v>40</v>
      </c>
      <c r="M1236" s="6">
        <v>31.68</v>
      </c>
      <c r="N1236" s="6">
        <v>8.32</v>
      </c>
      <c r="O1236" s="6">
        <v>4.5999999999999996</v>
      </c>
      <c r="P1236" s="6">
        <v>3.72</v>
      </c>
      <c r="Q1236" t="s">
        <v>81</v>
      </c>
      <c r="R1236" t="s">
        <v>86</v>
      </c>
      <c r="S1236" t="s">
        <v>61</v>
      </c>
    </row>
    <row r="1237" spans="1:19" x14ac:dyDescent="0.35">
      <c r="A1237" t="s">
        <v>1365</v>
      </c>
      <c r="B1237" s="5">
        <v>45666</v>
      </c>
      <c r="C1237" t="s">
        <v>117</v>
      </c>
      <c r="D1237" t="s">
        <v>74</v>
      </c>
      <c r="E1237">
        <v>8</v>
      </c>
      <c r="F1237" s="6">
        <v>95</v>
      </c>
      <c r="G1237" s="7">
        <v>2</v>
      </c>
      <c r="H1237" s="6">
        <v>744.8</v>
      </c>
      <c r="I1237">
        <v>0</v>
      </c>
      <c r="J1237" s="6">
        <v>0</v>
      </c>
      <c r="K1237">
        <v>8</v>
      </c>
      <c r="L1237" s="6">
        <v>744.8</v>
      </c>
      <c r="M1237" s="6">
        <v>501.15</v>
      </c>
      <c r="N1237" s="6">
        <v>243.65</v>
      </c>
      <c r="O1237" s="6">
        <v>81.489999999999995</v>
      </c>
      <c r="P1237" s="6">
        <v>162.16</v>
      </c>
      <c r="Q1237" t="s">
        <v>59</v>
      </c>
      <c r="R1237" t="s">
        <v>82</v>
      </c>
      <c r="S1237" t="s">
        <v>76</v>
      </c>
    </row>
    <row r="1238" spans="1:19" x14ac:dyDescent="0.35">
      <c r="A1238" t="s">
        <v>1366</v>
      </c>
      <c r="B1238" s="5">
        <v>45801</v>
      </c>
      <c r="C1238" t="s">
        <v>69</v>
      </c>
      <c r="D1238" t="s">
        <v>70</v>
      </c>
      <c r="E1238">
        <v>3</v>
      </c>
      <c r="F1238" s="6">
        <v>210</v>
      </c>
      <c r="G1238" s="7">
        <v>10</v>
      </c>
      <c r="H1238" s="6">
        <v>567</v>
      </c>
      <c r="I1238">
        <v>0</v>
      </c>
      <c r="J1238" s="6">
        <v>0</v>
      </c>
      <c r="K1238">
        <v>3</v>
      </c>
      <c r="L1238" s="6">
        <v>567</v>
      </c>
      <c r="M1238" s="6">
        <v>404.81</v>
      </c>
      <c r="N1238" s="6">
        <v>162.19</v>
      </c>
      <c r="O1238" s="6">
        <v>28.36</v>
      </c>
      <c r="P1238" s="6">
        <v>133.83000000000001</v>
      </c>
      <c r="Q1238" t="s">
        <v>81</v>
      </c>
      <c r="R1238" t="s">
        <v>86</v>
      </c>
      <c r="S1238" t="s">
        <v>61</v>
      </c>
    </row>
    <row r="1239" spans="1:19" x14ac:dyDescent="0.35">
      <c r="A1239" t="s">
        <v>1367</v>
      </c>
      <c r="B1239" s="5">
        <v>45765</v>
      </c>
      <c r="C1239" t="s">
        <v>427</v>
      </c>
      <c r="D1239" t="s">
        <v>74</v>
      </c>
      <c r="E1239">
        <v>1</v>
      </c>
      <c r="F1239" s="6">
        <v>125</v>
      </c>
      <c r="G1239" s="7">
        <v>5</v>
      </c>
      <c r="H1239" s="6">
        <v>118.75</v>
      </c>
      <c r="I1239">
        <v>0</v>
      </c>
      <c r="J1239" s="6">
        <v>0</v>
      </c>
      <c r="K1239">
        <v>1</v>
      </c>
      <c r="L1239" s="6">
        <v>118.75</v>
      </c>
      <c r="M1239" s="6">
        <v>87.06</v>
      </c>
      <c r="N1239" s="6">
        <v>31.69</v>
      </c>
      <c r="O1239" s="6">
        <v>8.4499999999999993</v>
      </c>
      <c r="P1239" s="6">
        <v>23.24</v>
      </c>
      <c r="Q1239" t="s">
        <v>75</v>
      </c>
      <c r="R1239" t="s">
        <v>147</v>
      </c>
      <c r="S1239" t="s">
        <v>76</v>
      </c>
    </row>
    <row r="1240" spans="1:19" x14ac:dyDescent="0.35">
      <c r="A1240" t="s">
        <v>1368</v>
      </c>
      <c r="B1240" s="5">
        <v>45843</v>
      </c>
      <c r="C1240" t="s">
        <v>73</v>
      </c>
      <c r="D1240" t="s">
        <v>74</v>
      </c>
      <c r="E1240">
        <v>2</v>
      </c>
      <c r="F1240" s="6">
        <v>280</v>
      </c>
      <c r="G1240" s="7">
        <v>0</v>
      </c>
      <c r="H1240" s="6">
        <v>560</v>
      </c>
      <c r="I1240">
        <v>0</v>
      </c>
      <c r="J1240" s="6">
        <v>0</v>
      </c>
      <c r="K1240">
        <v>2</v>
      </c>
      <c r="L1240" s="6">
        <v>560</v>
      </c>
      <c r="M1240" s="6">
        <v>464.12</v>
      </c>
      <c r="N1240" s="6">
        <v>95.88</v>
      </c>
      <c r="O1240" s="6">
        <v>55.51</v>
      </c>
      <c r="P1240" s="6">
        <v>40.369999999999997</v>
      </c>
      <c r="Q1240" t="s">
        <v>59</v>
      </c>
      <c r="R1240" t="s">
        <v>60</v>
      </c>
      <c r="S1240" t="s">
        <v>61</v>
      </c>
    </row>
    <row r="1241" spans="1:19" x14ac:dyDescent="0.35">
      <c r="A1241" t="s">
        <v>1369</v>
      </c>
      <c r="B1241" s="5">
        <v>45785</v>
      </c>
      <c r="C1241" t="s">
        <v>280</v>
      </c>
      <c r="D1241" t="s">
        <v>64</v>
      </c>
      <c r="E1241">
        <v>10</v>
      </c>
      <c r="F1241" s="6">
        <v>310</v>
      </c>
      <c r="G1241" s="7">
        <v>5</v>
      </c>
      <c r="H1241" s="6">
        <v>2945</v>
      </c>
      <c r="I1241">
        <v>0</v>
      </c>
      <c r="J1241" s="6">
        <v>0</v>
      </c>
      <c r="K1241">
        <v>10</v>
      </c>
      <c r="L1241" s="6">
        <v>2945</v>
      </c>
      <c r="M1241" s="6">
        <v>2457.4</v>
      </c>
      <c r="N1241" s="6">
        <v>487.6</v>
      </c>
      <c r="O1241" s="6">
        <v>171.53</v>
      </c>
      <c r="P1241" s="6">
        <v>316.07</v>
      </c>
      <c r="Q1241" t="s">
        <v>81</v>
      </c>
      <c r="R1241" t="s">
        <v>60</v>
      </c>
      <c r="S1241" t="s">
        <v>61</v>
      </c>
    </row>
    <row r="1242" spans="1:19" x14ac:dyDescent="0.35">
      <c r="A1242" t="s">
        <v>1370</v>
      </c>
      <c r="B1242" s="5">
        <v>46006</v>
      </c>
      <c r="C1242" t="s">
        <v>73</v>
      </c>
      <c r="D1242" t="s">
        <v>74</v>
      </c>
      <c r="E1242">
        <v>5</v>
      </c>
      <c r="F1242" s="6">
        <v>280</v>
      </c>
      <c r="G1242" s="7">
        <v>2</v>
      </c>
      <c r="H1242" s="6">
        <v>1372</v>
      </c>
      <c r="I1242">
        <v>0</v>
      </c>
      <c r="J1242" s="6">
        <v>0</v>
      </c>
      <c r="K1242">
        <v>5</v>
      </c>
      <c r="L1242" s="6">
        <v>1372</v>
      </c>
      <c r="M1242" s="6">
        <v>877.88</v>
      </c>
      <c r="N1242" s="6">
        <v>494.12</v>
      </c>
      <c r="O1242" s="6">
        <v>142.91999999999999</v>
      </c>
      <c r="P1242" s="6">
        <v>351.2</v>
      </c>
      <c r="Q1242" t="s">
        <v>65</v>
      </c>
      <c r="R1242" t="s">
        <v>86</v>
      </c>
      <c r="S1242" t="s">
        <v>61</v>
      </c>
    </row>
    <row r="1243" spans="1:19" x14ac:dyDescent="0.35">
      <c r="A1243" t="s">
        <v>1371</v>
      </c>
      <c r="B1243" s="5">
        <v>45963</v>
      </c>
      <c r="C1243" t="s">
        <v>104</v>
      </c>
      <c r="D1243" t="s">
        <v>105</v>
      </c>
      <c r="E1243">
        <v>1</v>
      </c>
      <c r="F1243" s="6">
        <v>65</v>
      </c>
      <c r="G1243" s="7">
        <v>0</v>
      </c>
      <c r="H1243" s="6">
        <v>65</v>
      </c>
      <c r="I1243">
        <v>0</v>
      </c>
      <c r="J1243" s="6">
        <v>0</v>
      </c>
      <c r="K1243">
        <v>1</v>
      </c>
      <c r="L1243" s="6">
        <v>65</v>
      </c>
      <c r="M1243" s="6">
        <v>46.97</v>
      </c>
      <c r="N1243" s="6">
        <v>18.03</v>
      </c>
      <c r="O1243" s="6">
        <v>8</v>
      </c>
      <c r="P1243" s="6">
        <v>10.029999999999999</v>
      </c>
      <c r="Q1243" t="s">
        <v>81</v>
      </c>
      <c r="R1243" t="s">
        <v>66</v>
      </c>
      <c r="S1243" t="s">
        <v>76</v>
      </c>
    </row>
    <row r="1244" spans="1:19" x14ac:dyDescent="0.35">
      <c r="A1244" t="s">
        <v>1372</v>
      </c>
      <c r="B1244" s="5">
        <v>45954</v>
      </c>
      <c r="C1244" t="s">
        <v>92</v>
      </c>
      <c r="D1244" t="s">
        <v>79</v>
      </c>
      <c r="E1244">
        <v>2</v>
      </c>
      <c r="F1244" s="6">
        <v>85</v>
      </c>
      <c r="G1244" s="7">
        <v>0</v>
      </c>
      <c r="H1244" s="6">
        <v>170</v>
      </c>
      <c r="I1244">
        <v>0</v>
      </c>
      <c r="J1244" s="6">
        <v>0</v>
      </c>
      <c r="K1244">
        <v>2</v>
      </c>
      <c r="L1244" s="6">
        <v>170</v>
      </c>
      <c r="M1244" s="6">
        <v>112.18</v>
      </c>
      <c r="N1244" s="6">
        <v>57.82</v>
      </c>
      <c r="O1244" s="6">
        <v>18.59</v>
      </c>
      <c r="P1244" s="6">
        <v>39.229999999999997</v>
      </c>
      <c r="Q1244" t="s">
        <v>65</v>
      </c>
      <c r="R1244" t="s">
        <v>60</v>
      </c>
      <c r="S1244" t="s">
        <v>67</v>
      </c>
    </row>
    <row r="1245" spans="1:19" x14ac:dyDescent="0.35">
      <c r="A1245" t="s">
        <v>1373</v>
      </c>
      <c r="B1245" s="5">
        <v>45974</v>
      </c>
      <c r="C1245" t="s">
        <v>78</v>
      </c>
      <c r="D1245" t="s">
        <v>79</v>
      </c>
      <c r="E1245">
        <v>3</v>
      </c>
      <c r="F1245" s="6">
        <v>120</v>
      </c>
      <c r="G1245" s="7">
        <v>0</v>
      </c>
      <c r="H1245" s="6">
        <v>360</v>
      </c>
      <c r="I1245">
        <v>0</v>
      </c>
      <c r="J1245" s="6">
        <v>0</v>
      </c>
      <c r="K1245">
        <v>3</v>
      </c>
      <c r="L1245" s="6">
        <v>360</v>
      </c>
      <c r="M1245" s="6">
        <v>270.72000000000003</v>
      </c>
      <c r="N1245" s="6">
        <v>89.28</v>
      </c>
      <c r="O1245" s="6">
        <v>34.29</v>
      </c>
      <c r="P1245" s="6">
        <v>54.99</v>
      </c>
      <c r="Q1245" t="s">
        <v>81</v>
      </c>
      <c r="R1245" t="s">
        <v>66</v>
      </c>
      <c r="S1245" t="s">
        <v>71</v>
      </c>
    </row>
    <row r="1246" spans="1:19" x14ac:dyDescent="0.35">
      <c r="A1246" t="s">
        <v>1374</v>
      </c>
      <c r="B1246" s="5">
        <v>46011</v>
      </c>
      <c r="C1246" t="s">
        <v>264</v>
      </c>
      <c r="D1246" t="s">
        <v>85</v>
      </c>
      <c r="E1246">
        <v>3</v>
      </c>
      <c r="F1246" s="6">
        <v>20</v>
      </c>
      <c r="G1246" s="7">
        <v>5</v>
      </c>
      <c r="H1246" s="6">
        <v>57</v>
      </c>
      <c r="I1246">
        <v>0</v>
      </c>
      <c r="J1246" s="6">
        <v>0</v>
      </c>
      <c r="K1246">
        <v>3</v>
      </c>
      <c r="L1246" s="6">
        <v>57</v>
      </c>
      <c r="M1246" s="6">
        <v>48.1</v>
      </c>
      <c r="N1246" s="6">
        <v>8.9</v>
      </c>
      <c r="O1246" s="6">
        <v>6.69</v>
      </c>
      <c r="P1246" s="6">
        <v>2.21</v>
      </c>
      <c r="Q1246" t="s">
        <v>59</v>
      </c>
      <c r="R1246" t="s">
        <v>82</v>
      </c>
      <c r="S1246" t="s">
        <v>67</v>
      </c>
    </row>
    <row r="1247" spans="1:19" x14ac:dyDescent="0.35">
      <c r="A1247" t="s">
        <v>1375</v>
      </c>
      <c r="B1247" s="5">
        <v>45833</v>
      </c>
      <c r="C1247" t="s">
        <v>92</v>
      </c>
      <c r="D1247" t="s">
        <v>79</v>
      </c>
      <c r="E1247">
        <v>2</v>
      </c>
      <c r="F1247" s="6">
        <v>85</v>
      </c>
      <c r="G1247" s="7">
        <v>2</v>
      </c>
      <c r="H1247" s="6">
        <v>166.6</v>
      </c>
      <c r="I1247">
        <v>0</v>
      </c>
      <c r="J1247" s="6">
        <v>0</v>
      </c>
      <c r="K1247">
        <v>2</v>
      </c>
      <c r="L1247" s="6">
        <v>166.6</v>
      </c>
      <c r="M1247" s="6">
        <v>115.77</v>
      </c>
      <c r="N1247" s="6">
        <v>50.83</v>
      </c>
      <c r="O1247" s="6">
        <v>19.93</v>
      </c>
      <c r="P1247" s="6">
        <v>30.9</v>
      </c>
      <c r="Q1247" t="s">
        <v>59</v>
      </c>
      <c r="R1247" t="s">
        <v>86</v>
      </c>
      <c r="S1247" t="s">
        <v>76</v>
      </c>
    </row>
    <row r="1248" spans="1:19" x14ac:dyDescent="0.35">
      <c r="A1248" t="s">
        <v>1376</v>
      </c>
      <c r="B1248" s="5">
        <v>45686</v>
      </c>
      <c r="C1248" t="s">
        <v>121</v>
      </c>
      <c r="D1248" t="s">
        <v>70</v>
      </c>
      <c r="E1248">
        <v>4</v>
      </c>
      <c r="F1248" s="6">
        <v>110</v>
      </c>
      <c r="G1248" s="7">
        <v>0</v>
      </c>
      <c r="H1248" s="6">
        <v>440</v>
      </c>
      <c r="I1248">
        <v>0</v>
      </c>
      <c r="J1248" s="6">
        <v>0</v>
      </c>
      <c r="K1248">
        <v>4</v>
      </c>
      <c r="L1248" s="6">
        <v>440</v>
      </c>
      <c r="M1248" s="6">
        <v>281.20999999999998</v>
      </c>
      <c r="N1248" s="6">
        <v>158.79</v>
      </c>
      <c r="O1248" s="6">
        <v>55.37</v>
      </c>
      <c r="P1248" s="6">
        <v>103.42</v>
      </c>
      <c r="Q1248" t="s">
        <v>81</v>
      </c>
      <c r="R1248" t="s">
        <v>86</v>
      </c>
      <c r="S1248" t="s">
        <v>67</v>
      </c>
    </row>
    <row r="1249" spans="1:19" x14ac:dyDescent="0.35">
      <c r="A1249" t="s">
        <v>1377</v>
      </c>
      <c r="B1249" s="5">
        <v>46009</v>
      </c>
      <c r="C1249" t="s">
        <v>107</v>
      </c>
      <c r="D1249" t="s">
        <v>74</v>
      </c>
      <c r="E1249">
        <v>1</v>
      </c>
      <c r="F1249" s="6">
        <v>125</v>
      </c>
      <c r="G1249" s="7">
        <v>5</v>
      </c>
      <c r="H1249" s="6">
        <v>118.75</v>
      </c>
      <c r="I1249">
        <v>0</v>
      </c>
      <c r="J1249" s="6">
        <v>0</v>
      </c>
      <c r="K1249">
        <v>1</v>
      </c>
      <c r="L1249" s="6">
        <v>118.75</v>
      </c>
      <c r="M1249" s="6">
        <v>86.04</v>
      </c>
      <c r="N1249" s="6">
        <v>32.71</v>
      </c>
      <c r="O1249" s="6">
        <v>12.46</v>
      </c>
      <c r="P1249" s="6">
        <v>20.25</v>
      </c>
      <c r="Q1249" t="s">
        <v>65</v>
      </c>
      <c r="R1249" t="s">
        <v>82</v>
      </c>
      <c r="S1249" t="s">
        <v>67</v>
      </c>
    </row>
    <row r="1250" spans="1:19" x14ac:dyDescent="0.35">
      <c r="A1250" t="s">
        <v>1378</v>
      </c>
      <c r="B1250" s="5">
        <v>45701</v>
      </c>
      <c r="C1250" t="s">
        <v>117</v>
      </c>
      <c r="D1250" t="s">
        <v>74</v>
      </c>
      <c r="E1250">
        <v>3</v>
      </c>
      <c r="F1250" s="6">
        <v>95</v>
      </c>
      <c r="G1250" s="7">
        <v>0</v>
      </c>
      <c r="H1250" s="6">
        <v>285</v>
      </c>
      <c r="I1250">
        <v>0</v>
      </c>
      <c r="J1250" s="6">
        <v>0</v>
      </c>
      <c r="K1250">
        <v>3</v>
      </c>
      <c r="L1250" s="6">
        <v>285</v>
      </c>
      <c r="M1250" s="6">
        <v>235.91</v>
      </c>
      <c r="N1250" s="6">
        <v>49.09</v>
      </c>
      <c r="O1250" s="6">
        <v>28.93</v>
      </c>
      <c r="P1250" s="6">
        <v>20.16</v>
      </c>
      <c r="Q1250" t="s">
        <v>65</v>
      </c>
      <c r="R1250" t="s">
        <v>86</v>
      </c>
      <c r="S1250" t="s">
        <v>67</v>
      </c>
    </row>
    <row r="1251" spans="1:19" x14ac:dyDescent="0.35">
      <c r="A1251" t="s">
        <v>1379</v>
      </c>
      <c r="B1251" s="5">
        <v>45777</v>
      </c>
      <c r="C1251" t="s">
        <v>264</v>
      </c>
      <c r="D1251" t="s">
        <v>85</v>
      </c>
      <c r="E1251">
        <v>4</v>
      </c>
      <c r="F1251" s="6">
        <v>20</v>
      </c>
      <c r="G1251" s="7">
        <v>2</v>
      </c>
      <c r="H1251" s="6">
        <v>78.400000000000006</v>
      </c>
      <c r="I1251">
        <v>0</v>
      </c>
      <c r="J1251" s="6">
        <v>0</v>
      </c>
      <c r="K1251">
        <v>4</v>
      </c>
      <c r="L1251" s="6">
        <v>78.400000000000006</v>
      </c>
      <c r="M1251" s="6">
        <v>57.83</v>
      </c>
      <c r="N1251" s="6">
        <v>20.57</v>
      </c>
      <c r="O1251" s="6">
        <v>7.84</v>
      </c>
      <c r="P1251" s="6">
        <v>12.73</v>
      </c>
      <c r="Q1251" t="s">
        <v>81</v>
      </c>
      <c r="R1251" t="s">
        <v>86</v>
      </c>
      <c r="S1251" t="s">
        <v>71</v>
      </c>
    </row>
    <row r="1252" spans="1:19" x14ac:dyDescent="0.35">
      <c r="A1252" t="s">
        <v>1380</v>
      </c>
      <c r="B1252" s="5">
        <v>45947</v>
      </c>
      <c r="C1252" t="s">
        <v>121</v>
      </c>
      <c r="D1252" t="s">
        <v>70</v>
      </c>
      <c r="E1252">
        <v>2</v>
      </c>
      <c r="F1252" s="6">
        <v>110</v>
      </c>
      <c r="G1252" s="7">
        <v>0</v>
      </c>
      <c r="H1252" s="6">
        <v>220</v>
      </c>
      <c r="I1252">
        <v>0</v>
      </c>
      <c r="J1252" s="6">
        <v>0</v>
      </c>
      <c r="K1252">
        <v>2</v>
      </c>
      <c r="L1252" s="6">
        <v>220</v>
      </c>
      <c r="M1252" s="6">
        <v>137.91</v>
      </c>
      <c r="N1252" s="6">
        <v>82.09</v>
      </c>
      <c r="O1252" s="6">
        <v>11.14</v>
      </c>
      <c r="P1252" s="6">
        <v>70.95</v>
      </c>
      <c r="Q1252" t="s">
        <v>59</v>
      </c>
      <c r="R1252" t="s">
        <v>60</v>
      </c>
      <c r="S1252" t="s">
        <v>61</v>
      </c>
    </row>
    <row r="1253" spans="1:19" x14ac:dyDescent="0.35">
      <c r="A1253" t="s">
        <v>1381</v>
      </c>
      <c r="B1253" s="5">
        <v>45977</v>
      </c>
      <c r="C1253" t="s">
        <v>97</v>
      </c>
      <c r="D1253" t="s">
        <v>57</v>
      </c>
      <c r="E1253">
        <v>2</v>
      </c>
      <c r="F1253" s="6">
        <v>55</v>
      </c>
      <c r="G1253" s="7">
        <v>2</v>
      </c>
      <c r="H1253" s="6">
        <v>107.8</v>
      </c>
      <c r="I1253">
        <v>0</v>
      </c>
      <c r="J1253" s="6">
        <v>0</v>
      </c>
      <c r="K1253">
        <v>2</v>
      </c>
      <c r="L1253" s="6">
        <v>107.8</v>
      </c>
      <c r="M1253" s="6">
        <v>72.069999999999993</v>
      </c>
      <c r="N1253" s="6">
        <v>35.729999999999997</v>
      </c>
      <c r="O1253" s="6">
        <v>9.74</v>
      </c>
      <c r="P1253" s="6">
        <v>25.99</v>
      </c>
      <c r="Q1253" t="s">
        <v>81</v>
      </c>
      <c r="R1253" t="s">
        <v>66</v>
      </c>
      <c r="S1253" t="s">
        <v>61</v>
      </c>
    </row>
    <row r="1254" spans="1:19" x14ac:dyDescent="0.35">
      <c r="A1254" t="s">
        <v>1382</v>
      </c>
      <c r="B1254" s="5">
        <v>45951</v>
      </c>
      <c r="C1254" t="s">
        <v>114</v>
      </c>
      <c r="D1254" t="s">
        <v>64</v>
      </c>
      <c r="E1254">
        <v>8</v>
      </c>
      <c r="F1254" s="6">
        <v>420</v>
      </c>
      <c r="G1254" s="7">
        <v>0</v>
      </c>
      <c r="H1254" s="6">
        <v>3360</v>
      </c>
      <c r="I1254">
        <v>0</v>
      </c>
      <c r="J1254" s="6">
        <v>0</v>
      </c>
      <c r="K1254">
        <v>8</v>
      </c>
      <c r="L1254" s="6">
        <v>3360</v>
      </c>
      <c r="M1254" s="6">
        <v>2334.15</v>
      </c>
      <c r="N1254" s="6">
        <v>1025.8499999999999</v>
      </c>
      <c r="O1254" s="6">
        <v>400.99</v>
      </c>
      <c r="P1254" s="6">
        <v>624.86</v>
      </c>
      <c r="Q1254" t="s">
        <v>75</v>
      </c>
      <c r="R1254" t="s">
        <v>66</v>
      </c>
      <c r="S1254" t="s">
        <v>61</v>
      </c>
    </row>
    <row r="1255" spans="1:19" x14ac:dyDescent="0.35">
      <c r="A1255" t="s">
        <v>1383</v>
      </c>
      <c r="B1255" s="5">
        <v>45696</v>
      </c>
      <c r="C1255" t="s">
        <v>114</v>
      </c>
      <c r="D1255" t="s">
        <v>64</v>
      </c>
      <c r="E1255">
        <v>2</v>
      </c>
      <c r="F1255" s="6">
        <v>420</v>
      </c>
      <c r="G1255" s="7">
        <v>2</v>
      </c>
      <c r="H1255" s="6">
        <v>823.2</v>
      </c>
      <c r="I1255">
        <v>0</v>
      </c>
      <c r="J1255" s="6">
        <v>0</v>
      </c>
      <c r="K1255">
        <v>2</v>
      </c>
      <c r="L1255" s="6">
        <v>823.2</v>
      </c>
      <c r="M1255" s="6">
        <v>661.34</v>
      </c>
      <c r="N1255" s="6">
        <v>161.86000000000001</v>
      </c>
      <c r="O1255" s="6">
        <v>56.45</v>
      </c>
      <c r="P1255" s="6">
        <v>105.41</v>
      </c>
      <c r="Q1255" t="s">
        <v>65</v>
      </c>
      <c r="R1255" t="s">
        <v>60</v>
      </c>
      <c r="S1255" t="s">
        <v>61</v>
      </c>
    </row>
    <row r="1256" spans="1:19" x14ac:dyDescent="0.35">
      <c r="A1256" t="s">
        <v>1384</v>
      </c>
      <c r="B1256" s="5">
        <v>45766</v>
      </c>
      <c r="C1256" t="s">
        <v>117</v>
      </c>
      <c r="D1256" t="s">
        <v>74</v>
      </c>
      <c r="E1256">
        <v>6</v>
      </c>
      <c r="F1256" s="6">
        <v>95</v>
      </c>
      <c r="G1256" s="7">
        <v>2</v>
      </c>
      <c r="H1256" s="6">
        <v>558.6</v>
      </c>
      <c r="I1256">
        <v>0</v>
      </c>
      <c r="J1256" s="6">
        <v>0</v>
      </c>
      <c r="K1256">
        <v>6</v>
      </c>
      <c r="L1256" s="6">
        <v>558.6</v>
      </c>
      <c r="M1256" s="6">
        <v>408.78</v>
      </c>
      <c r="N1256" s="6">
        <v>149.82</v>
      </c>
      <c r="O1256" s="6">
        <v>34.049999999999997</v>
      </c>
      <c r="P1256" s="6">
        <v>115.77</v>
      </c>
      <c r="Q1256" t="s">
        <v>81</v>
      </c>
      <c r="R1256" t="s">
        <v>86</v>
      </c>
      <c r="S1256" t="s">
        <v>71</v>
      </c>
    </row>
    <row r="1257" spans="1:19" x14ac:dyDescent="0.35">
      <c r="A1257" t="s">
        <v>1385</v>
      </c>
      <c r="B1257" s="5">
        <v>45876</v>
      </c>
      <c r="C1257" t="s">
        <v>100</v>
      </c>
      <c r="D1257" t="s">
        <v>64</v>
      </c>
      <c r="E1257">
        <v>6</v>
      </c>
      <c r="F1257" s="6">
        <v>310</v>
      </c>
      <c r="G1257" s="7">
        <v>0</v>
      </c>
      <c r="H1257" s="6">
        <v>1860</v>
      </c>
      <c r="I1257">
        <v>0</v>
      </c>
      <c r="J1257" s="6">
        <v>0</v>
      </c>
      <c r="K1257">
        <v>6</v>
      </c>
      <c r="L1257" s="6">
        <v>1860</v>
      </c>
      <c r="M1257" s="6">
        <v>1478.07</v>
      </c>
      <c r="N1257" s="6">
        <v>381.93</v>
      </c>
      <c r="O1257" s="6">
        <v>183.55</v>
      </c>
      <c r="P1257" s="6">
        <v>198.38</v>
      </c>
      <c r="Q1257" t="s">
        <v>59</v>
      </c>
      <c r="R1257" t="s">
        <v>66</v>
      </c>
      <c r="S1257" t="s">
        <v>67</v>
      </c>
    </row>
    <row r="1258" spans="1:19" x14ac:dyDescent="0.35">
      <c r="A1258" t="s">
        <v>1386</v>
      </c>
      <c r="B1258" s="5">
        <v>45822</v>
      </c>
      <c r="C1258" t="s">
        <v>117</v>
      </c>
      <c r="D1258" t="s">
        <v>74</v>
      </c>
      <c r="E1258">
        <v>4</v>
      </c>
      <c r="F1258" s="6">
        <v>95</v>
      </c>
      <c r="G1258" s="7">
        <v>5</v>
      </c>
      <c r="H1258" s="6">
        <v>361</v>
      </c>
      <c r="I1258">
        <v>0</v>
      </c>
      <c r="J1258" s="6">
        <v>0</v>
      </c>
      <c r="K1258">
        <v>4</v>
      </c>
      <c r="L1258" s="6">
        <v>361</v>
      </c>
      <c r="M1258" s="6">
        <v>267.45</v>
      </c>
      <c r="N1258" s="6">
        <v>93.55</v>
      </c>
      <c r="O1258" s="6">
        <v>45.09</v>
      </c>
      <c r="P1258" s="6">
        <v>48.46</v>
      </c>
      <c r="Q1258" t="s">
        <v>81</v>
      </c>
      <c r="R1258" t="s">
        <v>82</v>
      </c>
      <c r="S1258" t="s">
        <v>71</v>
      </c>
    </row>
    <row r="1259" spans="1:19" x14ac:dyDescent="0.35">
      <c r="A1259" t="s">
        <v>1387</v>
      </c>
      <c r="B1259" s="5">
        <v>45882</v>
      </c>
      <c r="C1259" t="s">
        <v>121</v>
      </c>
      <c r="D1259" t="s">
        <v>70</v>
      </c>
      <c r="E1259">
        <v>2</v>
      </c>
      <c r="F1259" s="6">
        <v>110</v>
      </c>
      <c r="G1259" s="7">
        <v>0</v>
      </c>
      <c r="H1259" s="6">
        <v>220</v>
      </c>
      <c r="I1259">
        <v>0</v>
      </c>
      <c r="J1259" s="6">
        <v>0</v>
      </c>
      <c r="K1259">
        <v>2</v>
      </c>
      <c r="L1259" s="6">
        <v>220</v>
      </c>
      <c r="M1259" s="6">
        <v>164.02</v>
      </c>
      <c r="N1259" s="6">
        <v>55.98</v>
      </c>
      <c r="O1259" s="6">
        <v>21.18</v>
      </c>
      <c r="P1259" s="6">
        <v>34.799999999999997</v>
      </c>
      <c r="Q1259" t="s">
        <v>81</v>
      </c>
      <c r="R1259" t="s">
        <v>82</v>
      </c>
      <c r="S1259" t="s">
        <v>61</v>
      </c>
    </row>
    <row r="1260" spans="1:19" x14ac:dyDescent="0.35">
      <c r="A1260" t="s">
        <v>1388</v>
      </c>
      <c r="B1260" s="5">
        <v>45865</v>
      </c>
      <c r="C1260" t="s">
        <v>73</v>
      </c>
      <c r="D1260" t="s">
        <v>74</v>
      </c>
      <c r="E1260">
        <v>4</v>
      </c>
      <c r="F1260" s="6">
        <v>280</v>
      </c>
      <c r="G1260" s="7">
        <v>5</v>
      </c>
      <c r="H1260" s="6">
        <v>1064</v>
      </c>
      <c r="I1260">
        <v>1</v>
      </c>
      <c r="J1260" s="6">
        <v>266</v>
      </c>
      <c r="K1260">
        <v>3</v>
      </c>
      <c r="L1260" s="6">
        <v>798</v>
      </c>
      <c r="M1260" s="6">
        <v>574.46</v>
      </c>
      <c r="N1260" s="6">
        <v>223.54</v>
      </c>
      <c r="O1260" s="6">
        <v>66.510000000000005</v>
      </c>
      <c r="P1260" s="6">
        <v>157.03</v>
      </c>
      <c r="Q1260" t="s">
        <v>65</v>
      </c>
      <c r="R1260" t="s">
        <v>60</v>
      </c>
      <c r="S1260" t="s">
        <v>61</v>
      </c>
    </row>
    <row r="1261" spans="1:19" x14ac:dyDescent="0.35">
      <c r="A1261" t="s">
        <v>1389</v>
      </c>
      <c r="B1261" s="5">
        <v>45706</v>
      </c>
      <c r="C1261" t="s">
        <v>69</v>
      </c>
      <c r="D1261" t="s">
        <v>70</v>
      </c>
      <c r="E1261">
        <v>5</v>
      </c>
      <c r="F1261" s="6">
        <v>210</v>
      </c>
      <c r="G1261" s="7">
        <v>5</v>
      </c>
      <c r="H1261" s="6">
        <v>997.5</v>
      </c>
      <c r="I1261">
        <v>0</v>
      </c>
      <c r="J1261" s="6">
        <v>0</v>
      </c>
      <c r="K1261">
        <v>5</v>
      </c>
      <c r="L1261" s="6">
        <v>997.5</v>
      </c>
      <c r="M1261" s="6">
        <v>710.1</v>
      </c>
      <c r="N1261" s="6">
        <v>287.39999999999998</v>
      </c>
      <c r="O1261" s="6">
        <v>107.4</v>
      </c>
      <c r="P1261" s="6">
        <v>180</v>
      </c>
      <c r="Q1261" t="s">
        <v>65</v>
      </c>
      <c r="R1261" t="s">
        <v>66</v>
      </c>
      <c r="S1261" t="s">
        <v>71</v>
      </c>
    </row>
    <row r="1262" spans="1:19" x14ac:dyDescent="0.35">
      <c r="A1262" t="s">
        <v>1390</v>
      </c>
      <c r="B1262" s="5">
        <v>45680</v>
      </c>
      <c r="C1262" t="s">
        <v>1071</v>
      </c>
      <c r="D1262" t="s">
        <v>105</v>
      </c>
      <c r="E1262">
        <v>3</v>
      </c>
      <c r="F1262" s="6">
        <v>65</v>
      </c>
      <c r="G1262" s="7">
        <v>0</v>
      </c>
      <c r="H1262" s="6">
        <v>195</v>
      </c>
      <c r="I1262">
        <v>0</v>
      </c>
      <c r="J1262" s="6">
        <v>0</v>
      </c>
      <c r="K1262">
        <v>3</v>
      </c>
      <c r="L1262" s="6">
        <v>195</v>
      </c>
      <c r="M1262" s="6">
        <v>139.99</v>
      </c>
      <c r="N1262" s="6">
        <v>55.01</v>
      </c>
      <c r="O1262" s="6">
        <v>17.28</v>
      </c>
      <c r="P1262" s="6">
        <v>37.729999999999997</v>
      </c>
      <c r="Q1262" t="s">
        <v>75</v>
      </c>
      <c r="R1262" t="s">
        <v>60</v>
      </c>
      <c r="S1262" t="s">
        <v>76</v>
      </c>
    </row>
    <row r="1263" spans="1:19" x14ac:dyDescent="0.35">
      <c r="A1263" t="s">
        <v>1391</v>
      </c>
      <c r="B1263" s="5">
        <v>45735</v>
      </c>
      <c r="C1263" t="s">
        <v>100</v>
      </c>
      <c r="D1263" t="s">
        <v>64</v>
      </c>
      <c r="E1263">
        <v>1</v>
      </c>
      <c r="F1263" s="6">
        <v>310</v>
      </c>
      <c r="G1263" s="7">
        <v>0</v>
      </c>
      <c r="H1263" s="6">
        <v>310</v>
      </c>
      <c r="I1263">
        <v>0</v>
      </c>
      <c r="J1263" s="6">
        <v>0</v>
      </c>
      <c r="K1263">
        <v>1</v>
      </c>
      <c r="L1263" s="6">
        <v>310</v>
      </c>
      <c r="M1263" s="6">
        <v>194.86</v>
      </c>
      <c r="N1263" s="6">
        <v>115.14</v>
      </c>
      <c r="O1263" s="6">
        <v>27.7</v>
      </c>
      <c r="P1263" s="6">
        <v>87.44</v>
      </c>
      <c r="Q1263" t="s">
        <v>81</v>
      </c>
      <c r="R1263" t="s">
        <v>60</v>
      </c>
      <c r="S1263" t="s">
        <v>67</v>
      </c>
    </row>
    <row r="1264" spans="1:19" x14ac:dyDescent="0.35">
      <c r="A1264" t="s">
        <v>1392</v>
      </c>
      <c r="B1264" s="5">
        <v>45952</v>
      </c>
      <c r="C1264" t="s">
        <v>78</v>
      </c>
      <c r="D1264" t="s">
        <v>79</v>
      </c>
      <c r="E1264">
        <v>4</v>
      </c>
      <c r="F1264" s="6">
        <v>120</v>
      </c>
      <c r="G1264" s="7">
        <v>10</v>
      </c>
      <c r="H1264" s="6">
        <v>432</v>
      </c>
      <c r="I1264">
        <v>4</v>
      </c>
      <c r="J1264" s="6">
        <v>432</v>
      </c>
      <c r="K1264">
        <v>0</v>
      </c>
      <c r="L1264" s="6">
        <v>0</v>
      </c>
      <c r="M1264" s="6">
        <v>0</v>
      </c>
      <c r="N1264" s="6">
        <v>0</v>
      </c>
      <c r="O1264" s="6">
        <v>0</v>
      </c>
      <c r="P1264" s="6">
        <v>0</v>
      </c>
      <c r="Q1264" t="s">
        <v>81</v>
      </c>
      <c r="R1264" t="s">
        <v>86</v>
      </c>
      <c r="S1264" t="s">
        <v>76</v>
      </c>
    </row>
    <row r="1265" spans="1:19" x14ac:dyDescent="0.35">
      <c r="A1265" t="s">
        <v>1393</v>
      </c>
      <c r="B1265" s="5">
        <v>45728</v>
      </c>
      <c r="C1265" t="s">
        <v>73</v>
      </c>
      <c r="D1265" t="s">
        <v>74</v>
      </c>
      <c r="E1265">
        <v>5</v>
      </c>
      <c r="F1265" s="6">
        <v>280</v>
      </c>
      <c r="G1265" s="7">
        <v>0</v>
      </c>
      <c r="H1265" s="6">
        <v>1400</v>
      </c>
      <c r="I1265">
        <v>0</v>
      </c>
      <c r="J1265" s="6">
        <v>0</v>
      </c>
      <c r="K1265">
        <v>5</v>
      </c>
      <c r="L1265" s="6">
        <v>1400</v>
      </c>
      <c r="M1265" s="6">
        <v>1152.52</v>
      </c>
      <c r="N1265" s="6">
        <v>247.48</v>
      </c>
      <c r="O1265" s="6">
        <v>146.37</v>
      </c>
      <c r="P1265" s="6">
        <v>101.11</v>
      </c>
      <c r="Q1265" t="s">
        <v>81</v>
      </c>
      <c r="R1265" t="s">
        <v>86</v>
      </c>
      <c r="S1265" t="s">
        <v>61</v>
      </c>
    </row>
    <row r="1266" spans="1:19" x14ac:dyDescent="0.35">
      <c r="A1266" t="s">
        <v>1394</v>
      </c>
      <c r="B1266" s="5">
        <v>45703</v>
      </c>
      <c r="C1266" t="s">
        <v>97</v>
      </c>
      <c r="D1266" t="s">
        <v>57</v>
      </c>
      <c r="E1266">
        <v>3</v>
      </c>
      <c r="F1266" s="6">
        <v>55</v>
      </c>
      <c r="G1266" s="7">
        <v>0</v>
      </c>
      <c r="H1266" s="6">
        <v>165</v>
      </c>
      <c r="I1266">
        <v>0</v>
      </c>
      <c r="J1266" s="6">
        <v>0</v>
      </c>
      <c r="K1266">
        <v>3</v>
      </c>
      <c r="L1266" s="6">
        <v>165</v>
      </c>
      <c r="M1266" s="6">
        <v>121.56</v>
      </c>
      <c r="N1266" s="6">
        <v>43.44</v>
      </c>
      <c r="O1266" s="6">
        <v>19.170000000000002</v>
      </c>
      <c r="P1266" s="6">
        <v>24.27</v>
      </c>
      <c r="Q1266" t="s">
        <v>65</v>
      </c>
      <c r="R1266" t="s">
        <v>60</v>
      </c>
      <c r="S1266" t="s">
        <v>61</v>
      </c>
    </row>
    <row r="1267" spans="1:19" x14ac:dyDescent="0.35">
      <c r="A1267" t="s">
        <v>1395</v>
      </c>
      <c r="B1267" s="5">
        <v>45735</v>
      </c>
      <c r="C1267" t="s">
        <v>56</v>
      </c>
      <c r="D1267" t="s">
        <v>57</v>
      </c>
      <c r="E1267">
        <v>1</v>
      </c>
      <c r="F1267" s="6">
        <v>40</v>
      </c>
      <c r="G1267" s="7">
        <v>0</v>
      </c>
      <c r="H1267" s="6">
        <v>40</v>
      </c>
      <c r="I1267">
        <v>0</v>
      </c>
      <c r="J1267" s="6">
        <v>0</v>
      </c>
      <c r="K1267">
        <v>1</v>
      </c>
      <c r="L1267" s="6">
        <v>40</v>
      </c>
      <c r="M1267" s="6">
        <v>33.68</v>
      </c>
      <c r="N1267" s="6">
        <v>6.32</v>
      </c>
      <c r="O1267" s="6">
        <v>4</v>
      </c>
      <c r="P1267" s="6">
        <v>2.3199999999999998</v>
      </c>
      <c r="Q1267" t="s">
        <v>65</v>
      </c>
      <c r="R1267" t="s">
        <v>86</v>
      </c>
      <c r="S1267" t="s">
        <v>71</v>
      </c>
    </row>
    <row r="1268" spans="1:19" x14ac:dyDescent="0.35">
      <c r="A1268" t="s">
        <v>1396</v>
      </c>
      <c r="B1268" s="5">
        <v>45729</v>
      </c>
      <c r="C1268" t="s">
        <v>104</v>
      </c>
      <c r="D1268" t="s">
        <v>105</v>
      </c>
      <c r="E1268">
        <v>2</v>
      </c>
      <c r="F1268" s="6">
        <v>65</v>
      </c>
      <c r="G1268" s="7">
        <v>10</v>
      </c>
      <c r="H1268" s="6">
        <v>117</v>
      </c>
      <c r="I1268">
        <v>0</v>
      </c>
      <c r="J1268" s="6">
        <v>0</v>
      </c>
      <c r="K1268">
        <v>2</v>
      </c>
      <c r="L1268" s="6">
        <v>117</v>
      </c>
      <c r="M1268" s="6">
        <v>79.290000000000006</v>
      </c>
      <c r="N1268" s="6">
        <v>37.71</v>
      </c>
      <c r="O1268" s="6">
        <v>6.35</v>
      </c>
      <c r="P1268" s="6">
        <v>31.36</v>
      </c>
      <c r="Q1268" t="s">
        <v>65</v>
      </c>
      <c r="R1268" t="s">
        <v>66</v>
      </c>
      <c r="S1268" t="s">
        <v>61</v>
      </c>
    </row>
    <row r="1269" spans="1:19" x14ac:dyDescent="0.35">
      <c r="A1269" t="s">
        <v>1397</v>
      </c>
      <c r="B1269" s="5">
        <v>45740</v>
      </c>
      <c r="C1269" t="s">
        <v>117</v>
      </c>
      <c r="D1269" t="s">
        <v>74</v>
      </c>
      <c r="E1269">
        <v>2</v>
      </c>
      <c r="F1269" s="6">
        <v>95</v>
      </c>
      <c r="G1269" s="7">
        <v>0</v>
      </c>
      <c r="H1269" s="6">
        <v>190</v>
      </c>
      <c r="I1269">
        <v>0</v>
      </c>
      <c r="J1269" s="6">
        <v>0</v>
      </c>
      <c r="K1269">
        <v>2</v>
      </c>
      <c r="L1269" s="6">
        <v>190</v>
      </c>
      <c r="M1269" s="6">
        <v>138.56</v>
      </c>
      <c r="N1269" s="6">
        <v>51.44</v>
      </c>
      <c r="O1269" s="6">
        <v>22.09</v>
      </c>
      <c r="P1269" s="6">
        <v>29.35</v>
      </c>
      <c r="Q1269" t="s">
        <v>65</v>
      </c>
      <c r="R1269" t="s">
        <v>82</v>
      </c>
      <c r="S1269" t="s">
        <v>76</v>
      </c>
    </row>
    <row r="1270" spans="1:19" x14ac:dyDescent="0.35">
      <c r="A1270" t="s">
        <v>1398</v>
      </c>
      <c r="B1270" s="5">
        <v>45900</v>
      </c>
      <c r="C1270" t="s">
        <v>107</v>
      </c>
      <c r="D1270" t="s">
        <v>74</v>
      </c>
      <c r="E1270">
        <v>2</v>
      </c>
      <c r="F1270" s="6">
        <v>125</v>
      </c>
      <c r="G1270" s="7">
        <v>0</v>
      </c>
      <c r="H1270" s="6">
        <v>250</v>
      </c>
      <c r="I1270">
        <v>0</v>
      </c>
      <c r="J1270" s="6">
        <v>0</v>
      </c>
      <c r="K1270">
        <v>2</v>
      </c>
      <c r="L1270" s="6">
        <v>250</v>
      </c>
      <c r="M1270" s="6">
        <v>184.89</v>
      </c>
      <c r="N1270" s="6">
        <v>65.11</v>
      </c>
      <c r="O1270" s="6">
        <v>22.88</v>
      </c>
      <c r="P1270" s="6">
        <v>42.23</v>
      </c>
      <c r="Q1270" t="s">
        <v>75</v>
      </c>
      <c r="R1270" t="s">
        <v>66</v>
      </c>
      <c r="S1270" t="s">
        <v>67</v>
      </c>
    </row>
    <row r="1271" spans="1:19" x14ac:dyDescent="0.35">
      <c r="A1271" t="s">
        <v>1399</v>
      </c>
      <c r="B1271" s="5">
        <v>45951</v>
      </c>
      <c r="C1271" t="s">
        <v>109</v>
      </c>
      <c r="D1271" t="s">
        <v>85</v>
      </c>
      <c r="E1271">
        <v>2</v>
      </c>
      <c r="F1271" s="6">
        <v>180</v>
      </c>
      <c r="G1271" s="7">
        <v>10</v>
      </c>
      <c r="H1271" s="6">
        <v>324</v>
      </c>
      <c r="I1271">
        <v>0</v>
      </c>
      <c r="J1271" s="6">
        <v>0</v>
      </c>
      <c r="K1271">
        <v>2</v>
      </c>
      <c r="L1271" s="6">
        <v>324</v>
      </c>
      <c r="M1271" s="6">
        <v>243.04</v>
      </c>
      <c r="N1271" s="6">
        <v>80.959999999999994</v>
      </c>
      <c r="O1271" s="6">
        <v>28.36</v>
      </c>
      <c r="P1271" s="6">
        <v>52.6</v>
      </c>
      <c r="Q1271" t="s">
        <v>65</v>
      </c>
      <c r="R1271" t="s">
        <v>82</v>
      </c>
      <c r="S1271" t="s">
        <v>76</v>
      </c>
    </row>
    <row r="1272" spans="1:19" x14ac:dyDescent="0.35">
      <c r="A1272" t="s">
        <v>1400</v>
      </c>
      <c r="B1272" s="5">
        <v>45964</v>
      </c>
      <c r="C1272" t="s">
        <v>117</v>
      </c>
      <c r="D1272" t="s">
        <v>74</v>
      </c>
      <c r="E1272">
        <v>3</v>
      </c>
      <c r="F1272" s="6">
        <v>95</v>
      </c>
      <c r="G1272" s="7">
        <v>0</v>
      </c>
      <c r="H1272" s="6">
        <v>285</v>
      </c>
      <c r="I1272">
        <v>0</v>
      </c>
      <c r="J1272" s="6">
        <v>0</v>
      </c>
      <c r="K1272">
        <v>3</v>
      </c>
      <c r="L1272" s="6">
        <v>285</v>
      </c>
      <c r="M1272" s="6">
        <v>202.42</v>
      </c>
      <c r="N1272" s="6">
        <v>82.58</v>
      </c>
      <c r="O1272" s="6">
        <v>25.53</v>
      </c>
      <c r="P1272" s="6">
        <v>57.05</v>
      </c>
      <c r="Q1272" t="s">
        <v>59</v>
      </c>
      <c r="R1272" t="s">
        <v>86</v>
      </c>
      <c r="S1272" t="s">
        <v>61</v>
      </c>
    </row>
    <row r="1273" spans="1:19" x14ac:dyDescent="0.35">
      <c r="A1273" t="s">
        <v>1401</v>
      </c>
      <c r="B1273" s="5">
        <v>45998</v>
      </c>
      <c r="C1273" t="s">
        <v>97</v>
      </c>
      <c r="D1273" t="s">
        <v>57</v>
      </c>
      <c r="E1273">
        <v>1</v>
      </c>
      <c r="F1273" s="6">
        <v>55</v>
      </c>
      <c r="G1273" s="7">
        <v>0</v>
      </c>
      <c r="H1273" s="6">
        <v>55</v>
      </c>
      <c r="I1273">
        <v>0</v>
      </c>
      <c r="J1273" s="6">
        <v>0</v>
      </c>
      <c r="K1273">
        <v>1</v>
      </c>
      <c r="L1273" s="6">
        <v>55</v>
      </c>
      <c r="M1273" s="6">
        <v>40.96</v>
      </c>
      <c r="N1273" s="6">
        <v>14.04</v>
      </c>
      <c r="O1273" s="6">
        <v>3.13</v>
      </c>
      <c r="P1273" s="6">
        <v>10.91</v>
      </c>
      <c r="Q1273" t="s">
        <v>59</v>
      </c>
      <c r="R1273" t="s">
        <v>86</v>
      </c>
      <c r="S1273" t="s">
        <v>67</v>
      </c>
    </row>
    <row r="1274" spans="1:19" x14ac:dyDescent="0.35">
      <c r="A1274" t="s">
        <v>1402</v>
      </c>
      <c r="B1274" s="5">
        <v>45769</v>
      </c>
      <c r="C1274" t="s">
        <v>92</v>
      </c>
      <c r="D1274" t="s">
        <v>79</v>
      </c>
      <c r="E1274">
        <v>2</v>
      </c>
      <c r="F1274" s="6">
        <v>85</v>
      </c>
      <c r="G1274" s="7">
        <v>5</v>
      </c>
      <c r="H1274" s="6">
        <v>161.5</v>
      </c>
      <c r="I1274">
        <v>0</v>
      </c>
      <c r="J1274" s="6">
        <v>0</v>
      </c>
      <c r="K1274">
        <v>2</v>
      </c>
      <c r="L1274" s="6">
        <v>161.5</v>
      </c>
      <c r="M1274" s="6">
        <v>123.31</v>
      </c>
      <c r="N1274" s="6">
        <v>38.19</v>
      </c>
      <c r="O1274" s="6">
        <v>19.07</v>
      </c>
      <c r="P1274" s="6">
        <v>19.12</v>
      </c>
      <c r="Q1274" t="s">
        <v>75</v>
      </c>
      <c r="R1274" t="s">
        <v>147</v>
      </c>
      <c r="S1274" t="s">
        <v>67</v>
      </c>
    </row>
    <row r="1275" spans="1:19" x14ac:dyDescent="0.35">
      <c r="A1275" t="s">
        <v>1403</v>
      </c>
      <c r="B1275" s="5">
        <v>45960</v>
      </c>
      <c r="C1275" t="s">
        <v>88</v>
      </c>
      <c r="D1275" t="s">
        <v>57</v>
      </c>
      <c r="E1275">
        <v>5</v>
      </c>
      <c r="F1275" s="6">
        <v>30</v>
      </c>
      <c r="G1275" s="7">
        <v>0</v>
      </c>
      <c r="H1275" s="6">
        <v>150</v>
      </c>
      <c r="I1275">
        <v>0</v>
      </c>
      <c r="J1275" s="6">
        <v>0</v>
      </c>
      <c r="K1275">
        <v>5</v>
      </c>
      <c r="L1275" s="6">
        <v>150</v>
      </c>
      <c r="M1275" s="6">
        <v>94.02</v>
      </c>
      <c r="N1275" s="6">
        <v>55.98</v>
      </c>
      <c r="O1275" s="6">
        <v>19.21</v>
      </c>
      <c r="P1275" s="6">
        <v>36.770000000000003</v>
      </c>
      <c r="Q1275" t="s">
        <v>65</v>
      </c>
      <c r="R1275" t="s">
        <v>60</v>
      </c>
      <c r="S1275" t="s">
        <v>71</v>
      </c>
    </row>
    <row r="1276" spans="1:19" x14ac:dyDescent="0.35">
      <c r="A1276" t="s">
        <v>1404</v>
      </c>
      <c r="B1276" s="5">
        <v>45736</v>
      </c>
      <c r="C1276" t="s">
        <v>90</v>
      </c>
      <c r="D1276" t="s">
        <v>70</v>
      </c>
      <c r="E1276">
        <v>10</v>
      </c>
      <c r="F1276" s="6">
        <v>38</v>
      </c>
      <c r="G1276" s="7">
        <v>5</v>
      </c>
      <c r="H1276" s="6">
        <v>361</v>
      </c>
      <c r="I1276">
        <v>0</v>
      </c>
      <c r="J1276" s="6">
        <v>0</v>
      </c>
      <c r="K1276">
        <v>10</v>
      </c>
      <c r="L1276" s="6">
        <v>361</v>
      </c>
      <c r="M1276" s="6">
        <v>267.33999999999997</v>
      </c>
      <c r="N1276" s="6">
        <v>93.66</v>
      </c>
      <c r="O1276" s="6">
        <v>38.42</v>
      </c>
      <c r="P1276" s="6">
        <v>55.24</v>
      </c>
      <c r="Q1276" t="s">
        <v>59</v>
      </c>
      <c r="R1276" t="s">
        <v>82</v>
      </c>
      <c r="S1276" t="s">
        <v>76</v>
      </c>
    </row>
    <row r="1277" spans="1:19" x14ac:dyDescent="0.35">
      <c r="A1277" t="s">
        <v>1405</v>
      </c>
      <c r="B1277" s="5">
        <v>45908</v>
      </c>
      <c r="C1277" t="s">
        <v>125</v>
      </c>
      <c r="D1277" t="s">
        <v>85</v>
      </c>
      <c r="E1277">
        <v>8</v>
      </c>
      <c r="F1277" s="6">
        <v>125</v>
      </c>
      <c r="G1277" s="7">
        <v>0</v>
      </c>
      <c r="H1277" s="6">
        <v>1000</v>
      </c>
      <c r="I1277">
        <v>0</v>
      </c>
      <c r="J1277" s="6">
        <v>0</v>
      </c>
      <c r="K1277">
        <v>8</v>
      </c>
      <c r="L1277" s="6">
        <v>1000</v>
      </c>
      <c r="M1277" s="6">
        <v>624.42999999999995</v>
      </c>
      <c r="N1277" s="6">
        <v>375.57</v>
      </c>
      <c r="O1277" s="6">
        <v>106.54</v>
      </c>
      <c r="P1277" s="6">
        <v>269.02999999999997</v>
      </c>
      <c r="Q1277" t="s">
        <v>81</v>
      </c>
      <c r="R1277" t="s">
        <v>66</v>
      </c>
      <c r="S1277" t="s">
        <v>67</v>
      </c>
    </row>
    <row r="1278" spans="1:19" x14ac:dyDescent="0.35">
      <c r="A1278" t="s">
        <v>1406</v>
      </c>
      <c r="B1278" s="5">
        <v>45958</v>
      </c>
      <c r="C1278" t="s">
        <v>69</v>
      </c>
      <c r="D1278" t="s">
        <v>70</v>
      </c>
      <c r="E1278">
        <v>2</v>
      </c>
      <c r="F1278" s="6">
        <v>210</v>
      </c>
      <c r="G1278" s="7">
        <v>0</v>
      </c>
      <c r="H1278" s="6">
        <v>420</v>
      </c>
      <c r="I1278">
        <v>0</v>
      </c>
      <c r="J1278" s="6">
        <v>0</v>
      </c>
      <c r="K1278">
        <v>2</v>
      </c>
      <c r="L1278" s="6">
        <v>420</v>
      </c>
      <c r="M1278" s="6">
        <v>319.77999999999997</v>
      </c>
      <c r="N1278" s="6">
        <v>100.22</v>
      </c>
      <c r="O1278" s="6">
        <v>36.18</v>
      </c>
      <c r="P1278" s="6">
        <v>64.040000000000006</v>
      </c>
      <c r="Q1278" t="s">
        <v>65</v>
      </c>
      <c r="R1278" t="s">
        <v>60</v>
      </c>
      <c r="S1278" t="s">
        <v>67</v>
      </c>
    </row>
    <row r="1279" spans="1:19" x14ac:dyDescent="0.35">
      <c r="A1279" t="s">
        <v>1407</v>
      </c>
      <c r="B1279" s="5">
        <v>45764</v>
      </c>
      <c r="C1279" t="s">
        <v>834</v>
      </c>
      <c r="D1279" t="s">
        <v>79</v>
      </c>
      <c r="E1279">
        <v>2</v>
      </c>
      <c r="F1279" s="6">
        <v>120</v>
      </c>
      <c r="G1279" s="7">
        <v>0</v>
      </c>
      <c r="H1279" s="6">
        <v>240</v>
      </c>
      <c r="I1279">
        <v>0</v>
      </c>
      <c r="J1279" s="6">
        <v>0</v>
      </c>
      <c r="K1279">
        <v>2</v>
      </c>
      <c r="L1279" s="6">
        <v>240</v>
      </c>
      <c r="M1279" s="6">
        <v>169.82</v>
      </c>
      <c r="N1279" s="6">
        <v>70.180000000000007</v>
      </c>
      <c r="O1279" s="6">
        <v>21.72</v>
      </c>
      <c r="P1279" s="6">
        <v>48.46</v>
      </c>
      <c r="Q1279" t="s">
        <v>65</v>
      </c>
      <c r="R1279" t="s">
        <v>60</v>
      </c>
      <c r="S1279" t="s">
        <v>71</v>
      </c>
    </row>
    <row r="1280" spans="1:19" x14ac:dyDescent="0.35">
      <c r="A1280" t="s">
        <v>1408</v>
      </c>
      <c r="B1280" s="5">
        <v>45937</v>
      </c>
      <c r="C1280" t="s">
        <v>97</v>
      </c>
      <c r="D1280" t="s">
        <v>57</v>
      </c>
      <c r="E1280">
        <v>1</v>
      </c>
      <c r="F1280" s="6">
        <v>55</v>
      </c>
      <c r="G1280" s="7">
        <v>5</v>
      </c>
      <c r="H1280" s="6">
        <v>52.25</v>
      </c>
      <c r="I1280">
        <v>1</v>
      </c>
      <c r="J1280" s="6">
        <v>52.25</v>
      </c>
      <c r="K1280">
        <v>0</v>
      </c>
      <c r="L1280" s="6">
        <v>0</v>
      </c>
      <c r="M1280" s="6">
        <v>0</v>
      </c>
      <c r="N1280" s="6">
        <v>0</v>
      </c>
      <c r="O1280" s="6">
        <v>0</v>
      </c>
      <c r="P1280" s="6">
        <v>0</v>
      </c>
      <c r="Q1280" t="s">
        <v>75</v>
      </c>
      <c r="R1280" t="s">
        <v>86</v>
      </c>
      <c r="S1280" t="s">
        <v>71</v>
      </c>
    </row>
    <row r="1281" spans="1:19" x14ac:dyDescent="0.35">
      <c r="A1281" t="s">
        <v>1409</v>
      </c>
      <c r="B1281" s="5">
        <v>45892</v>
      </c>
      <c r="C1281" t="s">
        <v>100</v>
      </c>
      <c r="D1281" t="s">
        <v>64</v>
      </c>
      <c r="E1281">
        <v>8</v>
      </c>
      <c r="F1281" s="6">
        <v>310</v>
      </c>
      <c r="G1281" s="7">
        <v>0</v>
      </c>
      <c r="H1281" s="6">
        <v>2480</v>
      </c>
      <c r="I1281">
        <v>0</v>
      </c>
      <c r="J1281" s="6">
        <v>0</v>
      </c>
      <c r="K1281">
        <v>8</v>
      </c>
      <c r="L1281" s="6">
        <v>2480</v>
      </c>
      <c r="M1281" s="6">
        <v>1887.51</v>
      </c>
      <c r="N1281" s="6">
        <v>592.49</v>
      </c>
      <c r="O1281" s="6">
        <v>297.27999999999997</v>
      </c>
      <c r="P1281" s="6">
        <v>295.20999999999998</v>
      </c>
      <c r="Q1281" t="s">
        <v>75</v>
      </c>
      <c r="R1281" t="s">
        <v>86</v>
      </c>
      <c r="S1281" t="s">
        <v>67</v>
      </c>
    </row>
    <row r="1282" spans="1:19" x14ac:dyDescent="0.35">
      <c r="A1282" t="s">
        <v>1410</v>
      </c>
      <c r="B1282" s="5">
        <v>45758</v>
      </c>
      <c r="C1282" t="s">
        <v>56</v>
      </c>
      <c r="D1282" t="s">
        <v>57</v>
      </c>
      <c r="E1282">
        <v>3</v>
      </c>
      <c r="F1282" s="6">
        <v>40</v>
      </c>
      <c r="G1282" s="7">
        <v>5</v>
      </c>
      <c r="H1282" s="6">
        <v>114</v>
      </c>
      <c r="I1282">
        <v>0</v>
      </c>
      <c r="J1282" s="6">
        <v>0</v>
      </c>
      <c r="K1282">
        <v>3</v>
      </c>
      <c r="L1282" s="6">
        <v>114</v>
      </c>
      <c r="M1282" s="6">
        <v>96.02</v>
      </c>
      <c r="N1282" s="6">
        <v>17.98</v>
      </c>
      <c r="O1282" s="6">
        <v>14.4</v>
      </c>
      <c r="P1282" s="6">
        <v>3.58</v>
      </c>
      <c r="Q1282" t="s">
        <v>75</v>
      </c>
      <c r="R1282" t="s">
        <v>82</v>
      </c>
      <c r="S1282" t="s">
        <v>71</v>
      </c>
    </row>
    <row r="1283" spans="1:19" x14ac:dyDescent="0.35">
      <c r="A1283" t="s">
        <v>1411</v>
      </c>
      <c r="B1283" s="5">
        <v>45812</v>
      </c>
      <c r="C1283" t="s">
        <v>69</v>
      </c>
      <c r="D1283" t="s">
        <v>70</v>
      </c>
      <c r="E1283">
        <v>3</v>
      </c>
      <c r="F1283" s="6">
        <v>210</v>
      </c>
      <c r="G1283" s="7">
        <v>0</v>
      </c>
      <c r="H1283" s="6">
        <v>630</v>
      </c>
      <c r="I1283">
        <v>0</v>
      </c>
      <c r="J1283" s="6">
        <v>0</v>
      </c>
      <c r="K1283">
        <v>3</v>
      </c>
      <c r="L1283" s="6">
        <v>630</v>
      </c>
      <c r="M1283" s="6">
        <v>455.97</v>
      </c>
      <c r="N1283" s="6">
        <v>174.03</v>
      </c>
      <c r="O1283" s="6">
        <v>35.97</v>
      </c>
      <c r="P1283" s="6">
        <v>138.06</v>
      </c>
      <c r="Q1283" t="s">
        <v>65</v>
      </c>
      <c r="R1283" t="s">
        <v>82</v>
      </c>
      <c r="S1283" t="s">
        <v>76</v>
      </c>
    </row>
    <row r="1284" spans="1:19" x14ac:dyDescent="0.35">
      <c r="A1284" t="s">
        <v>1412</v>
      </c>
      <c r="B1284" s="5">
        <v>45840</v>
      </c>
      <c r="C1284" t="s">
        <v>104</v>
      </c>
      <c r="D1284" t="s">
        <v>105</v>
      </c>
      <c r="E1284">
        <v>1</v>
      </c>
      <c r="F1284" s="6">
        <v>65</v>
      </c>
      <c r="G1284" s="7">
        <v>2</v>
      </c>
      <c r="H1284" s="6">
        <v>63.7</v>
      </c>
      <c r="I1284">
        <v>0</v>
      </c>
      <c r="J1284" s="6">
        <v>0</v>
      </c>
      <c r="K1284">
        <v>1</v>
      </c>
      <c r="L1284" s="6">
        <v>63.7</v>
      </c>
      <c r="M1284" s="6">
        <v>51.73</v>
      </c>
      <c r="N1284" s="6">
        <v>11.97</v>
      </c>
      <c r="O1284" s="6">
        <v>8.27</v>
      </c>
      <c r="P1284" s="6">
        <v>3.7</v>
      </c>
      <c r="Q1284" t="s">
        <v>75</v>
      </c>
      <c r="R1284" t="s">
        <v>82</v>
      </c>
      <c r="S1284" t="s">
        <v>61</v>
      </c>
    </row>
    <row r="1285" spans="1:19" x14ac:dyDescent="0.35">
      <c r="A1285" t="s">
        <v>1413</v>
      </c>
      <c r="B1285" s="5">
        <v>45744</v>
      </c>
      <c r="C1285" t="s">
        <v>1414</v>
      </c>
      <c r="D1285" t="s">
        <v>70</v>
      </c>
      <c r="E1285">
        <v>10</v>
      </c>
      <c r="F1285" s="6">
        <v>38</v>
      </c>
      <c r="G1285" s="7">
        <v>5</v>
      </c>
      <c r="H1285" s="6">
        <v>361</v>
      </c>
      <c r="I1285">
        <v>0</v>
      </c>
      <c r="J1285" s="6">
        <v>0</v>
      </c>
      <c r="K1285">
        <v>10</v>
      </c>
      <c r="L1285" s="6">
        <v>361</v>
      </c>
      <c r="M1285" s="6">
        <v>238.03</v>
      </c>
      <c r="N1285" s="6">
        <v>122.97</v>
      </c>
      <c r="O1285" s="6">
        <v>37.340000000000003</v>
      </c>
      <c r="P1285" s="6">
        <v>85.63</v>
      </c>
      <c r="Q1285" t="s">
        <v>59</v>
      </c>
      <c r="R1285" t="s">
        <v>60</v>
      </c>
      <c r="S1285" t="s">
        <v>71</v>
      </c>
    </row>
    <row r="1286" spans="1:19" x14ac:dyDescent="0.35">
      <c r="A1286" t="s">
        <v>1415</v>
      </c>
      <c r="B1286" s="5">
        <v>45685</v>
      </c>
      <c r="C1286" t="s">
        <v>264</v>
      </c>
      <c r="D1286" t="s">
        <v>85</v>
      </c>
      <c r="E1286">
        <v>2</v>
      </c>
      <c r="F1286" s="6">
        <v>20</v>
      </c>
      <c r="G1286" s="7">
        <v>2</v>
      </c>
      <c r="H1286" s="6">
        <v>39.200000000000003</v>
      </c>
      <c r="I1286">
        <v>0</v>
      </c>
      <c r="J1286" s="6">
        <v>0</v>
      </c>
      <c r="K1286">
        <v>2</v>
      </c>
      <c r="L1286" s="6">
        <v>39.200000000000003</v>
      </c>
      <c r="M1286" s="6">
        <v>28.86</v>
      </c>
      <c r="N1286" s="6">
        <v>10.34</v>
      </c>
      <c r="O1286" s="6">
        <v>4.7</v>
      </c>
      <c r="P1286" s="6">
        <v>5.64</v>
      </c>
      <c r="Q1286" t="s">
        <v>65</v>
      </c>
      <c r="R1286" t="s">
        <v>82</v>
      </c>
      <c r="S1286" t="s">
        <v>71</v>
      </c>
    </row>
    <row r="1287" spans="1:19" x14ac:dyDescent="0.35">
      <c r="A1287" t="s">
        <v>1416</v>
      </c>
      <c r="B1287" s="5">
        <v>45974</v>
      </c>
      <c r="C1287" t="s">
        <v>56</v>
      </c>
      <c r="D1287" t="s">
        <v>57</v>
      </c>
      <c r="E1287">
        <v>4</v>
      </c>
      <c r="F1287" s="6">
        <v>40</v>
      </c>
      <c r="G1287" s="7">
        <v>5</v>
      </c>
      <c r="H1287" s="6">
        <v>152</v>
      </c>
      <c r="I1287">
        <v>0</v>
      </c>
      <c r="J1287" s="6">
        <v>0</v>
      </c>
      <c r="K1287">
        <v>4</v>
      </c>
      <c r="L1287" s="6">
        <v>152</v>
      </c>
      <c r="M1287" s="6">
        <v>104.43</v>
      </c>
      <c r="N1287" s="6">
        <v>47.57</v>
      </c>
      <c r="O1287" s="6">
        <v>8.5399999999999991</v>
      </c>
      <c r="P1287" s="6">
        <v>39.03</v>
      </c>
      <c r="Q1287" t="s">
        <v>81</v>
      </c>
      <c r="R1287" t="s">
        <v>66</v>
      </c>
      <c r="S1287" t="s">
        <v>71</v>
      </c>
    </row>
    <row r="1288" spans="1:19" x14ac:dyDescent="0.35">
      <c r="A1288" t="s">
        <v>1417</v>
      </c>
      <c r="B1288" s="5">
        <v>45870</v>
      </c>
      <c r="C1288" t="s">
        <v>92</v>
      </c>
      <c r="D1288" t="s">
        <v>79</v>
      </c>
      <c r="E1288">
        <v>2</v>
      </c>
      <c r="F1288" s="6">
        <v>85</v>
      </c>
      <c r="G1288" s="7">
        <v>10</v>
      </c>
      <c r="H1288" s="6">
        <v>153</v>
      </c>
      <c r="I1288">
        <v>0</v>
      </c>
      <c r="J1288" s="6">
        <v>0</v>
      </c>
      <c r="K1288">
        <v>2</v>
      </c>
      <c r="L1288" s="6">
        <v>153</v>
      </c>
      <c r="M1288" s="6">
        <v>106.22</v>
      </c>
      <c r="N1288" s="6">
        <v>46.78</v>
      </c>
      <c r="O1288" s="6">
        <v>11.09</v>
      </c>
      <c r="P1288" s="6">
        <v>35.69</v>
      </c>
      <c r="Q1288" t="s">
        <v>65</v>
      </c>
      <c r="R1288" t="s">
        <v>66</v>
      </c>
      <c r="S1288" t="s">
        <v>67</v>
      </c>
    </row>
    <row r="1289" spans="1:19" x14ac:dyDescent="0.35">
      <c r="A1289" t="s">
        <v>1418</v>
      </c>
      <c r="B1289" s="5">
        <v>45711</v>
      </c>
      <c r="C1289" t="s">
        <v>88</v>
      </c>
      <c r="D1289" t="s">
        <v>57</v>
      </c>
      <c r="E1289">
        <v>3</v>
      </c>
      <c r="F1289" s="6">
        <v>30</v>
      </c>
      <c r="G1289" s="7">
        <v>0</v>
      </c>
      <c r="H1289" s="6">
        <v>90</v>
      </c>
      <c r="I1289">
        <v>0</v>
      </c>
      <c r="J1289" s="6">
        <v>0</v>
      </c>
      <c r="K1289">
        <v>3</v>
      </c>
      <c r="L1289" s="6">
        <v>90</v>
      </c>
      <c r="M1289" s="6">
        <v>60.63</v>
      </c>
      <c r="N1289" s="6">
        <v>29.37</v>
      </c>
      <c r="O1289" s="6">
        <v>5.87</v>
      </c>
      <c r="P1289" s="6">
        <v>23.5</v>
      </c>
      <c r="Q1289" t="s">
        <v>75</v>
      </c>
      <c r="R1289" t="s">
        <v>66</v>
      </c>
      <c r="S1289" t="s">
        <v>71</v>
      </c>
    </row>
    <row r="1290" spans="1:19" x14ac:dyDescent="0.35">
      <c r="A1290" t="s">
        <v>1419</v>
      </c>
      <c r="B1290" s="5">
        <v>45901</v>
      </c>
      <c r="C1290" t="s">
        <v>121</v>
      </c>
      <c r="D1290" t="s">
        <v>70</v>
      </c>
      <c r="E1290">
        <v>2</v>
      </c>
      <c r="F1290" s="6">
        <v>110</v>
      </c>
      <c r="G1290" s="7">
        <v>5</v>
      </c>
      <c r="H1290" s="6">
        <v>209</v>
      </c>
      <c r="I1290">
        <v>0</v>
      </c>
      <c r="J1290" s="6">
        <v>0</v>
      </c>
      <c r="K1290">
        <v>2</v>
      </c>
      <c r="L1290" s="6">
        <v>209</v>
      </c>
      <c r="M1290" s="6">
        <v>178.43</v>
      </c>
      <c r="N1290" s="6">
        <v>30.57</v>
      </c>
      <c r="O1290" s="6">
        <v>24.03</v>
      </c>
      <c r="P1290" s="6">
        <v>6.54</v>
      </c>
      <c r="Q1290" t="s">
        <v>75</v>
      </c>
      <c r="R1290" t="s">
        <v>82</v>
      </c>
      <c r="S1290" t="s">
        <v>71</v>
      </c>
    </row>
    <row r="1291" spans="1:19" x14ac:dyDescent="0.35">
      <c r="A1291" t="s">
        <v>1420</v>
      </c>
      <c r="B1291" s="5">
        <v>45791</v>
      </c>
      <c r="C1291" t="s">
        <v>90</v>
      </c>
      <c r="D1291" t="s">
        <v>70</v>
      </c>
      <c r="E1291">
        <v>1</v>
      </c>
      <c r="F1291" s="6">
        <v>38</v>
      </c>
      <c r="G1291" s="7">
        <v>2</v>
      </c>
      <c r="H1291" s="6">
        <v>37.24</v>
      </c>
      <c r="I1291">
        <v>0</v>
      </c>
      <c r="J1291" s="6">
        <v>0</v>
      </c>
      <c r="K1291">
        <v>1</v>
      </c>
      <c r="L1291" s="6">
        <v>37.24</v>
      </c>
      <c r="M1291" s="6">
        <v>24.58</v>
      </c>
      <c r="N1291" s="6">
        <v>12.66</v>
      </c>
      <c r="O1291" s="6">
        <v>2.61</v>
      </c>
      <c r="P1291" s="6">
        <v>10.050000000000001</v>
      </c>
      <c r="Q1291" t="s">
        <v>65</v>
      </c>
      <c r="R1291" t="s">
        <v>86</v>
      </c>
      <c r="S1291" t="s">
        <v>76</v>
      </c>
    </row>
    <row r="1292" spans="1:19" x14ac:dyDescent="0.35">
      <c r="A1292" t="s">
        <v>1421</v>
      </c>
      <c r="B1292" s="5">
        <v>45673</v>
      </c>
      <c r="C1292" t="s">
        <v>109</v>
      </c>
      <c r="D1292" t="s">
        <v>85</v>
      </c>
      <c r="E1292">
        <v>4</v>
      </c>
      <c r="F1292" s="6">
        <v>180</v>
      </c>
      <c r="G1292" s="7">
        <v>15</v>
      </c>
      <c r="H1292" s="6">
        <v>612</v>
      </c>
      <c r="I1292">
        <v>0</v>
      </c>
      <c r="J1292" s="6">
        <v>0</v>
      </c>
      <c r="K1292">
        <v>4</v>
      </c>
      <c r="L1292" s="6">
        <v>612</v>
      </c>
      <c r="M1292" s="6">
        <v>446.34</v>
      </c>
      <c r="N1292" s="6">
        <v>165.66</v>
      </c>
      <c r="O1292" s="6">
        <v>78.34</v>
      </c>
      <c r="P1292" s="6">
        <v>87.32</v>
      </c>
      <c r="Q1292" t="s">
        <v>65</v>
      </c>
      <c r="R1292" t="s">
        <v>82</v>
      </c>
      <c r="S1292" t="s">
        <v>71</v>
      </c>
    </row>
    <row r="1293" spans="1:19" x14ac:dyDescent="0.35">
      <c r="A1293" t="s">
        <v>1422</v>
      </c>
      <c r="B1293" s="5">
        <v>45825</v>
      </c>
      <c r="C1293" t="s">
        <v>88</v>
      </c>
      <c r="D1293" t="s">
        <v>57</v>
      </c>
      <c r="E1293">
        <v>3</v>
      </c>
      <c r="F1293" s="6">
        <v>30</v>
      </c>
      <c r="G1293" s="7">
        <v>0</v>
      </c>
      <c r="H1293" s="6">
        <v>90</v>
      </c>
      <c r="I1293">
        <v>0</v>
      </c>
      <c r="J1293" s="6">
        <v>0</v>
      </c>
      <c r="K1293">
        <v>3</v>
      </c>
      <c r="L1293" s="6">
        <v>90</v>
      </c>
      <c r="M1293" s="6">
        <v>68.290000000000006</v>
      </c>
      <c r="N1293" s="6">
        <v>21.71</v>
      </c>
      <c r="O1293" s="6">
        <v>5.27</v>
      </c>
      <c r="P1293" s="6">
        <v>16.440000000000001</v>
      </c>
      <c r="Q1293" t="s">
        <v>75</v>
      </c>
      <c r="R1293" t="s">
        <v>86</v>
      </c>
      <c r="S1293" t="s">
        <v>67</v>
      </c>
    </row>
    <row r="1294" spans="1:19" x14ac:dyDescent="0.35">
      <c r="A1294" t="s">
        <v>1423</v>
      </c>
      <c r="B1294" s="5">
        <v>45777</v>
      </c>
      <c r="C1294" t="s">
        <v>95</v>
      </c>
      <c r="D1294" t="s">
        <v>64</v>
      </c>
      <c r="E1294">
        <v>4</v>
      </c>
      <c r="F1294" s="6">
        <v>52</v>
      </c>
      <c r="G1294" s="7">
        <v>2</v>
      </c>
      <c r="H1294" s="6">
        <v>203.84</v>
      </c>
      <c r="I1294">
        <v>0</v>
      </c>
      <c r="J1294" s="6">
        <v>0</v>
      </c>
      <c r="K1294">
        <v>4</v>
      </c>
      <c r="L1294" s="6">
        <v>203.84</v>
      </c>
      <c r="M1294" s="6">
        <v>164.02</v>
      </c>
      <c r="N1294" s="6">
        <v>39.82</v>
      </c>
      <c r="O1294" s="6">
        <v>22.28</v>
      </c>
      <c r="P1294" s="6">
        <v>17.54</v>
      </c>
      <c r="Q1294" t="s">
        <v>59</v>
      </c>
      <c r="R1294" t="s">
        <v>60</v>
      </c>
      <c r="S1294" t="s">
        <v>76</v>
      </c>
    </row>
    <row r="1295" spans="1:19" x14ac:dyDescent="0.35">
      <c r="A1295" t="s">
        <v>1424</v>
      </c>
      <c r="B1295" s="5">
        <v>45781</v>
      </c>
      <c r="C1295" t="s">
        <v>88</v>
      </c>
      <c r="D1295" t="s">
        <v>57</v>
      </c>
      <c r="E1295">
        <v>2</v>
      </c>
      <c r="F1295" s="6">
        <v>30</v>
      </c>
      <c r="G1295" s="7">
        <v>0</v>
      </c>
      <c r="H1295" s="6">
        <v>60</v>
      </c>
      <c r="I1295">
        <v>0</v>
      </c>
      <c r="J1295" s="6">
        <v>0</v>
      </c>
      <c r="K1295">
        <v>2</v>
      </c>
      <c r="L1295" s="6">
        <v>60</v>
      </c>
      <c r="M1295" s="6">
        <v>43.65</v>
      </c>
      <c r="N1295" s="6">
        <v>16.350000000000001</v>
      </c>
      <c r="O1295" s="6">
        <v>4.62</v>
      </c>
      <c r="P1295" s="6">
        <v>11.73</v>
      </c>
      <c r="Q1295" t="s">
        <v>75</v>
      </c>
      <c r="R1295" t="s">
        <v>86</v>
      </c>
      <c r="S1295" t="s">
        <v>76</v>
      </c>
    </row>
    <row r="1296" spans="1:19" x14ac:dyDescent="0.35">
      <c r="A1296" t="s">
        <v>1425</v>
      </c>
      <c r="B1296" s="5">
        <v>45851</v>
      </c>
      <c r="C1296" t="s">
        <v>114</v>
      </c>
      <c r="D1296" t="s">
        <v>64</v>
      </c>
      <c r="E1296">
        <v>3</v>
      </c>
      <c r="F1296" s="6">
        <v>420</v>
      </c>
      <c r="G1296" s="7">
        <v>0</v>
      </c>
      <c r="H1296" s="6">
        <v>1260</v>
      </c>
      <c r="I1296">
        <v>0</v>
      </c>
      <c r="J1296" s="6">
        <v>0</v>
      </c>
      <c r="K1296">
        <v>3</v>
      </c>
      <c r="L1296" s="6">
        <v>1260</v>
      </c>
      <c r="M1296" s="6">
        <v>820.88</v>
      </c>
      <c r="N1296" s="6">
        <v>439.12</v>
      </c>
      <c r="O1296" s="6">
        <v>126.81</v>
      </c>
      <c r="P1296" s="6">
        <v>312.31</v>
      </c>
      <c r="Q1296" t="s">
        <v>75</v>
      </c>
      <c r="R1296" t="s">
        <v>86</v>
      </c>
      <c r="S1296" t="s">
        <v>71</v>
      </c>
    </row>
    <row r="1297" spans="1:19" x14ac:dyDescent="0.35">
      <c r="A1297" t="s">
        <v>1426</v>
      </c>
      <c r="B1297" s="5">
        <v>45678</v>
      </c>
      <c r="C1297" t="s">
        <v>92</v>
      </c>
      <c r="D1297" t="s">
        <v>79</v>
      </c>
      <c r="E1297">
        <v>5</v>
      </c>
      <c r="F1297" s="6">
        <v>85</v>
      </c>
      <c r="G1297" s="7">
        <v>5</v>
      </c>
      <c r="H1297" s="6">
        <v>403.75</v>
      </c>
      <c r="I1297">
        <v>0</v>
      </c>
      <c r="J1297" s="6">
        <v>0</v>
      </c>
      <c r="K1297">
        <v>5</v>
      </c>
      <c r="L1297" s="6">
        <v>403.75</v>
      </c>
      <c r="M1297" s="6">
        <v>318.93</v>
      </c>
      <c r="N1297" s="6">
        <v>84.82</v>
      </c>
      <c r="O1297" s="6">
        <v>48.03</v>
      </c>
      <c r="P1297" s="6">
        <v>36.79</v>
      </c>
      <c r="Q1297" t="s">
        <v>59</v>
      </c>
      <c r="R1297" t="s">
        <v>60</v>
      </c>
      <c r="S1297" t="s">
        <v>61</v>
      </c>
    </row>
    <row r="1298" spans="1:19" x14ac:dyDescent="0.35">
      <c r="A1298" t="s">
        <v>1427</v>
      </c>
      <c r="B1298" s="5">
        <v>45883</v>
      </c>
      <c r="C1298" t="s">
        <v>69</v>
      </c>
      <c r="D1298" t="s">
        <v>70</v>
      </c>
      <c r="E1298">
        <v>6</v>
      </c>
      <c r="F1298" s="6">
        <v>210</v>
      </c>
      <c r="G1298" s="7">
        <v>10</v>
      </c>
      <c r="H1298" s="6">
        <v>1134</v>
      </c>
      <c r="I1298">
        <v>0</v>
      </c>
      <c r="J1298" s="6">
        <v>0</v>
      </c>
      <c r="K1298">
        <v>6</v>
      </c>
      <c r="L1298" s="6">
        <v>1134</v>
      </c>
      <c r="M1298" s="6">
        <v>850.51</v>
      </c>
      <c r="N1298" s="6">
        <v>283.49</v>
      </c>
      <c r="O1298" s="6">
        <v>106.18</v>
      </c>
      <c r="P1298" s="6">
        <v>177.31</v>
      </c>
      <c r="Q1298" t="s">
        <v>81</v>
      </c>
      <c r="R1298" t="s">
        <v>60</v>
      </c>
      <c r="S1298" t="s">
        <v>67</v>
      </c>
    </row>
    <row r="1299" spans="1:19" x14ac:dyDescent="0.35">
      <c r="A1299" t="s">
        <v>1428</v>
      </c>
      <c r="B1299" s="5">
        <v>45898</v>
      </c>
      <c r="C1299" t="s">
        <v>88</v>
      </c>
      <c r="D1299" t="s">
        <v>57</v>
      </c>
      <c r="E1299">
        <v>3</v>
      </c>
      <c r="F1299" s="6">
        <v>30</v>
      </c>
      <c r="G1299" s="7">
        <v>0</v>
      </c>
      <c r="H1299" s="6">
        <v>90</v>
      </c>
      <c r="I1299">
        <v>0</v>
      </c>
      <c r="J1299" s="6">
        <v>0</v>
      </c>
      <c r="K1299">
        <v>3</v>
      </c>
      <c r="L1299" s="6">
        <v>90</v>
      </c>
      <c r="M1299" s="6">
        <v>59.51</v>
      </c>
      <c r="N1299" s="6">
        <v>30.49</v>
      </c>
      <c r="O1299" s="6">
        <v>5.64</v>
      </c>
      <c r="P1299" s="6">
        <v>24.85</v>
      </c>
      <c r="Q1299" t="s">
        <v>81</v>
      </c>
      <c r="R1299" t="s">
        <v>60</v>
      </c>
      <c r="S1299" t="s">
        <v>76</v>
      </c>
    </row>
    <row r="1300" spans="1:19" x14ac:dyDescent="0.35">
      <c r="A1300" t="s">
        <v>1429</v>
      </c>
      <c r="B1300" s="5">
        <v>45677</v>
      </c>
      <c r="C1300" t="s">
        <v>78</v>
      </c>
      <c r="D1300" t="s">
        <v>79</v>
      </c>
      <c r="E1300">
        <v>2</v>
      </c>
      <c r="F1300" s="6">
        <v>120</v>
      </c>
      <c r="G1300" s="7">
        <v>2</v>
      </c>
      <c r="H1300" s="6">
        <v>235.2</v>
      </c>
      <c r="I1300">
        <v>0</v>
      </c>
      <c r="J1300" s="6">
        <v>0</v>
      </c>
      <c r="K1300">
        <v>2</v>
      </c>
      <c r="L1300" s="6">
        <v>235.2</v>
      </c>
      <c r="M1300" s="6">
        <v>180.27</v>
      </c>
      <c r="N1300" s="6">
        <v>54.93</v>
      </c>
      <c r="O1300" s="6">
        <v>26.69</v>
      </c>
      <c r="P1300" s="6">
        <v>28.24</v>
      </c>
      <c r="Q1300" t="s">
        <v>75</v>
      </c>
      <c r="R1300" t="s">
        <v>66</v>
      </c>
      <c r="S1300" t="s">
        <v>67</v>
      </c>
    </row>
    <row r="1301" spans="1:19" x14ac:dyDescent="0.35">
      <c r="A1301" t="s">
        <v>1430</v>
      </c>
      <c r="B1301" s="5">
        <v>45748</v>
      </c>
      <c r="C1301" t="s">
        <v>104</v>
      </c>
      <c r="D1301" t="s">
        <v>105</v>
      </c>
      <c r="E1301">
        <v>2</v>
      </c>
      <c r="F1301" s="6">
        <v>65</v>
      </c>
      <c r="G1301" s="7">
        <v>0</v>
      </c>
      <c r="H1301" s="6">
        <v>130</v>
      </c>
      <c r="I1301">
        <v>0</v>
      </c>
      <c r="J1301" s="6">
        <v>0</v>
      </c>
      <c r="K1301">
        <v>2</v>
      </c>
      <c r="L1301" s="6">
        <v>130</v>
      </c>
      <c r="M1301" s="6">
        <v>97.88</v>
      </c>
      <c r="N1301" s="6">
        <v>32.119999999999997</v>
      </c>
      <c r="O1301" s="6">
        <v>8.14</v>
      </c>
      <c r="P1301" s="6">
        <v>23.98</v>
      </c>
      <c r="Q1301" t="s">
        <v>81</v>
      </c>
      <c r="R1301" t="s">
        <v>60</v>
      </c>
      <c r="S1301" t="s">
        <v>76</v>
      </c>
    </row>
    <row r="1302" spans="1:19" x14ac:dyDescent="0.35">
      <c r="A1302" t="s">
        <v>1431</v>
      </c>
      <c r="B1302" s="5">
        <v>45844</v>
      </c>
      <c r="C1302" t="s">
        <v>109</v>
      </c>
      <c r="D1302" t="s">
        <v>85</v>
      </c>
      <c r="E1302">
        <v>3</v>
      </c>
      <c r="F1302" s="6">
        <v>180</v>
      </c>
      <c r="G1302" s="7">
        <v>5</v>
      </c>
      <c r="H1302" s="6">
        <v>513</v>
      </c>
      <c r="I1302">
        <v>0</v>
      </c>
      <c r="J1302" s="6">
        <v>0</v>
      </c>
      <c r="K1302">
        <v>3</v>
      </c>
      <c r="L1302" s="6">
        <v>513</v>
      </c>
      <c r="M1302" s="6">
        <v>343.33</v>
      </c>
      <c r="N1302" s="6">
        <v>169.67</v>
      </c>
      <c r="O1302" s="6">
        <v>39.85</v>
      </c>
      <c r="P1302" s="6">
        <v>129.82</v>
      </c>
      <c r="Q1302" t="s">
        <v>59</v>
      </c>
      <c r="S1302" t="s">
        <v>71</v>
      </c>
    </row>
    <row r="1303" spans="1:19" x14ac:dyDescent="0.35">
      <c r="A1303" t="s">
        <v>1432</v>
      </c>
      <c r="B1303" s="5">
        <v>45819</v>
      </c>
      <c r="C1303" t="s">
        <v>63</v>
      </c>
      <c r="D1303" t="s">
        <v>64</v>
      </c>
      <c r="E1303">
        <v>5</v>
      </c>
      <c r="F1303" s="6">
        <v>145</v>
      </c>
      <c r="G1303" s="7">
        <v>0</v>
      </c>
      <c r="H1303" s="6">
        <v>725</v>
      </c>
      <c r="I1303">
        <v>0</v>
      </c>
      <c r="J1303" s="6">
        <v>0</v>
      </c>
      <c r="K1303">
        <v>5</v>
      </c>
      <c r="L1303" s="6">
        <v>725</v>
      </c>
      <c r="M1303" s="6">
        <v>463.93</v>
      </c>
      <c r="N1303" s="6">
        <v>261.07</v>
      </c>
      <c r="O1303" s="6">
        <v>63.62</v>
      </c>
      <c r="P1303" s="6">
        <v>197.45</v>
      </c>
      <c r="Q1303" t="s">
        <v>81</v>
      </c>
      <c r="R1303" t="s">
        <v>82</v>
      </c>
    </row>
    <row r="1304" spans="1:19" x14ac:dyDescent="0.35">
      <c r="A1304" t="s">
        <v>1433</v>
      </c>
      <c r="B1304" s="5">
        <v>45919</v>
      </c>
      <c r="C1304" t="s">
        <v>56</v>
      </c>
      <c r="D1304" t="s">
        <v>57</v>
      </c>
      <c r="E1304">
        <v>2</v>
      </c>
      <c r="F1304" s="6">
        <v>40</v>
      </c>
      <c r="G1304" s="7">
        <v>0</v>
      </c>
      <c r="H1304" s="6">
        <v>80</v>
      </c>
      <c r="I1304">
        <v>0</v>
      </c>
      <c r="J1304" s="6">
        <v>0</v>
      </c>
      <c r="K1304">
        <v>2</v>
      </c>
      <c r="L1304" s="6">
        <v>80</v>
      </c>
      <c r="M1304" s="6">
        <v>65.400000000000006</v>
      </c>
      <c r="N1304" s="6">
        <v>14.6</v>
      </c>
      <c r="O1304" s="6">
        <v>7.99</v>
      </c>
      <c r="P1304" s="6">
        <v>6.61</v>
      </c>
      <c r="Q1304" t="s">
        <v>81</v>
      </c>
      <c r="R1304" t="s">
        <v>86</v>
      </c>
      <c r="S1304" t="s">
        <v>61</v>
      </c>
    </row>
    <row r="1305" spans="1:19" x14ac:dyDescent="0.35">
      <c r="A1305" t="s">
        <v>1434</v>
      </c>
      <c r="B1305" s="5">
        <v>45744</v>
      </c>
      <c r="C1305" t="s">
        <v>56</v>
      </c>
      <c r="D1305" t="s">
        <v>57</v>
      </c>
      <c r="E1305">
        <v>2</v>
      </c>
      <c r="F1305" s="6">
        <v>40</v>
      </c>
      <c r="G1305" s="7">
        <v>2</v>
      </c>
      <c r="H1305" s="6">
        <v>78.400000000000006</v>
      </c>
      <c r="I1305">
        <v>0</v>
      </c>
      <c r="J1305" s="6">
        <v>0</v>
      </c>
      <c r="K1305">
        <v>2</v>
      </c>
      <c r="L1305" s="6">
        <v>78.400000000000006</v>
      </c>
      <c r="M1305" s="6">
        <v>57.56</v>
      </c>
      <c r="N1305" s="6">
        <v>20.84</v>
      </c>
      <c r="O1305" s="6">
        <v>8.49</v>
      </c>
      <c r="P1305" s="6">
        <v>12.35</v>
      </c>
      <c r="Q1305" t="s">
        <v>59</v>
      </c>
      <c r="R1305" t="s">
        <v>66</v>
      </c>
      <c r="S1305" t="s">
        <v>76</v>
      </c>
    </row>
    <row r="1306" spans="1:19" x14ac:dyDescent="0.35">
      <c r="A1306" t="s">
        <v>1435</v>
      </c>
      <c r="B1306" s="5">
        <v>45794</v>
      </c>
      <c r="C1306" t="s">
        <v>84</v>
      </c>
      <c r="D1306" t="s">
        <v>85</v>
      </c>
      <c r="E1306">
        <v>5</v>
      </c>
      <c r="F1306" s="6">
        <v>48</v>
      </c>
      <c r="G1306" s="7">
        <v>0</v>
      </c>
      <c r="H1306" s="6">
        <v>240</v>
      </c>
      <c r="I1306">
        <v>0</v>
      </c>
      <c r="J1306" s="6">
        <v>0</v>
      </c>
      <c r="K1306">
        <v>5</v>
      </c>
      <c r="L1306" s="6">
        <v>240</v>
      </c>
      <c r="M1306" s="6">
        <v>163.30000000000001</v>
      </c>
      <c r="N1306" s="6">
        <v>76.7</v>
      </c>
      <c r="O1306" s="6">
        <v>12.39</v>
      </c>
      <c r="P1306" s="6">
        <v>64.31</v>
      </c>
      <c r="Q1306" t="s">
        <v>59</v>
      </c>
      <c r="R1306" t="s">
        <v>66</v>
      </c>
      <c r="S1306" t="s">
        <v>67</v>
      </c>
    </row>
    <row r="1307" spans="1:19" x14ac:dyDescent="0.35">
      <c r="A1307" t="s">
        <v>1436</v>
      </c>
      <c r="B1307" s="5">
        <v>45889</v>
      </c>
      <c r="C1307" t="s">
        <v>121</v>
      </c>
      <c r="D1307" t="s">
        <v>70</v>
      </c>
      <c r="E1307">
        <v>1</v>
      </c>
      <c r="F1307" s="6">
        <v>110</v>
      </c>
      <c r="G1307" s="7">
        <v>0</v>
      </c>
      <c r="H1307" s="6">
        <v>110</v>
      </c>
      <c r="I1307">
        <v>0</v>
      </c>
      <c r="J1307" s="6">
        <v>0</v>
      </c>
      <c r="K1307">
        <v>1</v>
      </c>
      <c r="L1307" s="6">
        <v>110</v>
      </c>
      <c r="M1307" s="6">
        <v>81.93</v>
      </c>
      <c r="N1307" s="6">
        <v>28.07</v>
      </c>
      <c r="O1307" s="6">
        <v>13.79</v>
      </c>
      <c r="P1307" s="6">
        <v>14.28</v>
      </c>
      <c r="Q1307" t="s">
        <v>75</v>
      </c>
      <c r="R1307" t="s">
        <v>86</v>
      </c>
      <c r="S1307" t="s">
        <v>76</v>
      </c>
    </row>
    <row r="1308" spans="1:19" x14ac:dyDescent="0.35">
      <c r="A1308" t="s">
        <v>1437</v>
      </c>
      <c r="B1308" s="5">
        <v>45964</v>
      </c>
      <c r="C1308" t="s">
        <v>92</v>
      </c>
      <c r="D1308" t="s">
        <v>79</v>
      </c>
      <c r="E1308">
        <v>3</v>
      </c>
      <c r="F1308" s="6">
        <v>85</v>
      </c>
      <c r="G1308" s="7">
        <v>2</v>
      </c>
      <c r="H1308" s="6">
        <v>249.9</v>
      </c>
      <c r="I1308">
        <v>0</v>
      </c>
      <c r="J1308" s="6">
        <v>0</v>
      </c>
      <c r="K1308">
        <v>3</v>
      </c>
      <c r="L1308" s="6">
        <v>249.9</v>
      </c>
      <c r="M1308" s="6">
        <v>206.1</v>
      </c>
      <c r="N1308" s="6">
        <v>43.8</v>
      </c>
      <c r="O1308" s="6">
        <v>15.14</v>
      </c>
      <c r="P1308" s="6">
        <v>28.66</v>
      </c>
      <c r="Q1308" t="s">
        <v>81</v>
      </c>
      <c r="R1308" t="s">
        <v>60</v>
      </c>
      <c r="S1308" t="s">
        <v>71</v>
      </c>
    </row>
    <row r="1309" spans="1:19" x14ac:dyDescent="0.35">
      <c r="A1309" t="s">
        <v>1438</v>
      </c>
      <c r="B1309" s="5">
        <v>45664</v>
      </c>
      <c r="C1309" t="s">
        <v>107</v>
      </c>
      <c r="D1309" t="s">
        <v>74</v>
      </c>
      <c r="E1309">
        <v>2</v>
      </c>
      <c r="F1309" s="6">
        <v>125</v>
      </c>
      <c r="G1309" s="7">
        <v>0</v>
      </c>
      <c r="H1309" s="6">
        <v>250</v>
      </c>
      <c r="I1309">
        <v>0</v>
      </c>
      <c r="J1309" s="6">
        <v>0</v>
      </c>
      <c r="K1309">
        <v>2</v>
      </c>
      <c r="L1309" s="6">
        <v>250</v>
      </c>
      <c r="M1309" s="6">
        <v>212.51</v>
      </c>
      <c r="N1309" s="6">
        <v>37.49</v>
      </c>
      <c r="O1309" s="6">
        <v>27.45</v>
      </c>
      <c r="P1309" s="6">
        <v>10.039999999999999</v>
      </c>
      <c r="Q1309" t="s">
        <v>75</v>
      </c>
      <c r="R1309" t="s">
        <v>60</v>
      </c>
      <c r="S1309" t="s">
        <v>76</v>
      </c>
    </row>
    <row r="1310" spans="1:19" x14ac:dyDescent="0.35">
      <c r="A1310" t="s">
        <v>1439</v>
      </c>
      <c r="B1310" s="5">
        <v>45811</v>
      </c>
      <c r="C1310" t="s">
        <v>125</v>
      </c>
      <c r="D1310" t="s">
        <v>85</v>
      </c>
      <c r="E1310">
        <v>1</v>
      </c>
      <c r="F1310" s="6">
        <v>125</v>
      </c>
      <c r="G1310" s="7">
        <v>5</v>
      </c>
      <c r="H1310" s="6">
        <v>118.75</v>
      </c>
      <c r="I1310">
        <v>0</v>
      </c>
      <c r="J1310" s="6">
        <v>0</v>
      </c>
      <c r="K1310">
        <v>1</v>
      </c>
      <c r="L1310" s="6">
        <v>118.75</v>
      </c>
      <c r="M1310" s="6">
        <v>73.91</v>
      </c>
      <c r="N1310" s="6">
        <v>44.84</v>
      </c>
      <c r="O1310" s="6">
        <v>11.9</v>
      </c>
      <c r="P1310" s="6">
        <v>32.94</v>
      </c>
      <c r="Q1310" t="s">
        <v>81</v>
      </c>
      <c r="R1310" t="s">
        <v>82</v>
      </c>
      <c r="S1310" t="s">
        <v>76</v>
      </c>
    </row>
    <row r="1311" spans="1:19" x14ac:dyDescent="0.35">
      <c r="A1311" t="s">
        <v>1440</v>
      </c>
      <c r="B1311" s="5">
        <v>45755</v>
      </c>
      <c r="C1311" t="s">
        <v>104</v>
      </c>
      <c r="D1311" t="s">
        <v>105</v>
      </c>
      <c r="E1311">
        <v>5</v>
      </c>
      <c r="F1311" s="6">
        <v>65</v>
      </c>
      <c r="G1311" s="7">
        <v>2</v>
      </c>
      <c r="H1311" s="6">
        <v>318.5</v>
      </c>
      <c r="I1311">
        <v>0</v>
      </c>
      <c r="J1311" s="6">
        <v>0</v>
      </c>
      <c r="K1311">
        <v>5</v>
      </c>
      <c r="L1311" s="6">
        <v>318.5</v>
      </c>
      <c r="M1311" s="6">
        <v>251.81</v>
      </c>
      <c r="N1311" s="6">
        <v>66.69</v>
      </c>
      <c r="O1311" s="6">
        <v>28.91</v>
      </c>
      <c r="P1311" s="6">
        <v>37.78</v>
      </c>
      <c r="Q1311" t="s">
        <v>75</v>
      </c>
      <c r="R1311" t="s">
        <v>82</v>
      </c>
      <c r="S1311" t="s">
        <v>61</v>
      </c>
    </row>
    <row r="1312" spans="1:19" x14ac:dyDescent="0.35">
      <c r="A1312" t="s">
        <v>1441</v>
      </c>
      <c r="B1312" s="5">
        <v>45890</v>
      </c>
      <c r="C1312" t="s">
        <v>107</v>
      </c>
      <c r="D1312" t="s">
        <v>243</v>
      </c>
      <c r="E1312">
        <v>1</v>
      </c>
      <c r="F1312" s="6">
        <v>125</v>
      </c>
      <c r="G1312" s="7">
        <v>0</v>
      </c>
      <c r="H1312" s="6">
        <v>125</v>
      </c>
      <c r="I1312">
        <v>0</v>
      </c>
      <c r="J1312" s="6">
        <v>0</v>
      </c>
      <c r="K1312">
        <v>1</v>
      </c>
      <c r="L1312" s="6">
        <v>125</v>
      </c>
      <c r="M1312" s="6">
        <v>93.45</v>
      </c>
      <c r="N1312" s="6">
        <v>31.55</v>
      </c>
      <c r="O1312" s="6">
        <v>13.92</v>
      </c>
      <c r="P1312" s="6">
        <v>17.63</v>
      </c>
      <c r="Q1312" t="s">
        <v>81</v>
      </c>
      <c r="R1312" t="s">
        <v>60</v>
      </c>
      <c r="S1312" t="s">
        <v>67</v>
      </c>
    </row>
    <row r="1313" spans="1:19" x14ac:dyDescent="0.35">
      <c r="A1313" t="s">
        <v>1442</v>
      </c>
      <c r="B1313" s="5">
        <v>45992</v>
      </c>
      <c r="C1313" t="s">
        <v>117</v>
      </c>
      <c r="D1313" t="s">
        <v>74</v>
      </c>
      <c r="E1313">
        <v>1</v>
      </c>
      <c r="F1313" s="6">
        <v>95</v>
      </c>
      <c r="G1313" s="7">
        <v>0</v>
      </c>
      <c r="H1313" s="6">
        <v>95</v>
      </c>
      <c r="I1313">
        <v>0</v>
      </c>
      <c r="J1313" s="6">
        <v>0</v>
      </c>
      <c r="K1313">
        <v>1</v>
      </c>
      <c r="L1313" s="6">
        <v>95</v>
      </c>
      <c r="M1313" s="6">
        <v>77.319999999999993</v>
      </c>
      <c r="N1313" s="6">
        <v>17.68</v>
      </c>
      <c r="O1313" s="6">
        <v>10.06</v>
      </c>
      <c r="P1313" s="6">
        <v>7.62</v>
      </c>
      <c r="Q1313" t="s">
        <v>59</v>
      </c>
      <c r="R1313" t="s">
        <v>66</v>
      </c>
      <c r="S1313" t="s">
        <v>67</v>
      </c>
    </row>
    <row r="1314" spans="1:19" x14ac:dyDescent="0.35">
      <c r="A1314" t="s">
        <v>1443</v>
      </c>
      <c r="B1314" s="5">
        <v>45791</v>
      </c>
      <c r="C1314" t="s">
        <v>125</v>
      </c>
      <c r="D1314" t="s">
        <v>85</v>
      </c>
      <c r="E1314">
        <v>4</v>
      </c>
      <c r="F1314" s="6">
        <v>125</v>
      </c>
      <c r="G1314" s="7">
        <v>0</v>
      </c>
      <c r="H1314" s="6">
        <v>500</v>
      </c>
      <c r="I1314">
        <v>0</v>
      </c>
      <c r="J1314" s="6">
        <v>0</v>
      </c>
      <c r="K1314">
        <v>4</v>
      </c>
      <c r="L1314" s="6">
        <v>500</v>
      </c>
      <c r="M1314" s="6">
        <v>398.78</v>
      </c>
      <c r="N1314" s="6">
        <v>101.22</v>
      </c>
      <c r="O1314" s="6">
        <v>46.37</v>
      </c>
      <c r="P1314" s="6">
        <v>54.85</v>
      </c>
      <c r="Q1314" t="s">
        <v>59</v>
      </c>
      <c r="R1314" t="s">
        <v>82</v>
      </c>
      <c r="S1314" t="s">
        <v>61</v>
      </c>
    </row>
    <row r="1315" spans="1:19" x14ac:dyDescent="0.35">
      <c r="A1315" t="s">
        <v>1444</v>
      </c>
      <c r="B1315" s="5">
        <v>45687</v>
      </c>
      <c r="C1315" t="s">
        <v>264</v>
      </c>
      <c r="D1315" t="s">
        <v>85</v>
      </c>
      <c r="E1315">
        <v>1</v>
      </c>
      <c r="F1315" s="6">
        <v>20</v>
      </c>
      <c r="G1315" s="7">
        <v>5</v>
      </c>
      <c r="H1315" s="6">
        <v>19</v>
      </c>
      <c r="I1315">
        <v>0</v>
      </c>
      <c r="J1315" s="6">
        <v>0</v>
      </c>
      <c r="K1315">
        <v>1</v>
      </c>
      <c r="L1315" s="6">
        <v>19</v>
      </c>
      <c r="M1315" s="6">
        <v>15.72</v>
      </c>
      <c r="N1315" s="6">
        <v>3.28</v>
      </c>
      <c r="O1315" s="6">
        <v>2.04</v>
      </c>
      <c r="P1315" s="6">
        <v>1.24</v>
      </c>
      <c r="Q1315" t="s">
        <v>75</v>
      </c>
      <c r="R1315" t="s">
        <v>82</v>
      </c>
      <c r="S1315" t="s">
        <v>67</v>
      </c>
    </row>
    <row r="1316" spans="1:19" x14ac:dyDescent="0.35">
      <c r="A1316" t="s">
        <v>1445</v>
      </c>
      <c r="B1316" s="5">
        <v>45803</v>
      </c>
      <c r="C1316" t="s">
        <v>109</v>
      </c>
      <c r="D1316" t="s">
        <v>85</v>
      </c>
      <c r="E1316">
        <v>6</v>
      </c>
      <c r="F1316" s="6">
        <v>180</v>
      </c>
      <c r="G1316" s="7">
        <v>0</v>
      </c>
      <c r="H1316" s="6">
        <v>1080</v>
      </c>
      <c r="I1316">
        <v>0</v>
      </c>
      <c r="J1316" s="6">
        <v>0</v>
      </c>
      <c r="K1316">
        <v>6</v>
      </c>
      <c r="L1316" s="6">
        <v>1080</v>
      </c>
      <c r="M1316" s="6">
        <v>747.98</v>
      </c>
      <c r="N1316" s="6">
        <v>332.02</v>
      </c>
      <c r="O1316" s="6">
        <v>83.01</v>
      </c>
      <c r="P1316" s="6">
        <v>249.01</v>
      </c>
      <c r="Q1316" t="s">
        <v>75</v>
      </c>
      <c r="R1316" t="s">
        <v>60</v>
      </c>
      <c r="S1316" t="s">
        <v>67</v>
      </c>
    </row>
    <row r="1317" spans="1:19" x14ac:dyDescent="0.35">
      <c r="A1317" t="s">
        <v>1446</v>
      </c>
      <c r="B1317" s="5">
        <v>45912</v>
      </c>
      <c r="C1317" t="s">
        <v>109</v>
      </c>
      <c r="D1317" t="s">
        <v>85</v>
      </c>
      <c r="E1317">
        <v>5</v>
      </c>
      <c r="F1317" s="6">
        <v>180</v>
      </c>
      <c r="G1317" s="7">
        <v>0</v>
      </c>
      <c r="H1317" s="6">
        <v>900</v>
      </c>
      <c r="I1317">
        <v>0</v>
      </c>
      <c r="J1317" s="6">
        <v>0</v>
      </c>
      <c r="K1317">
        <v>5</v>
      </c>
      <c r="L1317" s="6">
        <v>900</v>
      </c>
      <c r="M1317" s="6">
        <v>594.91</v>
      </c>
      <c r="N1317" s="6">
        <v>305.08999999999997</v>
      </c>
      <c r="O1317" s="6">
        <v>68.09</v>
      </c>
      <c r="P1317" s="6">
        <v>237</v>
      </c>
      <c r="Q1317" t="s">
        <v>59</v>
      </c>
      <c r="R1317" t="s">
        <v>66</v>
      </c>
      <c r="S1317" t="s">
        <v>76</v>
      </c>
    </row>
    <row r="1318" spans="1:19" x14ac:dyDescent="0.35">
      <c r="A1318" t="s">
        <v>1447</v>
      </c>
      <c r="B1318" s="5">
        <v>45876</v>
      </c>
      <c r="C1318" t="s">
        <v>97</v>
      </c>
      <c r="D1318" t="s">
        <v>57</v>
      </c>
      <c r="E1318">
        <v>2</v>
      </c>
      <c r="F1318" s="6">
        <v>55</v>
      </c>
      <c r="G1318" s="7">
        <v>0</v>
      </c>
      <c r="H1318" s="6">
        <v>110</v>
      </c>
      <c r="I1318">
        <v>0</v>
      </c>
      <c r="J1318" s="6">
        <v>0</v>
      </c>
      <c r="K1318">
        <v>2</v>
      </c>
      <c r="L1318" s="6">
        <v>110</v>
      </c>
      <c r="M1318" s="6">
        <v>79.69</v>
      </c>
      <c r="N1318" s="6">
        <v>30.31</v>
      </c>
      <c r="O1318" s="6">
        <v>10.57</v>
      </c>
      <c r="P1318" s="6">
        <v>19.739999999999998</v>
      </c>
      <c r="Q1318" t="s">
        <v>59</v>
      </c>
      <c r="R1318" t="s">
        <v>60</v>
      </c>
      <c r="S1318" t="s">
        <v>61</v>
      </c>
    </row>
    <row r="1319" spans="1:19" x14ac:dyDescent="0.35">
      <c r="A1319" t="s">
        <v>1448</v>
      </c>
      <c r="B1319" s="5">
        <v>45884</v>
      </c>
      <c r="C1319" t="s">
        <v>69</v>
      </c>
      <c r="D1319" t="s">
        <v>70</v>
      </c>
      <c r="E1319">
        <v>2</v>
      </c>
      <c r="F1319" s="6">
        <v>210</v>
      </c>
      <c r="G1319" s="7">
        <v>5</v>
      </c>
      <c r="H1319" s="6">
        <v>399</v>
      </c>
      <c r="I1319">
        <v>0</v>
      </c>
      <c r="J1319" s="6">
        <v>0</v>
      </c>
      <c r="K1319">
        <v>2</v>
      </c>
      <c r="L1319" s="6">
        <v>399</v>
      </c>
      <c r="M1319" s="6">
        <v>249.3</v>
      </c>
      <c r="N1319" s="6">
        <v>149.69999999999999</v>
      </c>
      <c r="O1319" s="6">
        <v>30.63</v>
      </c>
      <c r="P1319" s="6">
        <v>119.07</v>
      </c>
      <c r="Q1319" t="s">
        <v>59</v>
      </c>
      <c r="R1319" t="s">
        <v>82</v>
      </c>
      <c r="S1319" t="s">
        <v>76</v>
      </c>
    </row>
    <row r="1320" spans="1:19" x14ac:dyDescent="0.35">
      <c r="A1320" t="s">
        <v>1449</v>
      </c>
      <c r="B1320" s="5">
        <v>45935</v>
      </c>
      <c r="C1320" t="s">
        <v>109</v>
      </c>
      <c r="D1320" t="s">
        <v>110</v>
      </c>
      <c r="E1320">
        <v>3</v>
      </c>
      <c r="F1320" s="6">
        <v>180</v>
      </c>
      <c r="G1320" s="7">
        <v>15</v>
      </c>
      <c r="H1320" s="6">
        <v>459</v>
      </c>
      <c r="I1320">
        <v>0</v>
      </c>
      <c r="J1320" s="6">
        <v>0</v>
      </c>
      <c r="K1320">
        <v>3</v>
      </c>
      <c r="L1320" s="6">
        <v>459</v>
      </c>
      <c r="M1320" s="6">
        <v>342.39</v>
      </c>
      <c r="N1320" s="6">
        <v>116.61</v>
      </c>
      <c r="O1320" s="6">
        <v>37.340000000000003</v>
      </c>
      <c r="P1320" s="6">
        <v>79.27</v>
      </c>
      <c r="Q1320" t="s">
        <v>65</v>
      </c>
      <c r="R1320" t="s">
        <v>86</v>
      </c>
      <c r="S1320" t="s">
        <v>71</v>
      </c>
    </row>
    <row r="1321" spans="1:19" x14ac:dyDescent="0.35">
      <c r="A1321" t="s">
        <v>1450</v>
      </c>
      <c r="B1321" s="5">
        <v>45877</v>
      </c>
      <c r="C1321" t="s">
        <v>121</v>
      </c>
      <c r="D1321" t="s">
        <v>70</v>
      </c>
      <c r="E1321">
        <v>3</v>
      </c>
      <c r="F1321" s="6">
        <v>110</v>
      </c>
      <c r="G1321" s="7">
        <v>0</v>
      </c>
      <c r="H1321" s="6">
        <v>330</v>
      </c>
      <c r="I1321">
        <v>0</v>
      </c>
      <c r="J1321" s="6">
        <v>0</v>
      </c>
      <c r="K1321">
        <v>3</v>
      </c>
      <c r="L1321" s="6">
        <v>330</v>
      </c>
      <c r="M1321" s="6">
        <v>222.41</v>
      </c>
      <c r="N1321" s="6">
        <v>107.59</v>
      </c>
      <c r="O1321" s="6">
        <v>28.36</v>
      </c>
      <c r="P1321" s="6">
        <v>79.23</v>
      </c>
      <c r="Q1321" t="s">
        <v>81</v>
      </c>
      <c r="R1321" t="s">
        <v>86</v>
      </c>
      <c r="S1321" t="s">
        <v>61</v>
      </c>
    </row>
    <row r="1322" spans="1:19" x14ac:dyDescent="0.35">
      <c r="A1322" t="s">
        <v>1451</v>
      </c>
      <c r="B1322" s="5">
        <v>45702</v>
      </c>
      <c r="C1322" t="s">
        <v>109</v>
      </c>
      <c r="D1322" t="s">
        <v>85</v>
      </c>
      <c r="E1322">
        <v>5</v>
      </c>
      <c r="F1322" s="6">
        <v>180</v>
      </c>
      <c r="G1322" s="7">
        <v>0</v>
      </c>
      <c r="H1322" s="6">
        <v>900</v>
      </c>
      <c r="I1322">
        <v>0</v>
      </c>
      <c r="J1322" s="6">
        <v>0</v>
      </c>
      <c r="K1322">
        <v>5</v>
      </c>
      <c r="L1322" s="6">
        <v>900</v>
      </c>
      <c r="M1322" s="6">
        <v>772.01</v>
      </c>
      <c r="N1322" s="6">
        <v>127.99</v>
      </c>
      <c r="O1322" s="6">
        <v>84.88</v>
      </c>
      <c r="P1322" s="6">
        <v>43.11</v>
      </c>
      <c r="Q1322" t="s">
        <v>75</v>
      </c>
      <c r="R1322" t="s">
        <v>82</v>
      </c>
      <c r="S1322" t="s">
        <v>61</v>
      </c>
    </row>
    <row r="1323" spans="1:19" x14ac:dyDescent="0.35">
      <c r="A1323" t="s">
        <v>1452</v>
      </c>
      <c r="B1323" s="5">
        <v>46014</v>
      </c>
      <c r="C1323" t="s">
        <v>107</v>
      </c>
      <c r="D1323" t="s">
        <v>74</v>
      </c>
      <c r="E1323">
        <v>2</v>
      </c>
      <c r="F1323" s="6">
        <v>125</v>
      </c>
      <c r="G1323" s="7">
        <v>0</v>
      </c>
      <c r="H1323" s="6">
        <v>250</v>
      </c>
      <c r="I1323">
        <v>0</v>
      </c>
      <c r="J1323" s="6">
        <v>0</v>
      </c>
      <c r="K1323">
        <v>2</v>
      </c>
      <c r="L1323" s="6">
        <v>250</v>
      </c>
      <c r="M1323" s="6">
        <v>207.67</v>
      </c>
      <c r="N1323" s="6">
        <v>42.33</v>
      </c>
      <c r="O1323" s="6">
        <v>23.76</v>
      </c>
      <c r="P1323" s="6">
        <v>18.57</v>
      </c>
      <c r="Q1323" t="s">
        <v>59</v>
      </c>
      <c r="R1323" t="s">
        <v>82</v>
      </c>
      <c r="S1323" t="s">
        <v>67</v>
      </c>
    </row>
    <row r="1324" spans="1:19" x14ac:dyDescent="0.35">
      <c r="A1324" t="s">
        <v>1453</v>
      </c>
      <c r="B1324" s="5">
        <v>45693</v>
      </c>
      <c r="C1324" t="s">
        <v>97</v>
      </c>
      <c r="D1324" t="s">
        <v>57</v>
      </c>
      <c r="E1324">
        <v>6</v>
      </c>
      <c r="F1324" s="6">
        <v>55</v>
      </c>
      <c r="G1324" s="7">
        <v>5</v>
      </c>
      <c r="H1324" s="6">
        <v>313.5</v>
      </c>
      <c r="I1324">
        <v>0</v>
      </c>
      <c r="J1324" s="6">
        <v>0</v>
      </c>
      <c r="K1324">
        <v>6</v>
      </c>
      <c r="L1324" s="6">
        <v>313.5</v>
      </c>
      <c r="M1324" s="6">
        <v>235.58</v>
      </c>
      <c r="N1324" s="6">
        <v>77.92</v>
      </c>
      <c r="O1324" s="6">
        <v>17.96</v>
      </c>
      <c r="P1324" s="6">
        <v>59.96</v>
      </c>
      <c r="Q1324" t="s">
        <v>65</v>
      </c>
      <c r="R1324" t="s">
        <v>66</v>
      </c>
      <c r="S1324" t="s">
        <v>71</v>
      </c>
    </row>
    <row r="1325" spans="1:19" x14ac:dyDescent="0.35">
      <c r="A1325" t="s">
        <v>1454</v>
      </c>
      <c r="B1325" s="5">
        <v>46008</v>
      </c>
      <c r="C1325" t="s">
        <v>78</v>
      </c>
      <c r="D1325" t="s">
        <v>79</v>
      </c>
      <c r="E1325">
        <v>8</v>
      </c>
      <c r="F1325" s="6">
        <v>120</v>
      </c>
      <c r="G1325" s="7">
        <v>0</v>
      </c>
      <c r="H1325" s="6">
        <v>960</v>
      </c>
      <c r="I1325">
        <v>0</v>
      </c>
      <c r="J1325" s="6">
        <v>0</v>
      </c>
      <c r="K1325">
        <v>8</v>
      </c>
      <c r="L1325" s="6">
        <v>960</v>
      </c>
      <c r="M1325" s="6">
        <v>670.13</v>
      </c>
      <c r="N1325" s="6">
        <v>289.87</v>
      </c>
      <c r="O1325" s="6">
        <v>80.05</v>
      </c>
      <c r="P1325" s="6">
        <v>209.82</v>
      </c>
      <c r="Q1325" t="s">
        <v>81</v>
      </c>
      <c r="R1325" t="s">
        <v>82</v>
      </c>
      <c r="S1325" t="s">
        <v>76</v>
      </c>
    </row>
    <row r="1326" spans="1:19" x14ac:dyDescent="0.35">
      <c r="A1326" t="s">
        <v>1455</v>
      </c>
      <c r="B1326" s="5">
        <v>45764</v>
      </c>
      <c r="C1326" t="s">
        <v>121</v>
      </c>
      <c r="D1326" t="s">
        <v>683</v>
      </c>
      <c r="E1326">
        <v>6</v>
      </c>
      <c r="F1326" s="6">
        <v>110</v>
      </c>
      <c r="G1326" s="7">
        <v>0</v>
      </c>
      <c r="H1326" s="6">
        <v>660</v>
      </c>
      <c r="I1326">
        <v>0</v>
      </c>
      <c r="J1326" s="6">
        <v>0</v>
      </c>
      <c r="K1326">
        <v>6</v>
      </c>
      <c r="L1326" s="6">
        <v>660</v>
      </c>
      <c r="M1326" s="6">
        <v>528.29999999999995</v>
      </c>
      <c r="N1326" s="6">
        <v>131.69999999999999</v>
      </c>
      <c r="O1326" s="6">
        <v>51.39</v>
      </c>
      <c r="P1326" s="6">
        <v>80.31</v>
      </c>
      <c r="Q1326" t="s">
        <v>65</v>
      </c>
      <c r="R1326" t="s">
        <v>86</v>
      </c>
      <c r="S1326" t="s">
        <v>67</v>
      </c>
    </row>
    <row r="1327" spans="1:19" x14ac:dyDescent="0.35">
      <c r="A1327" t="s">
        <v>1456</v>
      </c>
      <c r="B1327" s="5">
        <v>45865</v>
      </c>
      <c r="C1327" t="s">
        <v>63</v>
      </c>
      <c r="D1327" t="s">
        <v>64</v>
      </c>
      <c r="E1327">
        <v>6</v>
      </c>
      <c r="F1327" s="6">
        <v>145</v>
      </c>
      <c r="G1327" s="7">
        <v>10</v>
      </c>
      <c r="H1327" s="6">
        <v>783</v>
      </c>
      <c r="I1327">
        <v>6</v>
      </c>
      <c r="J1327" s="6">
        <v>783</v>
      </c>
      <c r="K1327">
        <v>0</v>
      </c>
      <c r="L1327" s="6">
        <v>0</v>
      </c>
      <c r="M1327" s="6">
        <v>0</v>
      </c>
      <c r="N1327" s="6">
        <v>0</v>
      </c>
      <c r="O1327" s="6">
        <v>0</v>
      </c>
      <c r="P1327" s="6">
        <v>0</v>
      </c>
      <c r="Q1327" t="s">
        <v>65</v>
      </c>
      <c r="R1327" t="s">
        <v>60</v>
      </c>
      <c r="S1327" t="s">
        <v>76</v>
      </c>
    </row>
    <row r="1328" spans="1:19" x14ac:dyDescent="0.35">
      <c r="A1328" t="s">
        <v>1457</v>
      </c>
      <c r="B1328" s="5">
        <v>45913</v>
      </c>
      <c r="C1328" t="s">
        <v>107</v>
      </c>
      <c r="D1328" t="s">
        <v>74</v>
      </c>
      <c r="E1328">
        <v>5</v>
      </c>
      <c r="F1328" s="6">
        <v>125</v>
      </c>
      <c r="G1328" s="7">
        <v>0</v>
      </c>
      <c r="H1328" s="6">
        <v>625</v>
      </c>
      <c r="I1328">
        <v>0</v>
      </c>
      <c r="J1328" s="6">
        <v>0</v>
      </c>
      <c r="K1328">
        <v>5</v>
      </c>
      <c r="L1328" s="6">
        <v>625</v>
      </c>
      <c r="M1328" s="6">
        <v>418.75</v>
      </c>
      <c r="N1328" s="6">
        <v>206.25</v>
      </c>
      <c r="O1328" s="6">
        <v>59</v>
      </c>
      <c r="P1328" s="6">
        <v>147.25</v>
      </c>
      <c r="Q1328" t="s">
        <v>59</v>
      </c>
      <c r="R1328" t="s">
        <v>66</v>
      </c>
      <c r="S1328" t="s">
        <v>61</v>
      </c>
    </row>
    <row r="1329" spans="1:19" x14ac:dyDescent="0.35">
      <c r="A1329" t="s">
        <v>1458</v>
      </c>
      <c r="B1329" s="5">
        <v>45704</v>
      </c>
      <c r="C1329" t="s">
        <v>125</v>
      </c>
      <c r="D1329" t="s">
        <v>85</v>
      </c>
      <c r="E1329">
        <v>4</v>
      </c>
      <c r="F1329" s="6">
        <v>125</v>
      </c>
      <c r="G1329" s="7">
        <v>5</v>
      </c>
      <c r="H1329" s="6">
        <v>475</v>
      </c>
      <c r="I1329">
        <v>0</v>
      </c>
      <c r="J1329" s="6">
        <v>0</v>
      </c>
      <c r="K1329">
        <v>4</v>
      </c>
      <c r="L1329" s="6">
        <v>475</v>
      </c>
      <c r="M1329" s="6">
        <v>373.57</v>
      </c>
      <c r="N1329" s="6">
        <v>101.43</v>
      </c>
      <c r="O1329" s="6">
        <v>51.01</v>
      </c>
      <c r="P1329" s="6">
        <v>50.42</v>
      </c>
      <c r="Q1329" t="s">
        <v>59</v>
      </c>
      <c r="R1329" t="s">
        <v>66</v>
      </c>
      <c r="S1329" t="s">
        <v>71</v>
      </c>
    </row>
    <row r="1330" spans="1:19" x14ac:dyDescent="0.35">
      <c r="A1330" t="s">
        <v>1459</v>
      </c>
      <c r="B1330" s="5">
        <v>45804</v>
      </c>
      <c r="C1330" t="s">
        <v>114</v>
      </c>
      <c r="D1330" t="s">
        <v>64</v>
      </c>
      <c r="E1330">
        <v>3</v>
      </c>
      <c r="F1330" s="6">
        <v>420</v>
      </c>
      <c r="G1330" s="7">
        <v>10</v>
      </c>
      <c r="H1330" s="6">
        <v>1134</v>
      </c>
      <c r="I1330">
        <v>0</v>
      </c>
      <c r="J1330" s="6">
        <v>0</v>
      </c>
      <c r="K1330">
        <v>3</v>
      </c>
      <c r="L1330" s="6">
        <v>1134</v>
      </c>
      <c r="M1330" s="6">
        <v>761.45</v>
      </c>
      <c r="N1330" s="6">
        <v>372.55</v>
      </c>
      <c r="O1330" s="6">
        <v>137.57</v>
      </c>
      <c r="P1330" s="6">
        <v>234.98</v>
      </c>
      <c r="Q1330" t="s">
        <v>75</v>
      </c>
      <c r="R1330" t="s">
        <v>82</v>
      </c>
    </row>
    <row r="1331" spans="1:19" x14ac:dyDescent="0.35">
      <c r="A1331" t="s">
        <v>1460</v>
      </c>
      <c r="B1331" s="5">
        <v>45768</v>
      </c>
      <c r="C1331" t="s">
        <v>125</v>
      </c>
      <c r="D1331" t="s">
        <v>85</v>
      </c>
      <c r="E1331">
        <v>2</v>
      </c>
      <c r="F1331" s="6">
        <v>125</v>
      </c>
      <c r="G1331" s="7">
        <v>0</v>
      </c>
      <c r="H1331" s="6">
        <v>250</v>
      </c>
      <c r="I1331">
        <v>0</v>
      </c>
      <c r="J1331" s="6">
        <v>0</v>
      </c>
      <c r="K1331">
        <v>2</v>
      </c>
      <c r="L1331" s="6">
        <v>250</v>
      </c>
      <c r="M1331" s="6">
        <v>174.12</v>
      </c>
      <c r="N1331" s="6">
        <v>75.88</v>
      </c>
      <c r="O1331" s="6">
        <v>22.43</v>
      </c>
      <c r="P1331" s="6">
        <v>53.45</v>
      </c>
      <c r="Q1331" t="s">
        <v>65</v>
      </c>
      <c r="R1331" t="s">
        <v>86</v>
      </c>
      <c r="S1331" t="s">
        <v>61</v>
      </c>
    </row>
    <row r="1332" spans="1:19" x14ac:dyDescent="0.35">
      <c r="A1332" t="s">
        <v>1461</v>
      </c>
      <c r="B1332" s="5">
        <v>45902</v>
      </c>
      <c r="C1332" t="s">
        <v>271</v>
      </c>
      <c r="D1332" t="s">
        <v>74</v>
      </c>
      <c r="E1332">
        <v>3</v>
      </c>
      <c r="F1332" s="6">
        <v>280</v>
      </c>
      <c r="G1332" s="7">
        <v>0</v>
      </c>
      <c r="H1332" s="6">
        <v>840</v>
      </c>
      <c r="I1332">
        <v>0</v>
      </c>
      <c r="J1332" s="6">
        <v>0</v>
      </c>
      <c r="K1332">
        <v>3</v>
      </c>
      <c r="L1332" s="6">
        <v>840</v>
      </c>
      <c r="M1332" s="6">
        <v>634.66999999999996</v>
      </c>
      <c r="N1332" s="6">
        <v>205.33</v>
      </c>
      <c r="O1332" s="6">
        <v>45.22</v>
      </c>
      <c r="P1332" s="6">
        <v>160.11000000000001</v>
      </c>
      <c r="Q1332" t="s">
        <v>81</v>
      </c>
      <c r="R1332" t="s">
        <v>82</v>
      </c>
      <c r="S1332" t="s">
        <v>61</v>
      </c>
    </row>
    <row r="1333" spans="1:19" x14ac:dyDescent="0.35">
      <c r="A1333" t="s">
        <v>1462</v>
      </c>
      <c r="B1333" s="5">
        <v>45897</v>
      </c>
      <c r="C1333" t="s">
        <v>90</v>
      </c>
      <c r="D1333" t="s">
        <v>70</v>
      </c>
      <c r="E1333">
        <v>2</v>
      </c>
      <c r="F1333" s="6">
        <v>38</v>
      </c>
      <c r="G1333" s="7">
        <v>2</v>
      </c>
      <c r="H1333" s="6">
        <v>74.48</v>
      </c>
      <c r="I1333">
        <v>0</v>
      </c>
      <c r="J1333" s="6">
        <v>0</v>
      </c>
      <c r="K1333">
        <v>2</v>
      </c>
      <c r="L1333" s="6">
        <v>74.48</v>
      </c>
      <c r="M1333" s="6">
        <v>50.81</v>
      </c>
      <c r="N1333" s="6">
        <v>23.67</v>
      </c>
      <c r="O1333" s="6">
        <v>6.19</v>
      </c>
      <c r="P1333" s="6">
        <v>17.48</v>
      </c>
      <c r="Q1333" t="s">
        <v>75</v>
      </c>
      <c r="R1333" t="s">
        <v>60</v>
      </c>
      <c r="S1333" t="s">
        <v>61</v>
      </c>
    </row>
    <row r="1334" spans="1:19" x14ac:dyDescent="0.35">
      <c r="A1334" t="s">
        <v>1463</v>
      </c>
      <c r="B1334" s="5">
        <v>45953</v>
      </c>
      <c r="C1334" t="s">
        <v>107</v>
      </c>
      <c r="D1334" t="s">
        <v>74</v>
      </c>
      <c r="E1334">
        <v>1</v>
      </c>
      <c r="F1334" s="6">
        <v>125</v>
      </c>
      <c r="G1334" s="7">
        <v>0</v>
      </c>
      <c r="H1334" s="6">
        <v>125</v>
      </c>
      <c r="I1334">
        <v>0</v>
      </c>
      <c r="J1334" s="6">
        <v>0</v>
      </c>
      <c r="K1334">
        <v>1</v>
      </c>
      <c r="L1334" s="6">
        <v>125</v>
      </c>
      <c r="M1334" s="6">
        <v>100.65</v>
      </c>
      <c r="N1334" s="6">
        <v>24.35</v>
      </c>
      <c r="O1334" s="6">
        <v>12.39</v>
      </c>
      <c r="P1334" s="6">
        <v>11.96</v>
      </c>
      <c r="Q1334" t="s">
        <v>59</v>
      </c>
      <c r="R1334" t="s">
        <v>82</v>
      </c>
      <c r="S1334" t="s">
        <v>67</v>
      </c>
    </row>
    <row r="1335" spans="1:19" x14ac:dyDescent="0.35">
      <c r="A1335" t="s">
        <v>1464</v>
      </c>
      <c r="B1335" s="5">
        <v>45719</v>
      </c>
      <c r="C1335" t="s">
        <v>97</v>
      </c>
      <c r="D1335" t="s">
        <v>57</v>
      </c>
      <c r="E1335">
        <v>8</v>
      </c>
      <c r="F1335" s="6">
        <v>55</v>
      </c>
      <c r="G1335" s="7">
        <v>0</v>
      </c>
      <c r="H1335" s="6">
        <v>440</v>
      </c>
      <c r="I1335">
        <v>0</v>
      </c>
      <c r="J1335" s="6">
        <v>0</v>
      </c>
      <c r="K1335">
        <v>8</v>
      </c>
      <c r="L1335" s="6">
        <v>440</v>
      </c>
      <c r="M1335" s="6">
        <v>350.06</v>
      </c>
      <c r="N1335" s="6">
        <v>89.94</v>
      </c>
      <c r="O1335" s="6">
        <v>32.479999999999997</v>
      </c>
      <c r="P1335" s="6">
        <v>57.46</v>
      </c>
      <c r="Q1335" t="s">
        <v>65</v>
      </c>
      <c r="R1335" t="s">
        <v>66</v>
      </c>
      <c r="S1335" t="s">
        <v>67</v>
      </c>
    </row>
    <row r="1336" spans="1:19" x14ac:dyDescent="0.35">
      <c r="A1336" t="s">
        <v>1465</v>
      </c>
      <c r="B1336" s="5">
        <v>45961</v>
      </c>
      <c r="C1336" t="s">
        <v>78</v>
      </c>
      <c r="D1336" t="s">
        <v>79</v>
      </c>
      <c r="E1336">
        <v>2</v>
      </c>
      <c r="F1336" s="6">
        <v>120</v>
      </c>
      <c r="G1336" s="7">
        <v>15</v>
      </c>
      <c r="H1336" s="6">
        <v>204</v>
      </c>
      <c r="I1336">
        <v>0</v>
      </c>
      <c r="J1336" s="6">
        <v>0</v>
      </c>
      <c r="K1336">
        <v>2</v>
      </c>
      <c r="L1336" s="6">
        <v>204</v>
      </c>
      <c r="M1336" s="6">
        <v>128.37</v>
      </c>
      <c r="N1336" s="6">
        <v>75.63</v>
      </c>
      <c r="O1336" s="6">
        <v>13.87</v>
      </c>
      <c r="P1336" s="6">
        <v>61.76</v>
      </c>
      <c r="Q1336" t="s">
        <v>59</v>
      </c>
      <c r="R1336" t="s">
        <v>366</v>
      </c>
      <c r="S1336" t="s">
        <v>67</v>
      </c>
    </row>
    <row r="1337" spans="1:19" x14ac:dyDescent="0.35">
      <c r="A1337" t="s">
        <v>1466</v>
      </c>
      <c r="B1337" s="5">
        <v>45914</v>
      </c>
      <c r="C1337" t="s">
        <v>69</v>
      </c>
      <c r="D1337" t="s">
        <v>683</v>
      </c>
      <c r="E1337">
        <v>1</v>
      </c>
      <c r="F1337" s="6">
        <v>210</v>
      </c>
      <c r="G1337" s="7">
        <v>5</v>
      </c>
      <c r="H1337" s="6">
        <v>199.5</v>
      </c>
      <c r="I1337">
        <v>0</v>
      </c>
      <c r="J1337" s="6">
        <v>0</v>
      </c>
      <c r="K1337">
        <v>1</v>
      </c>
      <c r="L1337" s="6">
        <v>199.5</v>
      </c>
      <c r="M1337" s="6">
        <v>130.07</v>
      </c>
      <c r="N1337" s="6">
        <v>69.430000000000007</v>
      </c>
      <c r="O1337" s="6">
        <v>10.33</v>
      </c>
      <c r="P1337" s="6">
        <v>59.1</v>
      </c>
      <c r="Q1337" t="s">
        <v>75</v>
      </c>
      <c r="R1337" t="s">
        <v>60</v>
      </c>
      <c r="S1337" t="s">
        <v>71</v>
      </c>
    </row>
    <row r="1338" spans="1:19" x14ac:dyDescent="0.35">
      <c r="A1338" t="s">
        <v>1467</v>
      </c>
      <c r="B1338" s="5">
        <v>46004</v>
      </c>
      <c r="C1338" t="s">
        <v>117</v>
      </c>
      <c r="D1338" t="s">
        <v>74</v>
      </c>
      <c r="E1338">
        <v>2</v>
      </c>
      <c r="F1338" s="6">
        <v>95</v>
      </c>
      <c r="G1338" s="7">
        <v>5</v>
      </c>
      <c r="H1338" s="6">
        <v>180.5</v>
      </c>
      <c r="I1338">
        <v>0</v>
      </c>
      <c r="J1338" s="6">
        <v>0</v>
      </c>
      <c r="K1338">
        <v>2</v>
      </c>
      <c r="L1338" s="6">
        <v>180.5</v>
      </c>
      <c r="M1338" s="6">
        <v>126.05</v>
      </c>
      <c r="N1338" s="6">
        <v>54.45</v>
      </c>
      <c r="O1338" s="6">
        <v>10.38</v>
      </c>
      <c r="P1338" s="6">
        <v>44.07</v>
      </c>
      <c r="Q1338" t="s">
        <v>75</v>
      </c>
      <c r="R1338" t="s">
        <v>82</v>
      </c>
      <c r="S1338" t="s">
        <v>71</v>
      </c>
    </row>
    <row r="1339" spans="1:19" x14ac:dyDescent="0.35">
      <c r="A1339" t="s">
        <v>1468</v>
      </c>
      <c r="B1339" s="5">
        <v>45945</v>
      </c>
      <c r="C1339" t="s">
        <v>78</v>
      </c>
      <c r="D1339" t="s">
        <v>79</v>
      </c>
      <c r="E1339">
        <v>6</v>
      </c>
      <c r="F1339" s="6">
        <v>120</v>
      </c>
      <c r="G1339" s="7">
        <v>0</v>
      </c>
      <c r="H1339" s="6">
        <v>720</v>
      </c>
      <c r="I1339">
        <v>0</v>
      </c>
      <c r="J1339" s="6">
        <v>0</v>
      </c>
      <c r="K1339">
        <v>6</v>
      </c>
      <c r="L1339" s="6">
        <v>720</v>
      </c>
      <c r="M1339" s="6">
        <v>507.42</v>
      </c>
      <c r="N1339" s="6">
        <v>212.58</v>
      </c>
      <c r="O1339" s="6">
        <v>69.319999999999993</v>
      </c>
      <c r="P1339" s="6">
        <v>143.26</v>
      </c>
      <c r="Q1339" t="s">
        <v>81</v>
      </c>
      <c r="R1339" t="s">
        <v>82</v>
      </c>
      <c r="S1339" t="s">
        <v>71</v>
      </c>
    </row>
    <row r="1340" spans="1:19" x14ac:dyDescent="0.35">
      <c r="A1340" t="s">
        <v>1469</v>
      </c>
      <c r="B1340" s="5">
        <v>45697</v>
      </c>
      <c r="C1340" t="s">
        <v>114</v>
      </c>
      <c r="D1340" t="s">
        <v>64</v>
      </c>
      <c r="E1340">
        <v>1</v>
      </c>
      <c r="F1340" s="6">
        <v>420</v>
      </c>
      <c r="G1340" s="7">
        <v>15</v>
      </c>
      <c r="H1340" s="6">
        <v>357</v>
      </c>
      <c r="I1340">
        <v>0</v>
      </c>
      <c r="J1340" s="6">
        <v>0</v>
      </c>
      <c r="K1340">
        <v>1</v>
      </c>
      <c r="L1340" s="6">
        <v>357</v>
      </c>
      <c r="M1340" s="6">
        <v>244.29</v>
      </c>
      <c r="N1340" s="6">
        <v>112.71</v>
      </c>
      <c r="O1340" s="6">
        <v>22.58</v>
      </c>
      <c r="P1340" s="6">
        <v>90.13</v>
      </c>
      <c r="Q1340" t="s">
        <v>75</v>
      </c>
      <c r="R1340" t="s">
        <v>60</v>
      </c>
      <c r="S1340" t="s">
        <v>67</v>
      </c>
    </row>
    <row r="1341" spans="1:19" x14ac:dyDescent="0.35">
      <c r="A1341" t="s">
        <v>1470</v>
      </c>
      <c r="B1341" s="5">
        <v>45926</v>
      </c>
      <c r="C1341" t="s">
        <v>63</v>
      </c>
      <c r="D1341" t="s">
        <v>64</v>
      </c>
      <c r="E1341">
        <v>3</v>
      </c>
      <c r="F1341" s="6">
        <v>145</v>
      </c>
      <c r="G1341" s="7">
        <v>0</v>
      </c>
      <c r="H1341" s="6">
        <v>435</v>
      </c>
      <c r="I1341">
        <v>0</v>
      </c>
      <c r="J1341" s="6">
        <v>0</v>
      </c>
      <c r="K1341">
        <v>3</v>
      </c>
      <c r="L1341" s="6">
        <v>435</v>
      </c>
      <c r="M1341" s="6">
        <v>332.74</v>
      </c>
      <c r="N1341" s="6">
        <v>102.26</v>
      </c>
      <c r="O1341" s="6">
        <v>49.54</v>
      </c>
      <c r="P1341" s="6">
        <v>52.72</v>
      </c>
      <c r="Q1341" t="s">
        <v>65</v>
      </c>
      <c r="R1341" t="s">
        <v>86</v>
      </c>
      <c r="S1341" t="s">
        <v>76</v>
      </c>
    </row>
    <row r="1342" spans="1:19" x14ac:dyDescent="0.35">
      <c r="A1342" t="s">
        <v>1471</v>
      </c>
      <c r="B1342" s="5">
        <v>45921</v>
      </c>
      <c r="C1342" t="s">
        <v>104</v>
      </c>
      <c r="D1342" t="s">
        <v>105</v>
      </c>
      <c r="E1342">
        <v>2</v>
      </c>
      <c r="F1342" s="6">
        <v>65</v>
      </c>
      <c r="G1342" s="7">
        <v>0</v>
      </c>
      <c r="H1342" s="6">
        <v>130</v>
      </c>
      <c r="I1342">
        <v>0</v>
      </c>
      <c r="J1342" s="6">
        <v>0</v>
      </c>
      <c r="K1342">
        <v>2</v>
      </c>
      <c r="L1342" s="6">
        <v>130</v>
      </c>
      <c r="M1342" s="6">
        <v>85.76</v>
      </c>
      <c r="N1342" s="6">
        <v>44.24</v>
      </c>
      <c r="O1342" s="6">
        <v>8.8800000000000008</v>
      </c>
      <c r="P1342" s="6">
        <v>35.36</v>
      </c>
      <c r="Q1342" t="s">
        <v>65</v>
      </c>
      <c r="R1342" t="s">
        <v>66</v>
      </c>
      <c r="S1342" t="s">
        <v>61</v>
      </c>
    </row>
    <row r="1343" spans="1:19" x14ac:dyDescent="0.35">
      <c r="A1343" t="s">
        <v>1472</v>
      </c>
      <c r="B1343" s="5">
        <v>45699</v>
      </c>
      <c r="C1343" t="s">
        <v>92</v>
      </c>
      <c r="D1343" t="s">
        <v>79</v>
      </c>
      <c r="E1343">
        <v>1</v>
      </c>
      <c r="F1343" s="6">
        <v>85</v>
      </c>
      <c r="G1343" s="7">
        <v>5</v>
      </c>
      <c r="H1343" s="6">
        <v>80.75</v>
      </c>
      <c r="I1343">
        <v>0</v>
      </c>
      <c r="J1343" s="6">
        <v>0</v>
      </c>
      <c r="K1343">
        <v>1</v>
      </c>
      <c r="L1343" s="6">
        <v>80.75</v>
      </c>
      <c r="M1343" s="6">
        <v>53.45</v>
      </c>
      <c r="N1343" s="6">
        <v>27.3</v>
      </c>
      <c r="O1343" s="6">
        <v>5.73</v>
      </c>
      <c r="P1343" s="6">
        <v>21.57</v>
      </c>
      <c r="Q1343" t="s">
        <v>65</v>
      </c>
      <c r="R1343" t="s">
        <v>82</v>
      </c>
      <c r="S1343" t="s">
        <v>71</v>
      </c>
    </row>
    <row r="1344" spans="1:19" x14ac:dyDescent="0.35">
      <c r="A1344" t="s">
        <v>1473</v>
      </c>
      <c r="B1344" s="5">
        <v>45710</v>
      </c>
      <c r="C1344" t="s">
        <v>104</v>
      </c>
      <c r="D1344" t="s">
        <v>105</v>
      </c>
      <c r="E1344">
        <v>4</v>
      </c>
      <c r="F1344" s="6">
        <v>65</v>
      </c>
      <c r="G1344" s="7">
        <v>0</v>
      </c>
      <c r="H1344" s="6">
        <v>260</v>
      </c>
      <c r="I1344">
        <v>0</v>
      </c>
      <c r="J1344" s="6">
        <v>0</v>
      </c>
      <c r="K1344">
        <v>4</v>
      </c>
      <c r="L1344" s="6">
        <v>260</v>
      </c>
      <c r="M1344" s="6">
        <v>201.54</v>
      </c>
      <c r="N1344" s="6">
        <v>58.46</v>
      </c>
      <c r="O1344" s="6">
        <v>28.61</v>
      </c>
      <c r="P1344" s="6">
        <v>29.85</v>
      </c>
      <c r="Q1344" t="s">
        <v>75</v>
      </c>
      <c r="R1344" t="s">
        <v>66</v>
      </c>
      <c r="S1344" t="s">
        <v>71</v>
      </c>
    </row>
    <row r="1345" spans="1:19" x14ac:dyDescent="0.35">
      <c r="A1345" t="s">
        <v>1474</v>
      </c>
      <c r="B1345" s="5">
        <v>45738</v>
      </c>
      <c r="C1345" t="s">
        <v>88</v>
      </c>
      <c r="D1345" t="s">
        <v>57</v>
      </c>
      <c r="E1345">
        <v>8</v>
      </c>
      <c r="F1345" s="6">
        <v>30</v>
      </c>
      <c r="G1345" s="7">
        <v>15</v>
      </c>
      <c r="H1345" s="6">
        <v>204</v>
      </c>
      <c r="I1345">
        <v>0</v>
      </c>
      <c r="J1345" s="6">
        <v>0</v>
      </c>
      <c r="K1345">
        <v>8</v>
      </c>
      <c r="L1345" s="6">
        <v>204</v>
      </c>
      <c r="M1345" s="6">
        <v>162.69999999999999</v>
      </c>
      <c r="N1345" s="6">
        <v>41.3</v>
      </c>
      <c r="O1345" s="6">
        <v>14.45</v>
      </c>
      <c r="P1345" s="6">
        <v>26.85</v>
      </c>
      <c r="Q1345" t="s">
        <v>75</v>
      </c>
      <c r="R1345" t="s">
        <v>66</v>
      </c>
      <c r="S1345" t="s">
        <v>67</v>
      </c>
    </row>
    <row r="1346" spans="1:19" x14ac:dyDescent="0.35">
      <c r="A1346" t="s">
        <v>1475</v>
      </c>
      <c r="B1346" s="5">
        <v>45861</v>
      </c>
      <c r="C1346" t="s">
        <v>109</v>
      </c>
      <c r="D1346" t="s">
        <v>85</v>
      </c>
      <c r="E1346">
        <v>3</v>
      </c>
      <c r="F1346" s="6">
        <v>180</v>
      </c>
      <c r="G1346" s="7">
        <v>2</v>
      </c>
      <c r="H1346" s="6">
        <v>529.20000000000005</v>
      </c>
      <c r="I1346">
        <v>0</v>
      </c>
      <c r="J1346" s="6">
        <v>0</v>
      </c>
      <c r="K1346">
        <v>3</v>
      </c>
      <c r="L1346" s="6">
        <v>529.20000000000005</v>
      </c>
      <c r="M1346" s="6">
        <v>388.11</v>
      </c>
      <c r="N1346" s="6">
        <v>141.09</v>
      </c>
      <c r="O1346" s="6">
        <v>44.82</v>
      </c>
      <c r="P1346" s="6">
        <v>96.27</v>
      </c>
      <c r="Q1346" t="s">
        <v>59</v>
      </c>
      <c r="R1346" t="s">
        <v>82</v>
      </c>
      <c r="S1346" t="s">
        <v>61</v>
      </c>
    </row>
    <row r="1347" spans="1:19" x14ac:dyDescent="0.35">
      <c r="A1347" t="s">
        <v>1476</v>
      </c>
      <c r="B1347" s="5">
        <v>45721</v>
      </c>
      <c r="C1347" t="s">
        <v>109</v>
      </c>
      <c r="D1347" t="s">
        <v>85</v>
      </c>
      <c r="E1347">
        <v>4</v>
      </c>
      <c r="F1347" s="6">
        <v>180</v>
      </c>
      <c r="G1347" s="7">
        <v>5</v>
      </c>
      <c r="H1347" s="6">
        <v>684</v>
      </c>
      <c r="I1347">
        <v>0</v>
      </c>
      <c r="J1347" s="6">
        <v>0</v>
      </c>
      <c r="K1347">
        <v>4</v>
      </c>
      <c r="L1347" s="6">
        <v>684</v>
      </c>
      <c r="M1347" s="6">
        <v>451.03</v>
      </c>
      <c r="N1347" s="6">
        <v>232.97</v>
      </c>
      <c r="O1347" s="6">
        <v>61.22</v>
      </c>
      <c r="P1347" s="6">
        <v>171.75</v>
      </c>
      <c r="Q1347" t="s">
        <v>75</v>
      </c>
      <c r="R1347" t="s">
        <v>60</v>
      </c>
      <c r="S1347" t="s">
        <v>67</v>
      </c>
    </row>
    <row r="1348" spans="1:19" x14ac:dyDescent="0.35">
      <c r="A1348" t="s">
        <v>1477</v>
      </c>
      <c r="B1348" s="5">
        <v>45814</v>
      </c>
      <c r="C1348" t="s">
        <v>264</v>
      </c>
      <c r="D1348" t="s">
        <v>85</v>
      </c>
      <c r="E1348">
        <v>2</v>
      </c>
      <c r="F1348" s="6">
        <v>20</v>
      </c>
      <c r="G1348" s="7">
        <v>2</v>
      </c>
      <c r="H1348" s="6">
        <v>39.200000000000003</v>
      </c>
      <c r="I1348">
        <v>0</v>
      </c>
      <c r="J1348" s="6">
        <v>0</v>
      </c>
      <c r="K1348">
        <v>2</v>
      </c>
      <c r="L1348" s="6">
        <v>39.200000000000003</v>
      </c>
      <c r="M1348" s="6">
        <v>30.26</v>
      </c>
      <c r="N1348" s="6">
        <v>8.94</v>
      </c>
      <c r="O1348" s="6">
        <v>4.7699999999999996</v>
      </c>
      <c r="P1348" s="6">
        <v>4.17</v>
      </c>
      <c r="Q1348" t="s">
        <v>59</v>
      </c>
      <c r="R1348" t="s">
        <v>66</v>
      </c>
      <c r="S1348" t="s">
        <v>67</v>
      </c>
    </row>
    <row r="1349" spans="1:19" x14ac:dyDescent="0.35">
      <c r="A1349" t="s">
        <v>1478</v>
      </c>
      <c r="B1349" s="5">
        <v>45973</v>
      </c>
      <c r="C1349" t="s">
        <v>125</v>
      </c>
      <c r="D1349" t="s">
        <v>85</v>
      </c>
      <c r="E1349">
        <v>4</v>
      </c>
      <c r="F1349" s="6">
        <v>125</v>
      </c>
      <c r="G1349" s="7">
        <v>2</v>
      </c>
      <c r="H1349" s="6">
        <v>490</v>
      </c>
      <c r="I1349">
        <v>0</v>
      </c>
      <c r="J1349" s="6">
        <v>0</v>
      </c>
      <c r="K1349">
        <v>4</v>
      </c>
      <c r="L1349" s="6">
        <v>490</v>
      </c>
      <c r="M1349" s="6">
        <v>326.87</v>
      </c>
      <c r="N1349" s="6">
        <v>163.13</v>
      </c>
      <c r="O1349" s="6">
        <v>34.4</v>
      </c>
      <c r="P1349" s="6">
        <v>128.72999999999999</v>
      </c>
      <c r="Q1349" t="s">
        <v>81</v>
      </c>
      <c r="R1349" t="s">
        <v>66</v>
      </c>
      <c r="S1349" t="s">
        <v>67</v>
      </c>
    </row>
    <row r="1350" spans="1:19" x14ac:dyDescent="0.35">
      <c r="A1350" t="s">
        <v>1479</v>
      </c>
      <c r="B1350" s="5">
        <v>45900</v>
      </c>
      <c r="C1350" t="s">
        <v>109</v>
      </c>
      <c r="D1350" t="s">
        <v>85</v>
      </c>
      <c r="E1350">
        <v>3</v>
      </c>
      <c r="F1350" s="6">
        <v>180</v>
      </c>
      <c r="G1350" s="7">
        <v>10</v>
      </c>
      <c r="H1350" s="6">
        <v>486</v>
      </c>
      <c r="I1350">
        <v>0</v>
      </c>
      <c r="J1350" s="6">
        <v>0</v>
      </c>
      <c r="K1350">
        <v>3</v>
      </c>
      <c r="L1350" s="6">
        <v>486</v>
      </c>
      <c r="M1350" s="6">
        <v>370.74</v>
      </c>
      <c r="N1350" s="6">
        <v>115.26</v>
      </c>
      <c r="O1350" s="6">
        <v>26.78</v>
      </c>
      <c r="P1350" s="6">
        <v>88.48</v>
      </c>
      <c r="Q1350" t="s">
        <v>65</v>
      </c>
      <c r="R1350" t="s">
        <v>86</v>
      </c>
      <c r="S1350" t="s">
        <v>71</v>
      </c>
    </row>
    <row r="1351" spans="1:19" x14ac:dyDescent="0.35">
      <c r="A1351" t="s">
        <v>1480</v>
      </c>
      <c r="B1351" s="5">
        <v>45860</v>
      </c>
      <c r="C1351" t="s">
        <v>95</v>
      </c>
      <c r="D1351" t="s">
        <v>64</v>
      </c>
      <c r="E1351">
        <v>3</v>
      </c>
      <c r="F1351" s="6">
        <v>52</v>
      </c>
      <c r="G1351" s="7">
        <v>2</v>
      </c>
      <c r="H1351" s="6">
        <v>152.88</v>
      </c>
      <c r="I1351">
        <v>0</v>
      </c>
      <c r="J1351" s="6">
        <v>0</v>
      </c>
      <c r="K1351">
        <v>3</v>
      </c>
      <c r="L1351" s="6">
        <v>152.88</v>
      </c>
      <c r="M1351" s="6">
        <v>122.58</v>
      </c>
      <c r="N1351" s="6">
        <v>30.3</v>
      </c>
      <c r="O1351" s="6">
        <v>17.829999999999998</v>
      </c>
      <c r="P1351" s="6">
        <v>12.47</v>
      </c>
      <c r="Q1351" t="s">
        <v>65</v>
      </c>
      <c r="R1351" t="s">
        <v>60</v>
      </c>
      <c r="S1351" t="s">
        <v>76</v>
      </c>
    </row>
    <row r="1352" spans="1:19" x14ac:dyDescent="0.35">
      <c r="A1352" t="s">
        <v>1481</v>
      </c>
      <c r="B1352" s="5">
        <v>45677</v>
      </c>
      <c r="C1352" t="s">
        <v>90</v>
      </c>
      <c r="D1352" t="s">
        <v>70</v>
      </c>
      <c r="E1352">
        <v>4</v>
      </c>
      <c r="F1352" s="6">
        <v>38</v>
      </c>
      <c r="G1352" s="7">
        <v>5</v>
      </c>
      <c r="H1352" s="6">
        <v>144.4</v>
      </c>
      <c r="I1352">
        <v>0</v>
      </c>
      <c r="J1352" s="6">
        <v>0</v>
      </c>
      <c r="K1352">
        <v>4</v>
      </c>
      <c r="L1352" s="6">
        <v>144.4</v>
      </c>
      <c r="M1352" s="6">
        <v>112.63</v>
      </c>
      <c r="N1352" s="6">
        <v>31.77</v>
      </c>
      <c r="O1352" s="6">
        <v>11.93</v>
      </c>
      <c r="P1352" s="6">
        <v>19.84</v>
      </c>
      <c r="Q1352" t="s">
        <v>81</v>
      </c>
      <c r="R1352" t="s">
        <v>66</v>
      </c>
      <c r="S1352" t="s">
        <v>61</v>
      </c>
    </row>
    <row r="1353" spans="1:19" x14ac:dyDescent="0.35">
      <c r="A1353" t="s">
        <v>1482</v>
      </c>
      <c r="B1353" s="5">
        <v>45784</v>
      </c>
      <c r="C1353" t="s">
        <v>109</v>
      </c>
      <c r="D1353" t="s">
        <v>85</v>
      </c>
      <c r="E1353">
        <v>3</v>
      </c>
      <c r="F1353" s="6">
        <v>180</v>
      </c>
      <c r="G1353" s="7">
        <v>0</v>
      </c>
      <c r="H1353" s="6">
        <v>540</v>
      </c>
      <c r="I1353">
        <v>0</v>
      </c>
      <c r="J1353" s="6">
        <v>0</v>
      </c>
      <c r="K1353">
        <v>3</v>
      </c>
      <c r="L1353" s="6">
        <v>540</v>
      </c>
      <c r="M1353" s="6">
        <v>358.68</v>
      </c>
      <c r="N1353" s="6">
        <v>181.32</v>
      </c>
      <c r="O1353" s="6">
        <v>68.87</v>
      </c>
      <c r="P1353" s="6">
        <v>112.45</v>
      </c>
      <c r="Q1353" t="s">
        <v>75</v>
      </c>
      <c r="R1353" t="s">
        <v>60</v>
      </c>
      <c r="S1353" t="s">
        <v>76</v>
      </c>
    </row>
    <row r="1354" spans="1:19" x14ac:dyDescent="0.35">
      <c r="A1354" t="s">
        <v>1483</v>
      </c>
      <c r="B1354" s="5">
        <v>45870</v>
      </c>
      <c r="C1354" t="s">
        <v>125</v>
      </c>
      <c r="D1354" t="s">
        <v>85</v>
      </c>
      <c r="E1354">
        <v>2</v>
      </c>
      <c r="F1354" s="6">
        <v>125</v>
      </c>
      <c r="G1354" s="7">
        <v>0</v>
      </c>
      <c r="H1354" s="6">
        <v>250</v>
      </c>
      <c r="I1354">
        <v>0</v>
      </c>
      <c r="J1354" s="6">
        <v>0</v>
      </c>
      <c r="K1354">
        <v>2</v>
      </c>
      <c r="L1354" s="6">
        <v>250</v>
      </c>
      <c r="M1354" s="6">
        <v>212.98</v>
      </c>
      <c r="N1354" s="6">
        <v>37.020000000000003</v>
      </c>
      <c r="O1354" s="6">
        <v>30.3</v>
      </c>
      <c r="P1354" s="6">
        <v>6.72</v>
      </c>
      <c r="Q1354" t="s">
        <v>59</v>
      </c>
      <c r="R1354" t="s">
        <v>86</v>
      </c>
      <c r="S1354" t="s">
        <v>61</v>
      </c>
    </row>
    <row r="1355" spans="1:19" x14ac:dyDescent="0.35">
      <c r="A1355" t="s">
        <v>1484</v>
      </c>
      <c r="B1355" s="5">
        <v>45737</v>
      </c>
      <c r="C1355" t="s">
        <v>100</v>
      </c>
      <c r="D1355" t="s">
        <v>64</v>
      </c>
      <c r="E1355">
        <v>2</v>
      </c>
      <c r="F1355" s="6">
        <v>310</v>
      </c>
      <c r="G1355" s="7">
        <v>5</v>
      </c>
      <c r="H1355" s="6">
        <v>589</v>
      </c>
      <c r="I1355">
        <v>0</v>
      </c>
      <c r="J1355" s="6">
        <v>0</v>
      </c>
      <c r="K1355">
        <v>2</v>
      </c>
      <c r="L1355" s="6">
        <v>589</v>
      </c>
      <c r="M1355" s="6">
        <v>439.07</v>
      </c>
      <c r="N1355" s="6">
        <v>149.93</v>
      </c>
      <c r="O1355" s="6">
        <v>34.03</v>
      </c>
      <c r="P1355" s="6">
        <v>115.9</v>
      </c>
      <c r="Q1355" t="s">
        <v>59</v>
      </c>
      <c r="R1355" t="s">
        <v>60</v>
      </c>
      <c r="S1355" t="s">
        <v>71</v>
      </c>
    </row>
    <row r="1356" spans="1:19" x14ac:dyDescent="0.35">
      <c r="A1356" t="s">
        <v>1485</v>
      </c>
      <c r="B1356" s="5">
        <v>45889</v>
      </c>
      <c r="C1356" t="s">
        <v>78</v>
      </c>
      <c r="D1356" t="s">
        <v>79</v>
      </c>
      <c r="E1356">
        <v>8</v>
      </c>
      <c r="F1356" s="6">
        <v>120</v>
      </c>
      <c r="G1356" s="7">
        <v>0</v>
      </c>
      <c r="H1356" s="6">
        <v>960</v>
      </c>
      <c r="I1356">
        <v>0</v>
      </c>
      <c r="J1356" s="6">
        <v>0</v>
      </c>
      <c r="K1356">
        <v>8</v>
      </c>
      <c r="L1356" s="6">
        <v>960</v>
      </c>
      <c r="M1356" s="6">
        <v>710.62</v>
      </c>
      <c r="N1356" s="6">
        <v>249.38</v>
      </c>
      <c r="O1356" s="6">
        <v>96.07</v>
      </c>
      <c r="P1356" s="6">
        <v>153.31</v>
      </c>
      <c r="Q1356" t="s">
        <v>75</v>
      </c>
      <c r="R1356" t="s">
        <v>86</v>
      </c>
      <c r="S1356" t="s">
        <v>67</v>
      </c>
    </row>
    <row r="1357" spans="1:19" x14ac:dyDescent="0.35">
      <c r="A1357" t="s">
        <v>1486</v>
      </c>
      <c r="B1357" s="5">
        <v>45969</v>
      </c>
      <c r="C1357" t="s">
        <v>264</v>
      </c>
      <c r="D1357" t="s">
        <v>85</v>
      </c>
      <c r="E1357">
        <v>1</v>
      </c>
      <c r="F1357" s="6">
        <v>20</v>
      </c>
      <c r="G1357" s="7">
        <v>5</v>
      </c>
      <c r="H1357" s="6">
        <v>19</v>
      </c>
      <c r="I1357">
        <v>0</v>
      </c>
      <c r="J1357" s="6">
        <v>0</v>
      </c>
      <c r="K1357">
        <v>1</v>
      </c>
      <c r="L1357" s="6">
        <v>19</v>
      </c>
      <c r="M1357" s="6">
        <v>14.11</v>
      </c>
      <c r="N1357" s="6">
        <v>4.8899999999999997</v>
      </c>
      <c r="O1357" s="6">
        <v>1.58</v>
      </c>
      <c r="P1357" s="6">
        <v>3.31</v>
      </c>
      <c r="Q1357" t="s">
        <v>75</v>
      </c>
      <c r="R1357" t="s">
        <v>86</v>
      </c>
      <c r="S1357" t="s">
        <v>67</v>
      </c>
    </row>
    <row r="1358" spans="1:19" x14ac:dyDescent="0.35">
      <c r="A1358" t="s">
        <v>1487</v>
      </c>
      <c r="B1358" s="5">
        <v>45713</v>
      </c>
      <c r="C1358" t="s">
        <v>107</v>
      </c>
      <c r="D1358" t="s">
        <v>74</v>
      </c>
      <c r="E1358">
        <v>2</v>
      </c>
      <c r="F1358" s="6">
        <v>125</v>
      </c>
      <c r="G1358" s="7">
        <v>5</v>
      </c>
      <c r="H1358" s="6">
        <v>237.5</v>
      </c>
      <c r="I1358">
        <v>0</v>
      </c>
      <c r="J1358" s="6">
        <v>0</v>
      </c>
      <c r="K1358">
        <v>2</v>
      </c>
      <c r="L1358" s="6">
        <v>237.5</v>
      </c>
      <c r="M1358" s="6">
        <v>158.44</v>
      </c>
      <c r="N1358" s="6">
        <v>79.06</v>
      </c>
      <c r="O1358" s="6">
        <v>24.14</v>
      </c>
      <c r="P1358" s="6">
        <v>54.92</v>
      </c>
      <c r="Q1358" t="s">
        <v>65</v>
      </c>
      <c r="R1358" t="s">
        <v>82</v>
      </c>
      <c r="S1358" t="s">
        <v>71</v>
      </c>
    </row>
    <row r="1359" spans="1:19" x14ac:dyDescent="0.35">
      <c r="A1359" t="s">
        <v>1488</v>
      </c>
      <c r="B1359" s="5">
        <v>45740</v>
      </c>
      <c r="C1359" t="s">
        <v>78</v>
      </c>
      <c r="D1359" t="s">
        <v>308</v>
      </c>
      <c r="E1359">
        <v>4</v>
      </c>
      <c r="F1359" s="6">
        <v>120</v>
      </c>
      <c r="G1359" s="7">
        <v>2</v>
      </c>
      <c r="H1359" s="6">
        <v>470.4</v>
      </c>
      <c r="I1359">
        <v>0</v>
      </c>
      <c r="J1359" s="6">
        <v>0</v>
      </c>
      <c r="K1359">
        <v>4</v>
      </c>
      <c r="L1359" s="6">
        <v>470.4</v>
      </c>
      <c r="M1359" s="6">
        <v>323.36</v>
      </c>
      <c r="N1359" s="6">
        <v>147.04</v>
      </c>
      <c r="O1359" s="6">
        <v>34.96</v>
      </c>
      <c r="P1359" s="6">
        <v>112.08</v>
      </c>
      <c r="Q1359" t="s">
        <v>75</v>
      </c>
      <c r="R1359" t="s">
        <v>86</v>
      </c>
      <c r="S1359" t="s">
        <v>76</v>
      </c>
    </row>
    <row r="1360" spans="1:19" x14ac:dyDescent="0.35">
      <c r="A1360" t="s">
        <v>1489</v>
      </c>
      <c r="B1360" s="5">
        <v>45805</v>
      </c>
      <c r="C1360" t="s">
        <v>109</v>
      </c>
      <c r="D1360" t="s">
        <v>110</v>
      </c>
      <c r="E1360">
        <v>8</v>
      </c>
      <c r="F1360" s="6">
        <v>180</v>
      </c>
      <c r="G1360" s="7">
        <v>0</v>
      </c>
      <c r="H1360" s="6">
        <v>1440</v>
      </c>
      <c r="I1360">
        <v>0</v>
      </c>
      <c r="J1360" s="6">
        <v>0</v>
      </c>
      <c r="K1360">
        <v>8</v>
      </c>
      <c r="L1360" s="6">
        <v>1440</v>
      </c>
      <c r="M1360" s="6">
        <v>1043.43</v>
      </c>
      <c r="N1360" s="6">
        <v>396.57</v>
      </c>
      <c r="O1360" s="6">
        <v>118.67</v>
      </c>
      <c r="P1360" s="6">
        <v>277.89999999999998</v>
      </c>
      <c r="Q1360" t="s">
        <v>65</v>
      </c>
      <c r="R1360" t="s">
        <v>60</v>
      </c>
      <c r="S1360" t="s">
        <v>61</v>
      </c>
    </row>
    <row r="1361" spans="1:19" x14ac:dyDescent="0.35">
      <c r="A1361" t="s">
        <v>1490</v>
      </c>
      <c r="B1361" s="5">
        <v>45815</v>
      </c>
      <c r="C1361" t="s">
        <v>92</v>
      </c>
      <c r="D1361" t="s">
        <v>79</v>
      </c>
      <c r="E1361">
        <v>1</v>
      </c>
      <c r="F1361" s="6">
        <v>85</v>
      </c>
      <c r="G1361" s="7">
        <v>0</v>
      </c>
      <c r="H1361" s="6">
        <v>85</v>
      </c>
      <c r="I1361">
        <v>0</v>
      </c>
      <c r="J1361" s="6">
        <v>0</v>
      </c>
      <c r="K1361">
        <v>1</v>
      </c>
      <c r="L1361" s="6">
        <v>85</v>
      </c>
      <c r="M1361" s="6">
        <v>69.41</v>
      </c>
      <c r="N1361" s="6">
        <v>15.59</v>
      </c>
      <c r="O1361" s="6">
        <v>10.07</v>
      </c>
      <c r="P1361" s="6">
        <v>5.52</v>
      </c>
      <c r="Q1361" t="s">
        <v>81</v>
      </c>
      <c r="R1361" t="s">
        <v>82</v>
      </c>
      <c r="S1361" t="s">
        <v>76</v>
      </c>
    </row>
    <row r="1362" spans="1:19" x14ac:dyDescent="0.35">
      <c r="A1362" t="s">
        <v>1491</v>
      </c>
      <c r="B1362" s="5">
        <v>45873</v>
      </c>
      <c r="C1362" t="s">
        <v>117</v>
      </c>
      <c r="D1362" t="s">
        <v>74</v>
      </c>
      <c r="E1362">
        <v>3</v>
      </c>
      <c r="F1362" s="6">
        <v>95</v>
      </c>
      <c r="G1362" s="7">
        <v>0</v>
      </c>
      <c r="H1362" s="6">
        <v>285</v>
      </c>
      <c r="I1362">
        <v>0</v>
      </c>
      <c r="J1362" s="6">
        <v>0</v>
      </c>
      <c r="K1362">
        <v>3</v>
      </c>
      <c r="L1362" s="6">
        <v>285</v>
      </c>
      <c r="M1362" s="6">
        <v>210.53</v>
      </c>
      <c r="N1362" s="6">
        <v>74.47</v>
      </c>
      <c r="O1362" s="6">
        <v>36.04</v>
      </c>
      <c r="P1362" s="6">
        <v>38.43</v>
      </c>
      <c r="Q1362" t="s">
        <v>59</v>
      </c>
      <c r="R1362" t="s">
        <v>66</v>
      </c>
      <c r="S1362" t="s">
        <v>71</v>
      </c>
    </row>
    <row r="1363" spans="1:19" x14ac:dyDescent="0.35">
      <c r="A1363" t="s">
        <v>1492</v>
      </c>
      <c r="B1363" s="5">
        <v>46014</v>
      </c>
      <c r="C1363" t="s">
        <v>104</v>
      </c>
      <c r="D1363" t="s">
        <v>105</v>
      </c>
      <c r="E1363">
        <v>4</v>
      </c>
      <c r="F1363" s="6">
        <v>65</v>
      </c>
      <c r="G1363" s="7">
        <v>2</v>
      </c>
      <c r="H1363" s="6">
        <v>254.8</v>
      </c>
      <c r="I1363">
        <v>0</v>
      </c>
      <c r="J1363" s="6">
        <v>0</v>
      </c>
      <c r="K1363">
        <v>4</v>
      </c>
      <c r="L1363" s="6">
        <v>254.8</v>
      </c>
      <c r="M1363" s="6">
        <v>183.16</v>
      </c>
      <c r="N1363" s="6">
        <v>71.64</v>
      </c>
      <c r="O1363" s="6">
        <v>21.19</v>
      </c>
      <c r="P1363" s="6">
        <v>50.45</v>
      </c>
      <c r="Q1363" t="s">
        <v>75</v>
      </c>
      <c r="R1363" t="s">
        <v>60</v>
      </c>
      <c r="S1363" t="s">
        <v>76</v>
      </c>
    </row>
    <row r="1364" spans="1:19" x14ac:dyDescent="0.35">
      <c r="A1364" t="s">
        <v>1493</v>
      </c>
      <c r="B1364" s="5">
        <v>45893</v>
      </c>
      <c r="C1364" t="s">
        <v>264</v>
      </c>
      <c r="D1364" t="s">
        <v>85</v>
      </c>
      <c r="E1364">
        <v>2</v>
      </c>
      <c r="F1364" s="6">
        <v>20</v>
      </c>
      <c r="G1364" s="7">
        <v>5</v>
      </c>
      <c r="H1364" s="6">
        <v>38</v>
      </c>
      <c r="I1364">
        <v>0</v>
      </c>
      <c r="J1364" s="6">
        <v>0</v>
      </c>
      <c r="K1364">
        <v>2</v>
      </c>
      <c r="L1364" s="6">
        <v>38</v>
      </c>
      <c r="M1364" s="6">
        <v>26.24</v>
      </c>
      <c r="N1364" s="6">
        <v>11.76</v>
      </c>
      <c r="O1364" s="6">
        <v>3.78</v>
      </c>
      <c r="P1364" s="6">
        <v>7.98</v>
      </c>
      <c r="Q1364" t="s">
        <v>81</v>
      </c>
      <c r="R1364" t="s">
        <v>82</v>
      </c>
      <c r="S1364" t="s">
        <v>76</v>
      </c>
    </row>
    <row r="1365" spans="1:19" x14ac:dyDescent="0.35">
      <c r="A1365" t="s">
        <v>1494</v>
      </c>
      <c r="B1365" s="5">
        <v>45990</v>
      </c>
      <c r="C1365" t="s">
        <v>78</v>
      </c>
      <c r="D1365" t="s">
        <v>79</v>
      </c>
      <c r="E1365">
        <v>4</v>
      </c>
      <c r="F1365" s="6">
        <v>120</v>
      </c>
      <c r="G1365" s="7">
        <v>0</v>
      </c>
      <c r="H1365" s="6">
        <v>480</v>
      </c>
      <c r="I1365">
        <v>0</v>
      </c>
      <c r="J1365" s="6">
        <v>0</v>
      </c>
      <c r="K1365">
        <v>4</v>
      </c>
      <c r="L1365" s="6">
        <v>480</v>
      </c>
      <c r="M1365" s="6">
        <v>409.46</v>
      </c>
      <c r="N1365" s="6">
        <v>70.540000000000006</v>
      </c>
      <c r="O1365" s="6">
        <v>24.39</v>
      </c>
      <c r="P1365" s="6">
        <v>46.15</v>
      </c>
      <c r="Q1365" t="s">
        <v>65</v>
      </c>
      <c r="R1365" t="s">
        <v>66</v>
      </c>
      <c r="S1365" t="s">
        <v>71</v>
      </c>
    </row>
    <row r="1366" spans="1:19" x14ac:dyDescent="0.35">
      <c r="A1366" t="s">
        <v>1495</v>
      </c>
      <c r="B1366" s="5">
        <v>45852</v>
      </c>
      <c r="C1366" t="s">
        <v>95</v>
      </c>
      <c r="D1366" t="s">
        <v>64</v>
      </c>
      <c r="E1366">
        <v>8</v>
      </c>
      <c r="F1366" s="6">
        <v>52</v>
      </c>
      <c r="G1366" s="7">
        <v>5</v>
      </c>
      <c r="H1366" s="6">
        <v>395.2</v>
      </c>
      <c r="I1366">
        <v>0</v>
      </c>
      <c r="J1366" s="6">
        <v>0</v>
      </c>
      <c r="K1366">
        <v>8</v>
      </c>
      <c r="L1366" s="6">
        <v>395.2</v>
      </c>
      <c r="M1366" s="6">
        <v>266.85000000000002</v>
      </c>
      <c r="N1366" s="6">
        <v>128.35</v>
      </c>
      <c r="O1366" s="6">
        <v>20.77</v>
      </c>
      <c r="P1366" s="6">
        <v>107.58</v>
      </c>
      <c r="Q1366" t="s">
        <v>65</v>
      </c>
      <c r="R1366" t="s">
        <v>86</v>
      </c>
      <c r="S1366" t="s">
        <v>76</v>
      </c>
    </row>
    <row r="1367" spans="1:19" x14ac:dyDescent="0.35">
      <c r="A1367" t="s">
        <v>1496</v>
      </c>
      <c r="B1367" s="5">
        <v>45966</v>
      </c>
      <c r="C1367" t="s">
        <v>56</v>
      </c>
      <c r="D1367" t="s">
        <v>57</v>
      </c>
      <c r="E1367">
        <v>1</v>
      </c>
      <c r="F1367" s="6">
        <v>40</v>
      </c>
      <c r="G1367" s="7">
        <v>2</v>
      </c>
      <c r="H1367" s="6">
        <v>39.200000000000003</v>
      </c>
      <c r="I1367">
        <v>0</v>
      </c>
      <c r="J1367" s="6">
        <v>0</v>
      </c>
      <c r="K1367">
        <v>1</v>
      </c>
      <c r="L1367" s="6">
        <v>39.200000000000003</v>
      </c>
      <c r="M1367" s="6">
        <v>32.380000000000003</v>
      </c>
      <c r="N1367" s="6">
        <v>6.82</v>
      </c>
      <c r="O1367" s="6">
        <v>1.97</v>
      </c>
      <c r="P1367" s="6">
        <v>4.8499999999999996</v>
      </c>
      <c r="Q1367" t="s">
        <v>81</v>
      </c>
      <c r="R1367" t="s">
        <v>66</v>
      </c>
      <c r="S1367" t="s">
        <v>76</v>
      </c>
    </row>
    <row r="1368" spans="1:19" x14ac:dyDescent="0.35">
      <c r="A1368" t="s">
        <v>1497</v>
      </c>
      <c r="B1368" s="5">
        <v>45892</v>
      </c>
      <c r="C1368" t="s">
        <v>78</v>
      </c>
      <c r="D1368" t="s">
        <v>79</v>
      </c>
      <c r="E1368">
        <v>6</v>
      </c>
      <c r="F1368" s="6">
        <v>120</v>
      </c>
      <c r="G1368" s="7">
        <v>10</v>
      </c>
      <c r="H1368" s="6">
        <v>648</v>
      </c>
      <c r="I1368">
        <v>0</v>
      </c>
      <c r="J1368" s="6">
        <v>0</v>
      </c>
      <c r="K1368">
        <v>6</v>
      </c>
      <c r="L1368" s="6">
        <v>648</v>
      </c>
      <c r="M1368" s="6">
        <v>530.17999999999995</v>
      </c>
      <c r="N1368" s="6">
        <v>117.82</v>
      </c>
      <c r="O1368" s="6">
        <v>79.36</v>
      </c>
      <c r="P1368" s="6">
        <v>38.46</v>
      </c>
      <c r="Q1368" t="s">
        <v>59</v>
      </c>
      <c r="R1368" t="s">
        <v>60</v>
      </c>
      <c r="S1368" t="s">
        <v>61</v>
      </c>
    </row>
    <row r="1369" spans="1:19" x14ac:dyDescent="0.35">
      <c r="A1369" t="s">
        <v>1498</v>
      </c>
      <c r="B1369" s="5">
        <v>45885</v>
      </c>
      <c r="C1369" t="s">
        <v>104</v>
      </c>
      <c r="D1369" t="s">
        <v>105</v>
      </c>
      <c r="E1369">
        <v>1</v>
      </c>
      <c r="F1369" s="6">
        <v>65</v>
      </c>
      <c r="G1369" s="7">
        <v>10</v>
      </c>
      <c r="H1369" s="6">
        <v>58.5</v>
      </c>
      <c r="I1369">
        <v>0</v>
      </c>
      <c r="J1369" s="6">
        <v>0</v>
      </c>
      <c r="K1369">
        <v>1</v>
      </c>
      <c r="L1369" s="6">
        <v>58.5</v>
      </c>
      <c r="M1369" s="6">
        <v>48.33</v>
      </c>
      <c r="N1369" s="6">
        <v>10.17</v>
      </c>
      <c r="O1369" s="6">
        <v>6.21</v>
      </c>
      <c r="P1369" s="6">
        <v>3.96</v>
      </c>
      <c r="Q1369" t="s">
        <v>81</v>
      </c>
      <c r="R1369" t="s">
        <v>82</v>
      </c>
      <c r="S1369" t="s">
        <v>67</v>
      </c>
    </row>
    <row r="1370" spans="1:19" x14ac:dyDescent="0.35">
      <c r="A1370" t="s">
        <v>1499</v>
      </c>
      <c r="B1370" s="5">
        <v>45835</v>
      </c>
      <c r="C1370" t="s">
        <v>92</v>
      </c>
      <c r="D1370" t="s">
        <v>79</v>
      </c>
      <c r="E1370">
        <v>4</v>
      </c>
      <c r="F1370" s="6">
        <v>85</v>
      </c>
      <c r="G1370" s="7">
        <v>10</v>
      </c>
      <c r="H1370" s="6">
        <v>306</v>
      </c>
      <c r="I1370">
        <v>0</v>
      </c>
      <c r="J1370" s="6">
        <v>0</v>
      </c>
      <c r="K1370">
        <v>4</v>
      </c>
      <c r="L1370" s="6">
        <v>306</v>
      </c>
      <c r="M1370" s="6">
        <v>257.74</v>
      </c>
      <c r="N1370" s="6">
        <v>48.26</v>
      </c>
      <c r="O1370" s="6">
        <v>19.55</v>
      </c>
      <c r="P1370" s="6">
        <v>28.71</v>
      </c>
      <c r="Q1370" t="s">
        <v>81</v>
      </c>
      <c r="R1370" t="s">
        <v>82</v>
      </c>
      <c r="S1370" t="s">
        <v>76</v>
      </c>
    </row>
    <row r="1371" spans="1:19" x14ac:dyDescent="0.35">
      <c r="A1371" t="s">
        <v>1500</v>
      </c>
      <c r="B1371" s="5">
        <v>45779</v>
      </c>
      <c r="C1371" t="s">
        <v>84</v>
      </c>
      <c r="D1371" t="s">
        <v>85</v>
      </c>
      <c r="E1371">
        <v>1</v>
      </c>
      <c r="F1371" s="6">
        <v>48</v>
      </c>
      <c r="G1371" s="7">
        <v>0</v>
      </c>
      <c r="H1371" s="6">
        <v>48</v>
      </c>
      <c r="I1371">
        <v>0</v>
      </c>
      <c r="J1371" s="6">
        <v>0</v>
      </c>
      <c r="K1371">
        <v>1</v>
      </c>
      <c r="L1371" s="6">
        <v>48</v>
      </c>
      <c r="M1371" s="6">
        <v>34.5</v>
      </c>
      <c r="N1371" s="6">
        <v>13.5</v>
      </c>
      <c r="O1371" s="6">
        <v>5.94</v>
      </c>
      <c r="P1371" s="6">
        <v>7.56</v>
      </c>
      <c r="Q1371" t="s">
        <v>65</v>
      </c>
      <c r="R1371" t="s">
        <v>82</v>
      </c>
      <c r="S1371" t="s">
        <v>71</v>
      </c>
    </row>
    <row r="1372" spans="1:19" x14ac:dyDescent="0.35">
      <c r="A1372" t="s">
        <v>1501</v>
      </c>
      <c r="B1372" s="5">
        <v>45989</v>
      </c>
      <c r="C1372" t="s">
        <v>104</v>
      </c>
      <c r="D1372" t="s">
        <v>105</v>
      </c>
      <c r="E1372">
        <v>2</v>
      </c>
      <c r="F1372" s="6">
        <v>65</v>
      </c>
      <c r="G1372" s="7">
        <v>5</v>
      </c>
      <c r="H1372" s="6">
        <v>123.5</v>
      </c>
      <c r="I1372">
        <v>0</v>
      </c>
      <c r="J1372" s="6">
        <v>0</v>
      </c>
      <c r="K1372">
        <v>2</v>
      </c>
      <c r="L1372" s="6">
        <v>123.5</v>
      </c>
      <c r="M1372" s="6">
        <v>84.06</v>
      </c>
      <c r="N1372" s="6">
        <v>39.44</v>
      </c>
      <c r="O1372" s="6">
        <v>11.72</v>
      </c>
      <c r="P1372" s="6">
        <v>27.72</v>
      </c>
      <c r="Q1372" t="s">
        <v>75</v>
      </c>
      <c r="R1372" t="s">
        <v>82</v>
      </c>
      <c r="S1372" t="s">
        <v>71</v>
      </c>
    </row>
    <row r="1373" spans="1:19" x14ac:dyDescent="0.35">
      <c r="A1373" t="s">
        <v>1502</v>
      </c>
      <c r="B1373" s="5">
        <v>45772</v>
      </c>
      <c r="C1373" t="s">
        <v>88</v>
      </c>
      <c r="D1373" t="s">
        <v>57</v>
      </c>
      <c r="E1373">
        <v>6</v>
      </c>
      <c r="F1373" s="6">
        <v>30</v>
      </c>
      <c r="G1373" s="7">
        <v>0</v>
      </c>
      <c r="H1373" s="6">
        <v>180</v>
      </c>
      <c r="I1373">
        <v>0</v>
      </c>
      <c r="J1373" s="6">
        <v>0</v>
      </c>
      <c r="K1373">
        <v>6</v>
      </c>
      <c r="L1373" s="6">
        <v>180</v>
      </c>
      <c r="M1373" s="6">
        <v>136.28</v>
      </c>
      <c r="N1373" s="6">
        <v>43.72</v>
      </c>
      <c r="O1373" s="6">
        <v>20.54</v>
      </c>
      <c r="P1373" s="6">
        <v>23.18</v>
      </c>
      <c r="Q1373" t="s">
        <v>59</v>
      </c>
      <c r="R1373" t="s">
        <v>86</v>
      </c>
      <c r="S1373" t="s">
        <v>67</v>
      </c>
    </row>
    <row r="1374" spans="1:19" x14ac:dyDescent="0.35">
      <c r="A1374" t="s">
        <v>1503</v>
      </c>
      <c r="B1374" s="5">
        <v>45740</v>
      </c>
      <c r="C1374" t="s">
        <v>73</v>
      </c>
      <c r="D1374" t="s">
        <v>74</v>
      </c>
      <c r="E1374">
        <v>3</v>
      </c>
      <c r="F1374" s="6">
        <v>280</v>
      </c>
      <c r="G1374" s="7">
        <v>10</v>
      </c>
      <c r="H1374" s="6">
        <v>756</v>
      </c>
      <c r="I1374">
        <v>0</v>
      </c>
      <c r="J1374" s="6">
        <v>0</v>
      </c>
      <c r="K1374">
        <v>3</v>
      </c>
      <c r="L1374" s="6">
        <v>756</v>
      </c>
      <c r="M1374" s="6">
        <v>533.94000000000005</v>
      </c>
      <c r="N1374" s="6">
        <v>222.06</v>
      </c>
      <c r="O1374" s="6">
        <v>80.05</v>
      </c>
      <c r="P1374" s="6">
        <v>142.01</v>
      </c>
      <c r="Q1374" t="s">
        <v>59</v>
      </c>
      <c r="R1374" t="s">
        <v>82</v>
      </c>
      <c r="S1374" t="s">
        <v>76</v>
      </c>
    </row>
    <row r="1375" spans="1:19" x14ac:dyDescent="0.35">
      <c r="A1375" t="s">
        <v>1504</v>
      </c>
      <c r="B1375" s="5">
        <v>45667</v>
      </c>
      <c r="C1375" t="s">
        <v>92</v>
      </c>
      <c r="D1375" t="s">
        <v>79</v>
      </c>
      <c r="E1375">
        <v>6</v>
      </c>
      <c r="F1375" s="6">
        <v>85</v>
      </c>
      <c r="G1375" s="7">
        <v>0</v>
      </c>
      <c r="H1375" s="6">
        <v>510</v>
      </c>
      <c r="I1375">
        <v>0</v>
      </c>
      <c r="J1375" s="6">
        <v>0</v>
      </c>
      <c r="K1375">
        <v>6</v>
      </c>
      <c r="L1375" s="6">
        <v>510</v>
      </c>
      <c r="M1375" s="6">
        <v>378.13</v>
      </c>
      <c r="N1375" s="6">
        <v>131.87</v>
      </c>
      <c r="O1375" s="6">
        <v>47.73</v>
      </c>
      <c r="P1375" s="6">
        <v>84.14</v>
      </c>
      <c r="Q1375" t="s">
        <v>59</v>
      </c>
      <c r="R1375" t="s">
        <v>60</v>
      </c>
      <c r="S1375" t="s">
        <v>76</v>
      </c>
    </row>
    <row r="1376" spans="1:19" x14ac:dyDescent="0.35">
      <c r="A1376" t="s">
        <v>1505</v>
      </c>
      <c r="B1376" s="5">
        <v>45923</v>
      </c>
      <c r="C1376" t="s">
        <v>95</v>
      </c>
      <c r="D1376" t="s">
        <v>64</v>
      </c>
      <c r="E1376">
        <v>10</v>
      </c>
      <c r="F1376" s="6">
        <v>52</v>
      </c>
      <c r="G1376" s="7">
        <v>0</v>
      </c>
      <c r="H1376" s="6">
        <v>520</v>
      </c>
      <c r="I1376">
        <v>0</v>
      </c>
      <c r="J1376" s="6">
        <v>0</v>
      </c>
      <c r="K1376">
        <v>10</v>
      </c>
      <c r="L1376" s="6">
        <v>520</v>
      </c>
      <c r="M1376" s="6">
        <v>352.44</v>
      </c>
      <c r="N1376" s="6">
        <v>167.56</v>
      </c>
      <c r="O1376" s="6">
        <v>42.44</v>
      </c>
      <c r="P1376" s="6">
        <v>125.12</v>
      </c>
      <c r="Q1376" t="s">
        <v>75</v>
      </c>
      <c r="R1376" t="s">
        <v>199</v>
      </c>
      <c r="S1376" t="s">
        <v>71</v>
      </c>
    </row>
    <row r="1377" spans="1:19" x14ac:dyDescent="0.35">
      <c r="A1377" t="s">
        <v>1506</v>
      </c>
      <c r="B1377" s="5">
        <v>45789</v>
      </c>
      <c r="C1377" t="s">
        <v>104</v>
      </c>
      <c r="D1377" t="s">
        <v>105</v>
      </c>
      <c r="E1377">
        <v>1</v>
      </c>
      <c r="F1377" s="6">
        <v>65</v>
      </c>
      <c r="G1377" s="7">
        <v>10</v>
      </c>
      <c r="H1377" s="6">
        <v>58.5</v>
      </c>
      <c r="I1377">
        <v>0</v>
      </c>
      <c r="J1377" s="6">
        <v>0</v>
      </c>
      <c r="K1377">
        <v>1</v>
      </c>
      <c r="L1377" s="6">
        <v>58.5</v>
      </c>
      <c r="M1377" s="6">
        <v>36.71</v>
      </c>
      <c r="N1377" s="6">
        <v>21.79</v>
      </c>
      <c r="O1377" s="6">
        <v>3.16</v>
      </c>
      <c r="P1377" s="6">
        <v>18.63</v>
      </c>
      <c r="Q1377" t="s">
        <v>65</v>
      </c>
      <c r="R1377" t="s">
        <v>66</v>
      </c>
      <c r="S1377" t="s">
        <v>61</v>
      </c>
    </row>
    <row r="1378" spans="1:19" x14ac:dyDescent="0.35">
      <c r="A1378" t="s">
        <v>1507</v>
      </c>
      <c r="B1378" s="5">
        <v>45804</v>
      </c>
      <c r="C1378" t="s">
        <v>95</v>
      </c>
      <c r="D1378" t="s">
        <v>64</v>
      </c>
      <c r="E1378" t="s">
        <v>1084</v>
      </c>
      <c r="F1378" s="6">
        <v>52</v>
      </c>
      <c r="G1378" s="7">
        <v>2</v>
      </c>
      <c r="H1378" s="6">
        <v>152.88</v>
      </c>
      <c r="I1378">
        <v>0</v>
      </c>
      <c r="J1378" s="6">
        <v>0</v>
      </c>
      <c r="K1378">
        <v>3</v>
      </c>
      <c r="L1378" s="6">
        <v>152.88</v>
      </c>
      <c r="M1378" s="6">
        <v>100.27</v>
      </c>
      <c r="N1378" s="6">
        <v>52.61</v>
      </c>
      <c r="O1378" s="6">
        <v>17.809999999999999</v>
      </c>
      <c r="P1378" s="6">
        <v>34.799999999999997</v>
      </c>
      <c r="Q1378" t="s">
        <v>65</v>
      </c>
      <c r="R1378" t="s">
        <v>60</v>
      </c>
      <c r="S1378" t="s">
        <v>67</v>
      </c>
    </row>
    <row r="1379" spans="1:19" x14ac:dyDescent="0.35">
      <c r="A1379" t="s">
        <v>1508</v>
      </c>
      <c r="B1379" s="5">
        <v>45943</v>
      </c>
      <c r="C1379" t="s">
        <v>56</v>
      </c>
      <c r="D1379" t="s">
        <v>57</v>
      </c>
      <c r="E1379">
        <v>1</v>
      </c>
      <c r="F1379" s="6">
        <v>40</v>
      </c>
      <c r="G1379" s="7">
        <v>0</v>
      </c>
      <c r="H1379" s="6">
        <v>40</v>
      </c>
      <c r="I1379">
        <v>0</v>
      </c>
      <c r="J1379" s="6">
        <v>0</v>
      </c>
      <c r="K1379">
        <v>1</v>
      </c>
      <c r="L1379" s="6">
        <v>40</v>
      </c>
      <c r="M1379" s="6">
        <v>25.62</v>
      </c>
      <c r="N1379" s="6">
        <v>14.38</v>
      </c>
      <c r="O1379" s="6">
        <v>2.86</v>
      </c>
      <c r="P1379" s="6">
        <v>11.52</v>
      </c>
      <c r="Q1379" t="s">
        <v>65</v>
      </c>
      <c r="R1379" t="s">
        <v>86</v>
      </c>
      <c r="S1379" t="s">
        <v>61</v>
      </c>
    </row>
    <row r="1380" spans="1:19" x14ac:dyDescent="0.35">
      <c r="A1380" t="s">
        <v>1509</v>
      </c>
      <c r="B1380" s="5">
        <v>45819</v>
      </c>
      <c r="C1380" t="s">
        <v>69</v>
      </c>
      <c r="D1380" t="s">
        <v>70</v>
      </c>
      <c r="E1380">
        <v>5</v>
      </c>
      <c r="F1380" s="6">
        <v>210</v>
      </c>
      <c r="G1380" s="7">
        <v>2</v>
      </c>
      <c r="H1380" s="6">
        <v>1029</v>
      </c>
      <c r="I1380">
        <v>0</v>
      </c>
      <c r="J1380" s="6">
        <v>0</v>
      </c>
      <c r="K1380">
        <v>5</v>
      </c>
      <c r="L1380" s="6">
        <v>1029</v>
      </c>
      <c r="M1380" s="6">
        <v>809.78</v>
      </c>
      <c r="N1380" s="6">
        <v>219.22</v>
      </c>
      <c r="O1380" s="6">
        <v>110.09</v>
      </c>
      <c r="P1380" s="6">
        <v>109.13</v>
      </c>
      <c r="Q1380" t="s">
        <v>59</v>
      </c>
      <c r="R1380" t="s">
        <v>66</v>
      </c>
      <c r="S1380" t="s">
        <v>67</v>
      </c>
    </row>
    <row r="1381" spans="1:19" x14ac:dyDescent="0.35">
      <c r="A1381" t="s">
        <v>1510</v>
      </c>
      <c r="B1381" s="5">
        <v>46009</v>
      </c>
      <c r="C1381" t="s">
        <v>69</v>
      </c>
      <c r="D1381" t="s">
        <v>683</v>
      </c>
      <c r="E1381">
        <v>3</v>
      </c>
      <c r="F1381" s="6">
        <v>210</v>
      </c>
      <c r="G1381" s="7">
        <v>5</v>
      </c>
      <c r="H1381" s="6">
        <v>598.5</v>
      </c>
      <c r="I1381">
        <v>0</v>
      </c>
      <c r="J1381" s="6">
        <v>0</v>
      </c>
      <c r="K1381">
        <v>3</v>
      </c>
      <c r="L1381" s="6">
        <v>598.5</v>
      </c>
      <c r="M1381" s="6">
        <v>395.26</v>
      </c>
      <c r="N1381" s="6">
        <v>203.24</v>
      </c>
      <c r="O1381" s="6">
        <v>65.81</v>
      </c>
      <c r="P1381" s="6">
        <v>137.43</v>
      </c>
      <c r="Q1381" t="s">
        <v>75</v>
      </c>
      <c r="R1381" t="s">
        <v>66</v>
      </c>
      <c r="S1381" t="s">
        <v>71</v>
      </c>
    </row>
    <row r="1382" spans="1:19" x14ac:dyDescent="0.35">
      <c r="A1382" t="s">
        <v>1511</v>
      </c>
      <c r="B1382" s="5">
        <v>45937</v>
      </c>
      <c r="C1382" t="s">
        <v>117</v>
      </c>
      <c r="D1382" t="s">
        <v>243</v>
      </c>
      <c r="E1382">
        <v>10</v>
      </c>
      <c r="F1382" s="6">
        <v>95</v>
      </c>
      <c r="G1382" s="7">
        <v>0</v>
      </c>
      <c r="H1382" s="6">
        <v>950</v>
      </c>
      <c r="I1382">
        <v>0</v>
      </c>
      <c r="J1382" s="6">
        <v>0</v>
      </c>
      <c r="K1382">
        <v>10</v>
      </c>
      <c r="L1382" s="6">
        <v>950</v>
      </c>
      <c r="M1382" s="6">
        <v>725.66</v>
      </c>
      <c r="N1382" s="6">
        <v>224.34</v>
      </c>
      <c r="O1382" s="6">
        <v>60.2</v>
      </c>
      <c r="P1382" s="6">
        <v>164.14</v>
      </c>
      <c r="Q1382" t="s">
        <v>75</v>
      </c>
      <c r="R1382" t="s">
        <v>60</v>
      </c>
      <c r="S1382" t="s">
        <v>76</v>
      </c>
    </row>
    <row r="1383" spans="1:19" x14ac:dyDescent="0.35">
      <c r="A1383" t="s">
        <v>1512</v>
      </c>
      <c r="B1383" s="5">
        <v>45710</v>
      </c>
      <c r="C1383" t="s">
        <v>107</v>
      </c>
      <c r="D1383" t="s">
        <v>74</v>
      </c>
      <c r="E1383">
        <v>2</v>
      </c>
      <c r="F1383" s="6">
        <v>125</v>
      </c>
      <c r="G1383" s="7">
        <v>5</v>
      </c>
      <c r="H1383" s="6">
        <v>237.5</v>
      </c>
      <c r="I1383">
        <v>0</v>
      </c>
      <c r="J1383" s="6">
        <v>0</v>
      </c>
      <c r="K1383">
        <v>2</v>
      </c>
      <c r="L1383" s="6">
        <v>237.5</v>
      </c>
      <c r="M1383" s="6">
        <v>150.02000000000001</v>
      </c>
      <c r="N1383" s="6">
        <v>87.48</v>
      </c>
      <c r="O1383" s="6">
        <v>16.079999999999998</v>
      </c>
      <c r="P1383" s="6">
        <v>71.400000000000006</v>
      </c>
      <c r="Q1383" t="s">
        <v>75</v>
      </c>
      <c r="R1383" t="s">
        <v>60</v>
      </c>
      <c r="S1383" t="s">
        <v>71</v>
      </c>
    </row>
    <row r="1384" spans="1:19" x14ac:dyDescent="0.35">
      <c r="A1384" t="s">
        <v>1513</v>
      </c>
      <c r="B1384" s="5">
        <v>45927</v>
      </c>
      <c r="C1384" t="s">
        <v>100</v>
      </c>
      <c r="D1384" t="s">
        <v>64</v>
      </c>
      <c r="E1384">
        <v>3</v>
      </c>
      <c r="F1384" s="6">
        <v>310</v>
      </c>
      <c r="G1384" s="7">
        <v>0</v>
      </c>
      <c r="H1384" s="6">
        <v>930</v>
      </c>
      <c r="I1384">
        <v>0</v>
      </c>
      <c r="J1384" s="6">
        <v>0</v>
      </c>
      <c r="K1384">
        <v>3</v>
      </c>
      <c r="L1384" s="6">
        <v>930</v>
      </c>
      <c r="M1384" s="6">
        <v>780.07</v>
      </c>
      <c r="N1384" s="6">
        <v>149.93</v>
      </c>
      <c r="O1384" s="6">
        <v>49.89</v>
      </c>
      <c r="P1384" s="6">
        <v>100.04</v>
      </c>
      <c r="Q1384" t="s">
        <v>59</v>
      </c>
      <c r="R1384" t="s">
        <v>86</v>
      </c>
      <c r="S1384" t="s">
        <v>71</v>
      </c>
    </row>
    <row r="1385" spans="1:19" x14ac:dyDescent="0.35">
      <c r="A1385" t="s">
        <v>1514</v>
      </c>
      <c r="B1385" s="5">
        <v>45864</v>
      </c>
      <c r="C1385" t="s">
        <v>63</v>
      </c>
      <c r="D1385" t="s">
        <v>64</v>
      </c>
      <c r="E1385">
        <v>3</v>
      </c>
      <c r="F1385" s="6">
        <v>145</v>
      </c>
      <c r="G1385" s="7">
        <v>5</v>
      </c>
      <c r="H1385" s="6">
        <v>413.25</v>
      </c>
      <c r="I1385">
        <v>0</v>
      </c>
      <c r="J1385" s="6">
        <v>0</v>
      </c>
      <c r="K1385">
        <v>3</v>
      </c>
      <c r="L1385" s="6">
        <v>413.25</v>
      </c>
      <c r="M1385" s="6">
        <v>277.73</v>
      </c>
      <c r="N1385" s="6">
        <v>135.52000000000001</v>
      </c>
      <c r="O1385" s="6">
        <v>25.82</v>
      </c>
      <c r="P1385" s="6">
        <v>109.7</v>
      </c>
      <c r="Q1385" t="s">
        <v>81</v>
      </c>
      <c r="R1385" t="s">
        <v>86</v>
      </c>
      <c r="S1385" t="s">
        <v>67</v>
      </c>
    </row>
    <row r="1386" spans="1:19" x14ac:dyDescent="0.35">
      <c r="A1386" t="s">
        <v>1515</v>
      </c>
      <c r="B1386" s="5">
        <v>45761</v>
      </c>
      <c r="C1386" t="s">
        <v>90</v>
      </c>
      <c r="D1386" t="s">
        <v>70</v>
      </c>
      <c r="E1386">
        <v>4</v>
      </c>
      <c r="F1386" s="6">
        <v>38</v>
      </c>
      <c r="G1386" s="7">
        <v>0</v>
      </c>
      <c r="H1386" s="6">
        <v>152</v>
      </c>
      <c r="I1386">
        <v>0</v>
      </c>
      <c r="J1386" s="6">
        <v>0</v>
      </c>
      <c r="K1386">
        <v>4</v>
      </c>
      <c r="L1386" s="6">
        <v>152</v>
      </c>
      <c r="M1386" s="6">
        <v>127.25</v>
      </c>
      <c r="N1386" s="6">
        <v>24.75</v>
      </c>
      <c r="O1386" s="6">
        <v>13.08</v>
      </c>
      <c r="P1386" s="6">
        <v>11.67</v>
      </c>
      <c r="Q1386" t="s">
        <v>75</v>
      </c>
      <c r="R1386" t="s">
        <v>366</v>
      </c>
      <c r="S1386" t="s">
        <v>76</v>
      </c>
    </row>
    <row r="1387" spans="1:19" x14ac:dyDescent="0.35">
      <c r="A1387" t="s">
        <v>1516</v>
      </c>
      <c r="B1387" s="5">
        <v>45767</v>
      </c>
      <c r="C1387" t="s">
        <v>97</v>
      </c>
      <c r="D1387" t="s">
        <v>57</v>
      </c>
      <c r="E1387">
        <v>4</v>
      </c>
      <c r="F1387" s="6">
        <v>55</v>
      </c>
      <c r="G1387" s="7">
        <v>0</v>
      </c>
      <c r="H1387" s="6">
        <v>220</v>
      </c>
      <c r="I1387">
        <v>0</v>
      </c>
      <c r="J1387" s="6">
        <v>0</v>
      </c>
      <c r="K1387">
        <v>4</v>
      </c>
      <c r="L1387" s="6">
        <v>220</v>
      </c>
      <c r="M1387" s="6">
        <v>147.56</v>
      </c>
      <c r="N1387" s="6">
        <v>72.44</v>
      </c>
      <c r="O1387" s="6">
        <v>27.86</v>
      </c>
      <c r="P1387" s="6">
        <v>44.58</v>
      </c>
      <c r="Q1387" t="s">
        <v>65</v>
      </c>
      <c r="R1387" t="s">
        <v>66</v>
      </c>
      <c r="S1387" t="s">
        <v>71</v>
      </c>
    </row>
    <row r="1388" spans="1:19" x14ac:dyDescent="0.35">
      <c r="A1388" t="s">
        <v>1517</v>
      </c>
      <c r="B1388" s="5">
        <v>45663</v>
      </c>
      <c r="C1388" t="s">
        <v>92</v>
      </c>
      <c r="D1388" t="s">
        <v>79</v>
      </c>
      <c r="E1388">
        <v>10</v>
      </c>
      <c r="F1388" s="6">
        <v>85</v>
      </c>
      <c r="G1388" s="7">
        <v>0</v>
      </c>
      <c r="H1388" s="6">
        <v>850</v>
      </c>
      <c r="I1388">
        <v>0</v>
      </c>
      <c r="J1388" s="6">
        <v>0</v>
      </c>
      <c r="K1388">
        <v>10</v>
      </c>
      <c r="L1388" s="6">
        <v>850</v>
      </c>
      <c r="M1388" s="6">
        <v>705.5</v>
      </c>
      <c r="N1388" s="6">
        <v>144.5</v>
      </c>
      <c r="O1388" s="6">
        <v>67.13</v>
      </c>
      <c r="P1388" s="6">
        <v>77.37</v>
      </c>
      <c r="Q1388" t="s">
        <v>59</v>
      </c>
      <c r="R1388" t="s">
        <v>60</v>
      </c>
      <c r="S1388" t="s">
        <v>67</v>
      </c>
    </row>
    <row r="1389" spans="1:19" x14ac:dyDescent="0.35">
      <c r="A1389" t="s">
        <v>1518</v>
      </c>
      <c r="B1389" s="5">
        <v>45946</v>
      </c>
      <c r="C1389" t="s">
        <v>95</v>
      </c>
      <c r="D1389" t="s">
        <v>64</v>
      </c>
      <c r="E1389">
        <v>4</v>
      </c>
      <c r="F1389" s="6">
        <v>52</v>
      </c>
      <c r="G1389" s="7">
        <v>0</v>
      </c>
      <c r="H1389" s="6">
        <v>208</v>
      </c>
      <c r="I1389">
        <v>0</v>
      </c>
      <c r="J1389" s="6">
        <v>0</v>
      </c>
      <c r="K1389">
        <v>4</v>
      </c>
      <c r="L1389" s="6">
        <v>208</v>
      </c>
      <c r="M1389" s="6">
        <v>173.78</v>
      </c>
      <c r="N1389" s="6">
        <v>34.22</v>
      </c>
      <c r="O1389" s="6">
        <v>18.170000000000002</v>
      </c>
      <c r="P1389" s="6">
        <v>16.05</v>
      </c>
      <c r="Q1389" t="s">
        <v>65</v>
      </c>
      <c r="R1389" t="s">
        <v>60</v>
      </c>
      <c r="S1389" t="s">
        <v>67</v>
      </c>
    </row>
    <row r="1390" spans="1:19" x14ac:dyDescent="0.35">
      <c r="A1390" t="s">
        <v>1519</v>
      </c>
      <c r="B1390" s="5">
        <v>46013</v>
      </c>
      <c r="C1390" t="s">
        <v>69</v>
      </c>
      <c r="D1390" t="s">
        <v>70</v>
      </c>
      <c r="E1390">
        <v>3</v>
      </c>
      <c r="F1390" s="6">
        <v>210</v>
      </c>
      <c r="G1390" s="7">
        <v>10</v>
      </c>
      <c r="H1390" s="6">
        <v>567</v>
      </c>
      <c r="I1390">
        <v>0</v>
      </c>
      <c r="J1390" s="6">
        <v>0</v>
      </c>
      <c r="K1390">
        <v>3</v>
      </c>
      <c r="L1390" s="6">
        <v>567</v>
      </c>
      <c r="M1390" s="6">
        <v>477.85</v>
      </c>
      <c r="N1390" s="6">
        <v>89.15</v>
      </c>
      <c r="O1390" s="6">
        <v>62.54</v>
      </c>
      <c r="P1390" s="6">
        <v>26.61</v>
      </c>
      <c r="Q1390" t="s">
        <v>75</v>
      </c>
      <c r="R1390" t="s">
        <v>60</v>
      </c>
      <c r="S1390" t="s">
        <v>61</v>
      </c>
    </row>
    <row r="1391" spans="1:19" x14ac:dyDescent="0.35">
      <c r="A1391" t="s">
        <v>1520</v>
      </c>
      <c r="B1391" s="5">
        <v>45733</v>
      </c>
      <c r="C1391" t="s">
        <v>92</v>
      </c>
      <c r="D1391" t="s">
        <v>79</v>
      </c>
      <c r="E1391">
        <v>4</v>
      </c>
      <c r="F1391" s="6">
        <v>85</v>
      </c>
      <c r="G1391" s="7">
        <v>0</v>
      </c>
      <c r="H1391" s="6">
        <v>340</v>
      </c>
      <c r="I1391">
        <v>0</v>
      </c>
      <c r="J1391" s="6">
        <v>0</v>
      </c>
      <c r="K1391">
        <v>4</v>
      </c>
      <c r="L1391" s="6">
        <v>340</v>
      </c>
      <c r="M1391" s="6">
        <v>283.33</v>
      </c>
      <c r="N1391" s="6">
        <v>56.67</v>
      </c>
      <c r="O1391" s="6">
        <v>34.5</v>
      </c>
      <c r="P1391" s="6">
        <v>22.17</v>
      </c>
      <c r="Q1391" t="s">
        <v>81</v>
      </c>
      <c r="R1391" t="s">
        <v>82</v>
      </c>
      <c r="S1391" t="s">
        <v>71</v>
      </c>
    </row>
    <row r="1392" spans="1:19" x14ac:dyDescent="0.35">
      <c r="A1392" t="s">
        <v>1521</v>
      </c>
      <c r="B1392" s="5">
        <v>45805</v>
      </c>
      <c r="C1392" t="s">
        <v>114</v>
      </c>
      <c r="D1392" t="s">
        <v>64</v>
      </c>
      <c r="E1392">
        <v>5</v>
      </c>
      <c r="F1392" s="6">
        <v>420</v>
      </c>
      <c r="G1392" s="7">
        <v>0</v>
      </c>
      <c r="H1392" s="6">
        <v>2100</v>
      </c>
      <c r="I1392">
        <v>0</v>
      </c>
      <c r="J1392" s="6">
        <v>0</v>
      </c>
      <c r="K1392">
        <v>5</v>
      </c>
      <c r="L1392" s="6">
        <v>2100</v>
      </c>
      <c r="M1392" s="6">
        <v>1465.28</v>
      </c>
      <c r="N1392" s="6">
        <v>634.72</v>
      </c>
      <c r="O1392" s="6">
        <v>199.62</v>
      </c>
      <c r="P1392" s="6">
        <v>435.1</v>
      </c>
      <c r="Q1392" t="s">
        <v>75</v>
      </c>
      <c r="R1392" t="s">
        <v>82</v>
      </c>
      <c r="S1392" t="s">
        <v>71</v>
      </c>
    </row>
    <row r="1393" spans="1:19" x14ac:dyDescent="0.35">
      <c r="A1393" t="s">
        <v>1522</v>
      </c>
      <c r="B1393" s="5">
        <v>45712</v>
      </c>
      <c r="C1393" t="s">
        <v>84</v>
      </c>
      <c r="D1393" t="s">
        <v>85</v>
      </c>
      <c r="E1393">
        <v>5</v>
      </c>
      <c r="F1393" s="6">
        <v>48</v>
      </c>
      <c r="G1393" s="7">
        <v>0</v>
      </c>
      <c r="H1393" s="6">
        <v>240</v>
      </c>
      <c r="I1393">
        <v>0</v>
      </c>
      <c r="J1393" s="6">
        <v>0</v>
      </c>
      <c r="K1393">
        <v>5</v>
      </c>
      <c r="L1393" s="6">
        <v>240</v>
      </c>
      <c r="M1393" s="6">
        <v>155.5</v>
      </c>
      <c r="N1393" s="6">
        <v>84.5</v>
      </c>
      <c r="O1393" s="6">
        <v>13.62</v>
      </c>
      <c r="P1393" s="6">
        <v>70.88</v>
      </c>
      <c r="Q1393" t="s">
        <v>65</v>
      </c>
      <c r="R1393" t="s">
        <v>66</v>
      </c>
      <c r="S1393" t="s">
        <v>71</v>
      </c>
    </row>
    <row r="1394" spans="1:19" x14ac:dyDescent="0.35">
      <c r="A1394" t="s">
        <v>1523</v>
      </c>
      <c r="B1394" s="5">
        <v>45704</v>
      </c>
      <c r="C1394" t="s">
        <v>97</v>
      </c>
      <c r="D1394" t="s">
        <v>57</v>
      </c>
      <c r="E1394">
        <v>2</v>
      </c>
      <c r="F1394" s="6">
        <v>55</v>
      </c>
      <c r="G1394" s="7">
        <v>10</v>
      </c>
      <c r="H1394" s="6">
        <v>99</v>
      </c>
      <c r="I1394">
        <v>2</v>
      </c>
      <c r="J1394" s="6">
        <v>99</v>
      </c>
      <c r="K1394">
        <v>0</v>
      </c>
      <c r="L1394" s="6">
        <v>0</v>
      </c>
      <c r="M1394" s="6">
        <v>0</v>
      </c>
      <c r="N1394" s="6">
        <v>0</v>
      </c>
      <c r="O1394" s="6">
        <v>0</v>
      </c>
      <c r="P1394" s="6">
        <v>0</v>
      </c>
      <c r="Q1394" t="s">
        <v>81</v>
      </c>
      <c r="R1394" t="s">
        <v>60</v>
      </c>
      <c r="S1394" t="s">
        <v>61</v>
      </c>
    </row>
    <row r="1395" spans="1:19" x14ac:dyDescent="0.35">
      <c r="A1395" t="s">
        <v>1524</v>
      </c>
      <c r="B1395" s="5">
        <v>46000</v>
      </c>
      <c r="C1395" t="s">
        <v>73</v>
      </c>
      <c r="D1395" t="s">
        <v>74</v>
      </c>
      <c r="E1395">
        <v>1</v>
      </c>
      <c r="F1395" s="6">
        <v>280</v>
      </c>
      <c r="G1395" s="7">
        <v>5</v>
      </c>
      <c r="H1395" s="6">
        <v>266</v>
      </c>
      <c r="I1395">
        <v>0</v>
      </c>
      <c r="J1395" s="6">
        <v>0</v>
      </c>
      <c r="K1395">
        <v>1</v>
      </c>
      <c r="L1395" s="6">
        <v>266</v>
      </c>
      <c r="M1395" s="6">
        <v>167.96</v>
      </c>
      <c r="N1395" s="6">
        <v>98.04</v>
      </c>
      <c r="O1395" s="6">
        <v>14.83</v>
      </c>
      <c r="P1395" s="6">
        <v>83.21</v>
      </c>
      <c r="Q1395" t="s">
        <v>59</v>
      </c>
      <c r="R1395" t="s">
        <v>82</v>
      </c>
      <c r="S1395" t="s">
        <v>61</v>
      </c>
    </row>
    <row r="1396" spans="1:19" x14ac:dyDescent="0.35">
      <c r="A1396" t="s">
        <v>1525</v>
      </c>
      <c r="B1396" s="5">
        <v>45769</v>
      </c>
      <c r="C1396" t="s">
        <v>95</v>
      </c>
      <c r="D1396" t="s">
        <v>64</v>
      </c>
      <c r="E1396">
        <v>5</v>
      </c>
      <c r="F1396" s="6">
        <v>52</v>
      </c>
      <c r="G1396" s="7">
        <v>0</v>
      </c>
      <c r="H1396" s="6">
        <v>260</v>
      </c>
      <c r="I1396">
        <v>0</v>
      </c>
      <c r="J1396" s="6">
        <v>0</v>
      </c>
      <c r="K1396">
        <v>5</v>
      </c>
      <c r="L1396" s="6">
        <v>260</v>
      </c>
      <c r="M1396" s="6">
        <v>194.52</v>
      </c>
      <c r="N1396" s="6">
        <v>65.48</v>
      </c>
      <c r="O1396" s="6">
        <v>17.34</v>
      </c>
      <c r="P1396" s="6">
        <v>48.14</v>
      </c>
      <c r="Q1396" t="s">
        <v>59</v>
      </c>
      <c r="R1396" t="s">
        <v>86</v>
      </c>
      <c r="S1396" t="s">
        <v>71</v>
      </c>
    </row>
    <row r="1397" spans="1:19" x14ac:dyDescent="0.35">
      <c r="A1397" t="s">
        <v>1526</v>
      </c>
      <c r="B1397" s="5">
        <v>46008</v>
      </c>
      <c r="C1397" t="s">
        <v>271</v>
      </c>
      <c r="D1397" t="s">
        <v>74</v>
      </c>
      <c r="E1397">
        <v>4</v>
      </c>
      <c r="F1397" s="6">
        <v>280</v>
      </c>
      <c r="G1397" s="7">
        <v>0</v>
      </c>
      <c r="H1397" s="6">
        <v>1120</v>
      </c>
      <c r="I1397">
        <v>0</v>
      </c>
      <c r="J1397" s="6">
        <v>0</v>
      </c>
      <c r="K1397">
        <v>4</v>
      </c>
      <c r="L1397" s="6">
        <v>1120</v>
      </c>
      <c r="M1397" s="6">
        <v>785.45</v>
      </c>
      <c r="N1397" s="6">
        <v>334.55</v>
      </c>
      <c r="O1397" s="6">
        <v>109.14</v>
      </c>
      <c r="P1397" s="6">
        <v>225.41</v>
      </c>
      <c r="Q1397" t="s">
        <v>59</v>
      </c>
      <c r="R1397" t="s">
        <v>82</v>
      </c>
      <c r="S1397" t="s">
        <v>61</v>
      </c>
    </row>
    <row r="1398" spans="1:19" x14ac:dyDescent="0.35">
      <c r="A1398" t="s">
        <v>1527</v>
      </c>
      <c r="B1398" s="5">
        <v>45665</v>
      </c>
      <c r="C1398" t="s">
        <v>1248</v>
      </c>
      <c r="D1398" t="s">
        <v>57</v>
      </c>
      <c r="E1398">
        <v>1</v>
      </c>
      <c r="F1398" s="6">
        <v>55</v>
      </c>
      <c r="G1398" s="7">
        <v>5</v>
      </c>
      <c r="H1398" s="6">
        <v>52.25</v>
      </c>
      <c r="I1398">
        <v>0</v>
      </c>
      <c r="J1398" s="6">
        <v>0</v>
      </c>
      <c r="K1398">
        <v>1</v>
      </c>
      <c r="L1398" s="6">
        <v>52.25</v>
      </c>
      <c r="M1398" s="6">
        <v>43.75</v>
      </c>
      <c r="N1398" s="6">
        <v>8.5</v>
      </c>
      <c r="O1398" s="6">
        <v>5.05</v>
      </c>
      <c r="P1398" s="6">
        <v>3.45</v>
      </c>
      <c r="Q1398" t="s">
        <v>65</v>
      </c>
      <c r="R1398" t="s">
        <v>147</v>
      </c>
      <c r="S1398" t="s">
        <v>76</v>
      </c>
    </row>
    <row r="1399" spans="1:19" x14ac:dyDescent="0.35">
      <c r="A1399" t="s">
        <v>1528</v>
      </c>
      <c r="B1399" s="5">
        <v>45961</v>
      </c>
      <c r="C1399" t="s">
        <v>73</v>
      </c>
      <c r="D1399" t="s">
        <v>74</v>
      </c>
      <c r="E1399">
        <v>3</v>
      </c>
      <c r="F1399" s="6">
        <v>280</v>
      </c>
      <c r="G1399" s="7">
        <v>10</v>
      </c>
      <c r="H1399" s="6">
        <v>756</v>
      </c>
      <c r="I1399">
        <v>0</v>
      </c>
      <c r="J1399" s="6">
        <v>0</v>
      </c>
      <c r="K1399">
        <v>3</v>
      </c>
      <c r="L1399" s="6">
        <v>756</v>
      </c>
      <c r="M1399" s="6">
        <v>593.13</v>
      </c>
      <c r="N1399" s="6">
        <v>162.87</v>
      </c>
      <c r="O1399" s="6">
        <v>88.26</v>
      </c>
      <c r="P1399" s="6">
        <v>74.61</v>
      </c>
      <c r="Q1399" t="s">
        <v>65</v>
      </c>
      <c r="R1399" t="s">
        <v>66</v>
      </c>
      <c r="S1399" t="s">
        <v>61</v>
      </c>
    </row>
    <row r="1400" spans="1:19" x14ac:dyDescent="0.35">
      <c r="A1400" t="s">
        <v>1529</v>
      </c>
      <c r="B1400" s="5">
        <v>45931</v>
      </c>
      <c r="C1400" t="s">
        <v>114</v>
      </c>
      <c r="D1400" t="s">
        <v>64</v>
      </c>
      <c r="E1400">
        <v>1</v>
      </c>
      <c r="F1400" s="6">
        <v>420</v>
      </c>
      <c r="G1400" s="7">
        <v>2</v>
      </c>
      <c r="H1400" s="6">
        <v>411.6</v>
      </c>
      <c r="I1400">
        <v>0</v>
      </c>
      <c r="J1400" s="6">
        <v>0</v>
      </c>
      <c r="K1400">
        <v>1</v>
      </c>
      <c r="L1400" s="6">
        <v>411.6</v>
      </c>
      <c r="M1400" s="6">
        <v>328.24</v>
      </c>
      <c r="N1400" s="6">
        <v>83.36</v>
      </c>
      <c r="O1400" s="6">
        <v>30.52</v>
      </c>
      <c r="P1400" s="6">
        <v>52.84</v>
      </c>
      <c r="Q1400" t="s">
        <v>65</v>
      </c>
      <c r="R1400" t="s">
        <v>86</v>
      </c>
      <c r="S1400" t="s">
        <v>67</v>
      </c>
    </row>
    <row r="1401" spans="1:19" x14ac:dyDescent="0.35">
      <c r="A1401" t="s">
        <v>1530</v>
      </c>
      <c r="B1401" s="5">
        <v>46006</v>
      </c>
      <c r="C1401" t="s">
        <v>125</v>
      </c>
      <c r="D1401" t="s">
        <v>85</v>
      </c>
      <c r="E1401">
        <v>3</v>
      </c>
      <c r="F1401" s="6">
        <v>125</v>
      </c>
      <c r="G1401" s="7">
        <v>5</v>
      </c>
      <c r="H1401" s="6">
        <v>356.25</v>
      </c>
      <c r="I1401">
        <v>0</v>
      </c>
      <c r="J1401" s="6">
        <v>0</v>
      </c>
      <c r="K1401">
        <v>3</v>
      </c>
      <c r="L1401" s="6">
        <v>356.25</v>
      </c>
      <c r="M1401" s="6">
        <v>297.97000000000003</v>
      </c>
      <c r="N1401" s="6">
        <v>58.28</v>
      </c>
      <c r="O1401" s="6">
        <v>39.950000000000003</v>
      </c>
      <c r="P1401" s="6">
        <v>18.329999999999998</v>
      </c>
      <c r="Q1401" t="s">
        <v>59</v>
      </c>
      <c r="R1401" t="s">
        <v>86</v>
      </c>
      <c r="S1401" t="s">
        <v>61</v>
      </c>
    </row>
    <row r="1402" spans="1:19" x14ac:dyDescent="0.35">
      <c r="A1402" t="s">
        <v>1531</v>
      </c>
      <c r="B1402" s="5">
        <v>45930</v>
      </c>
      <c r="C1402" t="s">
        <v>69</v>
      </c>
      <c r="D1402" t="s">
        <v>70</v>
      </c>
      <c r="E1402">
        <v>4</v>
      </c>
      <c r="F1402" s="6">
        <v>210</v>
      </c>
      <c r="G1402" s="7">
        <v>2</v>
      </c>
      <c r="H1402" s="6">
        <v>823.2</v>
      </c>
      <c r="I1402">
        <v>0</v>
      </c>
      <c r="J1402" s="6">
        <v>0</v>
      </c>
      <c r="K1402">
        <v>4</v>
      </c>
      <c r="L1402" s="6">
        <v>823.2</v>
      </c>
      <c r="M1402" s="6">
        <v>519.07000000000005</v>
      </c>
      <c r="N1402" s="6">
        <v>304.13</v>
      </c>
      <c r="O1402" s="6">
        <v>57.54</v>
      </c>
      <c r="P1402" s="6">
        <v>246.59</v>
      </c>
      <c r="Q1402" t="s">
        <v>65</v>
      </c>
      <c r="R1402" t="s">
        <v>66</v>
      </c>
      <c r="S1402" t="s">
        <v>71</v>
      </c>
    </row>
    <row r="1403" spans="1:19" x14ac:dyDescent="0.35">
      <c r="A1403" t="s">
        <v>1532</v>
      </c>
      <c r="B1403" s="5">
        <v>45813</v>
      </c>
      <c r="C1403" t="s">
        <v>88</v>
      </c>
      <c r="D1403" t="s">
        <v>57</v>
      </c>
      <c r="E1403">
        <v>8</v>
      </c>
      <c r="F1403" s="6">
        <v>30</v>
      </c>
      <c r="G1403" s="7">
        <v>0</v>
      </c>
      <c r="H1403" s="6">
        <v>240</v>
      </c>
      <c r="I1403">
        <v>0</v>
      </c>
      <c r="J1403" s="6">
        <v>0</v>
      </c>
      <c r="K1403">
        <v>8</v>
      </c>
      <c r="L1403" s="6">
        <v>240</v>
      </c>
      <c r="M1403" s="6">
        <v>173.4</v>
      </c>
      <c r="N1403" s="6">
        <v>66.599999999999994</v>
      </c>
      <c r="O1403" s="6">
        <v>21.48</v>
      </c>
      <c r="P1403" s="6">
        <v>45.12</v>
      </c>
      <c r="Q1403" t="s">
        <v>65</v>
      </c>
      <c r="R1403" t="s">
        <v>60</v>
      </c>
      <c r="S1403" t="s">
        <v>71</v>
      </c>
    </row>
    <row r="1404" spans="1:19" x14ac:dyDescent="0.35">
      <c r="A1404" t="s">
        <v>1533</v>
      </c>
      <c r="B1404" s="5">
        <v>45888</v>
      </c>
      <c r="C1404" t="s">
        <v>90</v>
      </c>
      <c r="D1404" t="s">
        <v>70</v>
      </c>
      <c r="E1404">
        <v>5</v>
      </c>
      <c r="F1404" s="6">
        <v>38</v>
      </c>
      <c r="G1404" s="7">
        <v>0</v>
      </c>
      <c r="H1404" s="6">
        <v>190</v>
      </c>
      <c r="I1404">
        <v>0</v>
      </c>
      <c r="J1404" s="6">
        <v>0</v>
      </c>
      <c r="K1404">
        <v>5</v>
      </c>
      <c r="L1404" s="6">
        <v>190</v>
      </c>
      <c r="M1404" s="6">
        <v>146.82</v>
      </c>
      <c r="N1404" s="6">
        <v>43.18</v>
      </c>
      <c r="O1404" s="6">
        <v>14.04</v>
      </c>
      <c r="P1404" s="6">
        <v>29.14</v>
      </c>
      <c r="Q1404" t="s">
        <v>75</v>
      </c>
      <c r="R1404" t="s">
        <v>60</v>
      </c>
      <c r="S1404" t="s">
        <v>67</v>
      </c>
    </row>
    <row r="1405" spans="1:19" x14ac:dyDescent="0.35">
      <c r="A1405" t="s">
        <v>1534</v>
      </c>
      <c r="B1405" s="5">
        <v>45919</v>
      </c>
      <c r="C1405" t="s">
        <v>95</v>
      </c>
      <c r="D1405" t="s">
        <v>64</v>
      </c>
      <c r="E1405">
        <v>1</v>
      </c>
      <c r="F1405" s="6">
        <v>52</v>
      </c>
      <c r="G1405" s="7">
        <v>0</v>
      </c>
      <c r="H1405" s="6">
        <v>52</v>
      </c>
      <c r="I1405">
        <v>0</v>
      </c>
      <c r="J1405" s="6">
        <v>0</v>
      </c>
      <c r="K1405">
        <v>1</v>
      </c>
      <c r="L1405" s="6">
        <v>52</v>
      </c>
      <c r="M1405" s="6">
        <v>38.020000000000003</v>
      </c>
      <c r="N1405" s="6">
        <v>13.98</v>
      </c>
      <c r="O1405" s="6">
        <v>5.39</v>
      </c>
      <c r="P1405" s="6">
        <v>8.59</v>
      </c>
      <c r="Q1405" t="s">
        <v>59</v>
      </c>
      <c r="R1405" t="s">
        <v>82</v>
      </c>
      <c r="S1405" t="s">
        <v>67</v>
      </c>
    </row>
    <row r="1406" spans="1:19" x14ac:dyDescent="0.35">
      <c r="A1406" t="s">
        <v>1535</v>
      </c>
      <c r="B1406" s="5">
        <v>45847</v>
      </c>
      <c r="C1406" t="s">
        <v>97</v>
      </c>
      <c r="D1406" t="s">
        <v>57</v>
      </c>
      <c r="E1406">
        <v>1</v>
      </c>
      <c r="F1406" s="6">
        <v>55</v>
      </c>
      <c r="G1406" s="7">
        <v>0</v>
      </c>
      <c r="H1406" s="6">
        <v>55</v>
      </c>
      <c r="I1406">
        <v>0</v>
      </c>
      <c r="J1406" s="6">
        <v>0</v>
      </c>
      <c r="K1406">
        <v>1</v>
      </c>
      <c r="L1406" s="6">
        <v>55</v>
      </c>
      <c r="M1406" s="6">
        <v>36.57</v>
      </c>
      <c r="N1406" s="6">
        <v>18.43</v>
      </c>
      <c r="O1406" s="6">
        <v>4.84</v>
      </c>
      <c r="P1406" s="6">
        <v>13.59</v>
      </c>
      <c r="Q1406" t="s">
        <v>81</v>
      </c>
      <c r="R1406" t="s">
        <v>82</v>
      </c>
      <c r="S1406" t="s">
        <v>71</v>
      </c>
    </row>
    <row r="1407" spans="1:19" x14ac:dyDescent="0.35">
      <c r="A1407" t="s">
        <v>1536</v>
      </c>
      <c r="B1407" s="5">
        <v>45658</v>
      </c>
      <c r="C1407" t="s">
        <v>107</v>
      </c>
      <c r="D1407" t="s">
        <v>74</v>
      </c>
      <c r="E1407">
        <v>10</v>
      </c>
      <c r="F1407" s="6">
        <v>125</v>
      </c>
      <c r="G1407" s="7">
        <v>15</v>
      </c>
      <c r="H1407" s="6">
        <v>1062.5</v>
      </c>
      <c r="I1407">
        <v>1</v>
      </c>
      <c r="J1407" s="6">
        <v>106.25</v>
      </c>
      <c r="K1407">
        <v>9</v>
      </c>
      <c r="L1407" s="6">
        <v>956.25</v>
      </c>
      <c r="M1407" s="6">
        <v>725.9</v>
      </c>
      <c r="N1407" s="6">
        <v>230.35</v>
      </c>
      <c r="O1407" s="6">
        <v>120.68</v>
      </c>
      <c r="P1407" s="6">
        <v>109.67</v>
      </c>
      <c r="Q1407" t="s">
        <v>75</v>
      </c>
      <c r="R1407" t="s">
        <v>86</v>
      </c>
      <c r="S1407" t="s">
        <v>76</v>
      </c>
    </row>
    <row r="1408" spans="1:19" x14ac:dyDescent="0.35">
      <c r="A1408" t="s">
        <v>1537</v>
      </c>
      <c r="B1408" s="5">
        <v>45992</v>
      </c>
      <c r="C1408" t="s">
        <v>88</v>
      </c>
      <c r="D1408" t="s">
        <v>57</v>
      </c>
      <c r="E1408">
        <v>2</v>
      </c>
      <c r="F1408" s="6">
        <v>30</v>
      </c>
      <c r="G1408" s="7">
        <v>0</v>
      </c>
      <c r="H1408" s="6">
        <v>60</v>
      </c>
      <c r="I1408">
        <v>0</v>
      </c>
      <c r="J1408" s="6">
        <v>0</v>
      </c>
      <c r="K1408">
        <v>2</v>
      </c>
      <c r="L1408" s="6">
        <v>60</v>
      </c>
      <c r="M1408" s="6">
        <v>41.56</v>
      </c>
      <c r="N1408" s="6">
        <v>18.440000000000001</v>
      </c>
      <c r="O1408" s="6">
        <v>5.0999999999999996</v>
      </c>
      <c r="P1408" s="6">
        <v>13.34</v>
      </c>
      <c r="Q1408" t="s">
        <v>65</v>
      </c>
      <c r="R1408" t="s">
        <v>199</v>
      </c>
      <c r="S1408" t="s">
        <v>61</v>
      </c>
    </row>
    <row r="1409" spans="1:19" x14ac:dyDescent="0.35">
      <c r="A1409" t="s">
        <v>1538</v>
      </c>
      <c r="B1409" s="5">
        <v>45829</v>
      </c>
      <c r="C1409" t="s">
        <v>90</v>
      </c>
      <c r="D1409" t="s">
        <v>70</v>
      </c>
      <c r="E1409">
        <v>1</v>
      </c>
      <c r="F1409" s="6">
        <v>38</v>
      </c>
      <c r="G1409" s="7">
        <v>10</v>
      </c>
      <c r="H1409" s="6">
        <v>34.200000000000003</v>
      </c>
      <c r="I1409">
        <v>0</v>
      </c>
      <c r="J1409" s="6">
        <v>0</v>
      </c>
      <c r="K1409">
        <v>1</v>
      </c>
      <c r="L1409" s="6">
        <v>34.200000000000003</v>
      </c>
      <c r="M1409" s="6">
        <v>23.37</v>
      </c>
      <c r="N1409" s="6">
        <v>10.83</v>
      </c>
      <c r="O1409" s="6">
        <v>1.96</v>
      </c>
      <c r="P1409" s="6">
        <v>8.8699999999999992</v>
      </c>
      <c r="Q1409" t="s">
        <v>59</v>
      </c>
      <c r="R1409" t="s">
        <v>86</v>
      </c>
      <c r="S1409" t="s">
        <v>76</v>
      </c>
    </row>
    <row r="1410" spans="1:19" x14ac:dyDescent="0.35">
      <c r="A1410" t="s">
        <v>1539</v>
      </c>
      <c r="B1410" s="5">
        <v>45771</v>
      </c>
      <c r="C1410" t="s">
        <v>90</v>
      </c>
      <c r="D1410" t="s">
        <v>70</v>
      </c>
      <c r="E1410">
        <v>2</v>
      </c>
      <c r="F1410" s="6">
        <v>38</v>
      </c>
      <c r="G1410" s="7">
        <v>0</v>
      </c>
      <c r="H1410" s="6">
        <v>76</v>
      </c>
      <c r="I1410">
        <v>0</v>
      </c>
      <c r="J1410" s="6">
        <v>0</v>
      </c>
      <c r="K1410">
        <v>2</v>
      </c>
      <c r="L1410" s="6">
        <v>76</v>
      </c>
      <c r="M1410" s="6">
        <v>51.58</v>
      </c>
      <c r="N1410" s="6">
        <v>24.42</v>
      </c>
      <c r="O1410" s="6">
        <v>4.22</v>
      </c>
      <c r="P1410" s="6">
        <v>20.2</v>
      </c>
      <c r="Q1410" t="s">
        <v>59</v>
      </c>
      <c r="R1410" t="s">
        <v>82</v>
      </c>
      <c r="S1410" t="s">
        <v>61</v>
      </c>
    </row>
    <row r="1411" spans="1:19" x14ac:dyDescent="0.35">
      <c r="A1411" t="s">
        <v>1540</v>
      </c>
      <c r="B1411" s="5">
        <v>45709</v>
      </c>
      <c r="C1411" t="s">
        <v>109</v>
      </c>
      <c r="D1411" t="s">
        <v>85</v>
      </c>
      <c r="E1411">
        <v>4</v>
      </c>
      <c r="F1411" s="6">
        <v>180</v>
      </c>
      <c r="G1411" s="7">
        <v>0</v>
      </c>
      <c r="H1411" s="6">
        <v>720</v>
      </c>
      <c r="I1411">
        <v>0</v>
      </c>
      <c r="J1411" s="6">
        <v>0</v>
      </c>
      <c r="K1411">
        <v>4</v>
      </c>
      <c r="L1411" s="6">
        <v>720</v>
      </c>
      <c r="M1411" s="6">
        <v>455.63</v>
      </c>
      <c r="N1411" s="6">
        <v>264.37</v>
      </c>
      <c r="O1411" s="6">
        <v>38.729999999999997</v>
      </c>
      <c r="P1411" s="6">
        <v>225.64</v>
      </c>
      <c r="Q1411" t="s">
        <v>81</v>
      </c>
      <c r="R1411" t="s">
        <v>60</v>
      </c>
      <c r="S1411" t="s">
        <v>71</v>
      </c>
    </row>
    <row r="1412" spans="1:19" x14ac:dyDescent="0.35">
      <c r="A1412" t="s">
        <v>1541</v>
      </c>
      <c r="B1412" s="5">
        <v>45792</v>
      </c>
      <c r="C1412" t="s">
        <v>100</v>
      </c>
      <c r="D1412" t="s">
        <v>64</v>
      </c>
      <c r="E1412">
        <v>3</v>
      </c>
      <c r="F1412" s="6">
        <v>310</v>
      </c>
      <c r="G1412" s="7">
        <v>5</v>
      </c>
      <c r="H1412" s="6">
        <v>883.5</v>
      </c>
      <c r="I1412">
        <v>1</v>
      </c>
      <c r="J1412" s="6">
        <v>294.5</v>
      </c>
      <c r="K1412">
        <v>2</v>
      </c>
      <c r="L1412" s="6">
        <v>589</v>
      </c>
      <c r="M1412" s="6">
        <v>371.17</v>
      </c>
      <c r="N1412" s="6">
        <v>217.83</v>
      </c>
      <c r="O1412" s="6">
        <v>68.760000000000005</v>
      </c>
      <c r="P1412" s="6">
        <v>149.07</v>
      </c>
      <c r="Q1412" t="s">
        <v>75</v>
      </c>
      <c r="R1412" t="s">
        <v>82</v>
      </c>
      <c r="S1412" t="s">
        <v>67</v>
      </c>
    </row>
    <row r="1413" spans="1:19" x14ac:dyDescent="0.35">
      <c r="A1413" t="s">
        <v>1542</v>
      </c>
      <c r="B1413" s="5">
        <v>45805</v>
      </c>
      <c r="C1413" t="s">
        <v>100</v>
      </c>
      <c r="D1413" t="s">
        <v>64</v>
      </c>
      <c r="E1413">
        <v>2</v>
      </c>
      <c r="F1413" s="6">
        <v>310</v>
      </c>
      <c r="G1413" s="7">
        <v>0</v>
      </c>
      <c r="H1413" s="6">
        <v>620</v>
      </c>
      <c r="I1413">
        <v>0</v>
      </c>
      <c r="J1413" s="6">
        <v>0</v>
      </c>
      <c r="K1413">
        <v>2</v>
      </c>
      <c r="L1413" s="6">
        <v>620</v>
      </c>
      <c r="M1413" s="6">
        <v>466.01</v>
      </c>
      <c r="N1413" s="6">
        <v>153.99</v>
      </c>
      <c r="O1413" s="6">
        <v>32.15</v>
      </c>
      <c r="P1413" s="6">
        <v>121.84</v>
      </c>
      <c r="Q1413" t="s">
        <v>75</v>
      </c>
      <c r="R1413" t="s">
        <v>82</v>
      </c>
      <c r="S1413" t="s">
        <v>67</v>
      </c>
    </row>
    <row r="1414" spans="1:19" x14ac:dyDescent="0.35">
      <c r="A1414" t="s">
        <v>1543</v>
      </c>
      <c r="B1414" s="5">
        <v>45953</v>
      </c>
      <c r="C1414" t="s">
        <v>88</v>
      </c>
      <c r="D1414" t="s">
        <v>57</v>
      </c>
      <c r="E1414">
        <v>10</v>
      </c>
      <c r="F1414" s="6">
        <v>30</v>
      </c>
      <c r="G1414" s="7">
        <v>0</v>
      </c>
      <c r="H1414" s="6">
        <v>300</v>
      </c>
      <c r="I1414">
        <v>0</v>
      </c>
      <c r="J1414" s="6">
        <v>0</v>
      </c>
      <c r="K1414">
        <v>10</v>
      </c>
      <c r="L1414" s="6">
        <v>300</v>
      </c>
      <c r="M1414" s="6">
        <v>243.78</v>
      </c>
      <c r="N1414" s="6">
        <v>56.22</v>
      </c>
      <c r="O1414" s="6">
        <v>22.14</v>
      </c>
      <c r="P1414" s="6">
        <v>34.08</v>
      </c>
      <c r="Q1414" t="s">
        <v>81</v>
      </c>
      <c r="R1414" t="s">
        <v>60</v>
      </c>
      <c r="S1414" t="s">
        <v>61</v>
      </c>
    </row>
    <row r="1415" spans="1:19" x14ac:dyDescent="0.35">
      <c r="A1415" t="s">
        <v>1544</v>
      </c>
      <c r="B1415" s="5">
        <v>45979</v>
      </c>
      <c r="C1415" t="s">
        <v>97</v>
      </c>
      <c r="D1415" t="s">
        <v>57</v>
      </c>
      <c r="E1415">
        <v>5</v>
      </c>
      <c r="F1415" s="6">
        <v>55</v>
      </c>
      <c r="G1415" s="7">
        <v>2</v>
      </c>
      <c r="H1415" s="6">
        <v>269.5</v>
      </c>
      <c r="I1415">
        <v>0</v>
      </c>
      <c r="J1415" s="6">
        <v>0</v>
      </c>
      <c r="K1415">
        <v>5</v>
      </c>
      <c r="L1415" s="6">
        <v>269.5</v>
      </c>
      <c r="M1415" s="6">
        <v>196.52</v>
      </c>
      <c r="N1415" s="6">
        <v>72.98</v>
      </c>
      <c r="O1415" s="6">
        <v>33.89</v>
      </c>
      <c r="P1415" s="6">
        <v>39.090000000000003</v>
      </c>
      <c r="Q1415" t="s">
        <v>75</v>
      </c>
      <c r="R1415" t="s">
        <v>82</v>
      </c>
      <c r="S1415" t="s">
        <v>76</v>
      </c>
    </row>
    <row r="1416" spans="1:19" x14ac:dyDescent="0.35">
      <c r="A1416" t="s">
        <v>1545</v>
      </c>
      <c r="B1416" s="5">
        <v>45863</v>
      </c>
      <c r="C1416" t="s">
        <v>496</v>
      </c>
      <c r="D1416" t="s">
        <v>85</v>
      </c>
      <c r="E1416">
        <v>1</v>
      </c>
      <c r="F1416" s="6">
        <v>125</v>
      </c>
      <c r="G1416" s="7">
        <v>5</v>
      </c>
      <c r="H1416" s="6">
        <v>118.75</v>
      </c>
      <c r="I1416">
        <v>0</v>
      </c>
      <c r="J1416" s="6">
        <v>0</v>
      </c>
      <c r="K1416">
        <v>1</v>
      </c>
      <c r="L1416" s="6">
        <v>118.75</v>
      </c>
      <c r="M1416" s="6">
        <v>91.74</v>
      </c>
      <c r="N1416" s="6">
        <v>27.01</v>
      </c>
      <c r="O1416" s="6">
        <v>13.22</v>
      </c>
      <c r="P1416" s="6">
        <v>13.79</v>
      </c>
      <c r="Q1416" t="s">
        <v>81</v>
      </c>
      <c r="R1416" t="s">
        <v>82</v>
      </c>
      <c r="S1416" t="s">
        <v>76</v>
      </c>
    </row>
    <row r="1417" spans="1:19" x14ac:dyDescent="0.35">
      <c r="A1417" t="s">
        <v>1546</v>
      </c>
      <c r="B1417" s="5">
        <v>45793</v>
      </c>
      <c r="C1417" t="s">
        <v>114</v>
      </c>
      <c r="D1417" t="s">
        <v>64</v>
      </c>
      <c r="E1417">
        <v>1</v>
      </c>
      <c r="F1417" s="6">
        <v>420</v>
      </c>
      <c r="G1417" s="7">
        <v>10</v>
      </c>
      <c r="H1417" s="6">
        <v>378</v>
      </c>
      <c r="I1417">
        <v>0</v>
      </c>
      <c r="J1417" s="6">
        <v>0</v>
      </c>
      <c r="K1417">
        <v>1</v>
      </c>
      <c r="L1417" s="6">
        <v>378</v>
      </c>
      <c r="M1417" s="6">
        <v>300.56</v>
      </c>
      <c r="N1417" s="6">
        <v>77.44</v>
      </c>
      <c r="O1417" s="6">
        <v>36.01</v>
      </c>
      <c r="P1417" s="6">
        <v>41.43</v>
      </c>
      <c r="Q1417" t="s">
        <v>81</v>
      </c>
      <c r="R1417" t="s">
        <v>60</v>
      </c>
      <c r="S1417" t="s">
        <v>71</v>
      </c>
    </row>
    <row r="1418" spans="1:19" x14ac:dyDescent="0.35">
      <c r="A1418" t="s">
        <v>1547</v>
      </c>
      <c r="B1418" s="5">
        <v>45786</v>
      </c>
      <c r="C1418" t="s">
        <v>117</v>
      </c>
      <c r="D1418" t="s">
        <v>74</v>
      </c>
      <c r="E1418">
        <v>2</v>
      </c>
      <c r="F1418" s="6">
        <v>95</v>
      </c>
      <c r="G1418" s="7">
        <v>0</v>
      </c>
      <c r="H1418" s="6">
        <v>190</v>
      </c>
      <c r="I1418">
        <v>0</v>
      </c>
      <c r="J1418" s="6">
        <v>0</v>
      </c>
      <c r="K1418">
        <v>2</v>
      </c>
      <c r="L1418" s="6">
        <v>190</v>
      </c>
      <c r="M1418" s="6">
        <v>135.27000000000001</v>
      </c>
      <c r="N1418" s="6">
        <v>54.73</v>
      </c>
      <c r="O1418" s="6">
        <v>15.02</v>
      </c>
      <c r="P1418" s="6">
        <v>39.71</v>
      </c>
      <c r="Q1418" t="s">
        <v>59</v>
      </c>
      <c r="R1418" t="s">
        <v>60</v>
      </c>
      <c r="S1418" t="s">
        <v>61</v>
      </c>
    </row>
    <row r="1419" spans="1:19" x14ac:dyDescent="0.35">
      <c r="A1419" t="s">
        <v>1548</v>
      </c>
      <c r="B1419" s="5">
        <v>45748</v>
      </c>
      <c r="C1419" t="s">
        <v>97</v>
      </c>
      <c r="D1419" t="s">
        <v>57</v>
      </c>
      <c r="E1419">
        <v>1</v>
      </c>
      <c r="F1419" s="6">
        <v>55</v>
      </c>
      <c r="G1419" s="7">
        <v>10</v>
      </c>
      <c r="H1419" s="6">
        <v>49.5</v>
      </c>
      <c r="I1419">
        <v>1</v>
      </c>
      <c r="J1419" s="6">
        <v>49.5</v>
      </c>
      <c r="K1419">
        <v>0</v>
      </c>
      <c r="L1419" s="6">
        <v>0</v>
      </c>
      <c r="M1419" s="6">
        <v>0</v>
      </c>
      <c r="N1419" s="6">
        <v>0</v>
      </c>
      <c r="O1419" s="6">
        <v>0</v>
      </c>
      <c r="P1419" s="6">
        <v>0</v>
      </c>
      <c r="Q1419" t="s">
        <v>65</v>
      </c>
      <c r="R1419" t="s">
        <v>86</v>
      </c>
      <c r="S1419" t="s">
        <v>61</v>
      </c>
    </row>
    <row r="1420" spans="1:19" x14ac:dyDescent="0.35">
      <c r="A1420" t="s">
        <v>1549</v>
      </c>
      <c r="B1420" s="5">
        <v>45789</v>
      </c>
      <c r="C1420" t="s">
        <v>73</v>
      </c>
      <c r="D1420" t="s">
        <v>74</v>
      </c>
      <c r="E1420">
        <v>5</v>
      </c>
      <c r="F1420" s="6">
        <v>280</v>
      </c>
      <c r="G1420" s="7">
        <v>15</v>
      </c>
      <c r="H1420" s="6">
        <v>1190</v>
      </c>
      <c r="I1420">
        <v>0</v>
      </c>
      <c r="J1420" s="6">
        <v>0</v>
      </c>
      <c r="K1420">
        <v>5</v>
      </c>
      <c r="L1420" s="6">
        <v>1190</v>
      </c>
      <c r="M1420" s="6">
        <v>829.21</v>
      </c>
      <c r="N1420" s="6">
        <v>360.79</v>
      </c>
      <c r="O1420" s="6">
        <v>93.85</v>
      </c>
      <c r="P1420" s="6">
        <v>266.94</v>
      </c>
      <c r="Q1420" t="s">
        <v>59</v>
      </c>
      <c r="R1420" t="s">
        <v>60</v>
      </c>
      <c r="S1420" t="s">
        <v>71</v>
      </c>
    </row>
    <row r="1421" spans="1:19" x14ac:dyDescent="0.35">
      <c r="A1421" t="s">
        <v>1550</v>
      </c>
      <c r="B1421" s="5">
        <v>45683</v>
      </c>
      <c r="C1421" t="s">
        <v>95</v>
      </c>
      <c r="D1421" t="s">
        <v>64</v>
      </c>
      <c r="E1421">
        <v>2</v>
      </c>
      <c r="F1421" s="6">
        <v>52</v>
      </c>
      <c r="G1421" s="7">
        <v>5</v>
      </c>
      <c r="H1421" s="6">
        <v>98.8</v>
      </c>
      <c r="I1421">
        <v>0</v>
      </c>
      <c r="J1421" s="6">
        <v>0</v>
      </c>
      <c r="K1421">
        <v>2</v>
      </c>
      <c r="L1421" s="6">
        <v>98.8</v>
      </c>
      <c r="M1421" s="6">
        <v>71.209999999999994</v>
      </c>
      <c r="N1421" s="6">
        <v>27.59</v>
      </c>
      <c r="O1421" s="6">
        <v>7.7</v>
      </c>
      <c r="P1421" s="6">
        <v>19.89</v>
      </c>
      <c r="Q1421" t="s">
        <v>65</v>
      </c>
      <c r="R1421" t="s">
        <v>82</v>
      </c>
      <c r="S1421" t="s">
        <v>61</v>
      </c>
    </row>
    <row r="1422" spans="1:19" x14ac:dyDescent="0.35">
      <c r="A1422" t="s">
        <v>1551</v>
      </c>
      <c r="B1422" s="5">
        <v>45820</v>
      </c>
      <c r="C1422" t="s">
        <v>109</v>
      </c>
      <c r="D1422" t="s">
        <v>85</v>
      </c>
      <c r="E1422">
        <v>1</v>
      </c>
      <c r="F1422" s="6">
        <v>180</v>
      </c>
      <c r="G1422" s="7">
        <v>0</v>
      </c>
      <c r="H1422" s="6">
        <v>180</v>
      </c>
      <c r="I1422">
        <v>0</v>
      </c>
      <c r="J1422" s="6">
        <v>0</v>
      </c>
      <c r="K1422">
        <v>1</v>
      </c>
      <c r="L1422" s="6">
        <v>180</v>
      </c>
      <c r="M1422" s="6">
        <v>117.44</v>
      </c>
      <c r="N1422" s="6">
        <v>62.56</v>
      </c>
      <c r="O1422" s="6">
        <v>11.75</v>
      </c>
      <c r="P1422" s="6">
        <v>50.81</v>
      </c>
      <c r="Q1422" t="s">
        <v>75</v>
      </c>
      <c r="R1422" t="s">
        <v>86</v>
      </c>
      <c r="S1422" t="s">
        <v>61</v>
      </c>
    </row>
    <row r="1423" spans="1:19" x14ac:dyDescent="0.35">
      <c r="A1423" t="s">
        <v>1552</v>
      </c>
      <c r="B1423" s="5">
        <v>45710</v>
      </c>
      <c r="C1423" t="s">
        <v>78</v>
      </c>
      <c r="D1423" t="s">
        <v>79</v>
      </c>
      <c r="E1423">
        <v>1</v>
      </c>
      <c r="F1423" s="6">
        <v>120</v>
      </c>
      <c r="G1423" s="7">
        <v>0</v>
      </c>
      <c r="H1423" s="6">
        <v>120</v>
      </c>
      <c r="I1423">
        <v>0</v>
      </c>
      <c r="J1423" s="6">
        <v>0</v>
      </c>
      <c r="K1423">
        <v>1</v>
      </c>
      <c r="L1423" s="6">
        <v>120</v>
      </c>
      <c r="M1423" s="6">
        <v>96.16</v>
      </c>
      <c r="N1423" s="6">
        <v>23.84</v>
      </c>
      <c r="O1423" s="6">
        <v>12.61</v>
      </c>
      <c r="P1423" s="6">
        <v>11.23</v>
      </c>
      <c r="Q1423" t="s">
        <v>75</v>
      </c>
      <c r="R1423" t="s">
        <v>86</v>
      </c>
      <c r="S1423" t="s">
        <v>67</v>
      </c>
    </row>
    <row r="1424" spans="1:19" x14ac:dyDescent="0.35">
      <c r="A1424" t="s">
        <v>1553</v>
      </c>
      <c r="B1424" s="5">
        <v>45752</v>
      </c>
      <c r="C1424" t="s">
        <v>63</v>
      </c>
      <c r="D1424" t="s">
        <v>64</v>
      </c>
      <c r="E1424">
        <v>3</v>
      </c>
      <c r="F1424" s="6">
        <v>145</v>
      </c>
      <c r="G1424" s="7">
        <v>0</v>
      </c>
      <c r="H1424" s="6">
        <v>435</v>
      </c>
      <c r="I1424">
        <v>0</v>
      </c>
      <c r="J1424" s="6">
        <v>0</v>
      </c>
      <c r="K1424">
        <v>3</v>
      </c>
      <c r="L1424" s="6">
        <v>435</v>
      </c>
      <c r="M1424" s="6">
        <v>372.1</v>
      </c>
      <c r="N1424" s="6">
        <v>62.9</v>
      </c>
      <c r="O1424" s="6">
        <v>43.11</v>
      </c>
      <c r="P1424" s="6">
        <v>19.79</v>
      </c>
      <c r="Q1424" t="s">
        <v>75</v>
      </c>
      <c r="R1424" t="s">
        <v>66</v>
      </c>
      <c r="S1424" t="s">
        <v>71</v>
      </c>
    </row>
    <row r="1425" spans="1:19" x14ac:dyDescent="0.35">
      <c r="A1425" t="s">
        <v>1554</v>
      </c>
      <c r="B1425" s="5">
        <v>45952</v>
      </c>
      <c r="C1425" t="s">
        <v>1071</v>
      </c>
      <c r="D1425" t="s">
        <v>105</v>
      </c>
      <c r="E1425">
        <v>1</v>
      </c>
      <c r="F1425" s="6">
        <v>65</v>
      </c>
      <c r="G1425" s="7">
        <v>5</v>
      </c>
      <c r="H1425" s="6">
        <v>61.75</v>
      </c>
      <c r="I1425">
        <v>0</v>
      </c>
      <c r="J1425" s="6">
        <v>0</v>
      </c>
      <c r="K1425">
        <v>1</v>
      </c>
      <c r="L1425" s="6">
        <v>61.75</v>
      </c>
      <c r="M1425" s="6">
        <v>42.27</v>
      </c>
      <c r="N1425" s="6">
        <v>19.48</v>
      </c>
      <c r="O1425" s="6">
        <v>7.45</v>
      </c>
      <c r="P1425" s="6">
        <v>12.03</v>
      </c>
      <c r="Q1425" t="s">
        <v>65</v>
      </c>
      <c r="R1425" t="s">
        <v>86</v>
      </c>
      <c r="S1425" t="s">
        <v>71</v>
      </c>
    </row>
    <row r="1426" spans="1:19" x14ac:dyDescent="0.35">
      <c r="A1426" t="s">
        <v>1555</v>
      </c>
      <c r="B1426" s="5">
        <v>45954</v>
      </c>
      <c r="C1426" t="s">
        <v>97</v>
      </c>
      <c r="D1426" t="s">
        <v>57</v>
      </c>
      <c r="E1426">
        <v>2</v>
      </c>
      <c r="F1426" s="6">
        <v>55</v>
      </c>
      <c r="G1426" s="7">
        <v>5</v>
      </c>
      <c r="H1426" s="6">
        <v>104.5</v>
      </c>
      <c r="I1426">
        <v>0</v>
      </c>
      <c r="J1426" s="6">
        <v>0</v>
      </c>
      <c r="K1426">
        <v>2</v>
      </c>
      <c r="L1426" s="6">
        <v>104.5</v>
      </c>
      <c r="M1426" s="6">
        <v>79.59</v>
      </c>
      <c r="N1426" s="6">
        <v>24.91</v>
      </c>
      <c r="O1426" s="6">
        <v>10.08</v>
      </c>
      <c r="P1426" s="6">
        <v>14.83</v>
      </c>
      <c r="Q1426" t="s">
        <v>65</v>
      </c>
      <c r="R1426" t="s">
        <v>82</v>
      </c>
      <c r="S1426" t="s">
        <v>71</v>
      </c>
    </row>
    <row r="1427" spans="1:19" x14ac:dyDescent="0.35">
      <c r="A1427" t="s">
        <v>1556</v>
      </c>
      <c r="B1427" s="5">
        <v>45986</v>
      </c>
      <c r="C1427" t="s">
        <v>63</v>
      </c>
      <c r="D1427" t="s">
        <v>64</v>
      </c>
      <c r="E1427">
        <v>1</v>
      </c>
      <c r="F1427" s="6">
        <v>145</v>
      </c>
      <c r="G1427" s="7">
        <v>5</v>
      </c>
      <c r="H1427" s="6">
        <v>137.75</v>
      </c>
      <c r="I1427">
        <v>0</v>
      </c>
      <c r="J1427" s="6">
        <v>0</v>
      </c>
      <c r="K1427">
        <v>1</v>
      </c>
      <c r="L1427" s="6">
        <v>137.75</v>
      </c>
      <c r="M1427" s="6">
        <v>107.74</v>
      </c>
      <c r="N1427" s="6">
        <v>30.01</v>
      </c>
      <c r="O1427" s="6">
        <v>14.42</v>
      </c>
      <c r="P1427" s="6">
        <v>15.59</v>
      </c>
      <c r="Q1427" t="s">
        <v>59</v>
      </c>
      <c r="R1427" t="s">
        <v>60</v>
      </c>
      <c r="S1427" t="s">
        <v>71</v>
      </c>
    </row>
    <row r="1428" spans="1:19" x14ac:dyDescent="0.35">
      <c r="A1428" t="s">
        <v>1557</v>
      </c>
      <c r="B1428" s="5">
        <v>45942</v>
      </c>
      <c r="C1428" t="s">
        <v>69</v>
      </c>
      <c r="D1428" t="s">
        <v>70</v>
      </c>
      <c r="E1428">
        <v>3</v>
      </c>
      <c r="F1428" s="6">
        <v>210</v>
      </c>
      <c r="G1428" s="7">
        <v>5</v>
      </c>
      <c r="H1428" s="6">
        <v>598.5</v>
      </c>
      <c r="I1428">
        <v>0</v>
      </c>
      <c r="J1428" s="6">
        <v>0</v>
      </c>
      <c r="K1428">
        <v>3</v>
      </c>
      <c r="L1428" s="6">
        <v>598.5</v>
      </c>
      <c r="M1428" s="6">
        <v>408.43</v>
      </c>
      <c r="N1428" s="6">
        <v>190.07</v>
      </c>
      <c r="O1428" s="6">
        <v>55.31</v>
      </c>
      <c r="P1428" s="6">
        <v>134.76</v>
      </c>
      <c r="Q1428" t="s">
        <v>59</v>
      </c>
      <c r="R1428" t="s">
        <v>86</v>
      </c>
      <c r="S1428" t="s">
        <v>67</v>
      </c>
    </row>
    <row r="1429" spans="1:19" x14ac:dyDescent="0.35">
      <c r="A1429" t="s">
        <v>1558</v>
      </c>
      <c r="B1429" s="5">
        <v>45894</v>
      </c>
      <c r="C1429" t="s">
        <v>63</v>
      </c>
      <c r="D1429" t="s">
        <v>64</v>
      </c>
      <c r="E1429">
        <v>4</v>
      </c>
      <c r="F1429" s="6">
        <v>145</v>
      </c>
      <c r="G1429" s="7">
        <v>0</v>
      </c>
      <c r="H1429" s="6">
        <v>580</v>
      </c>
      <c r="I1429">
        <v>0</v>
      </c>
      <c r="J1429" s="6">
        <v>0</v>
      </c>
      <c r="K1429">
        <v>4</v>
      </c>
      <c r="L1429" s="6">
        <v>580</v>
      </c>
      <c r="M1429" s="6">
        <v>422.1</v>
      </c>
      <c r="N1429" s="6">
        <v>157.9</v>
      </c>
      <c r="O1429" s="6">
        <v>66.5</v>
      </c>
      <c r="P1429" s="6">
        <v>91.4</v>
      </c>
      <c r="Q1429" t="s">
        <v>81</v>
      </c>
      <c r="R1429" t="s">
        <v>66</v>
      </c>
      <c r="S1429" t="s">
        <v>67</v>
      </c>
    </row>
    <row r="1430" spans="1:19" x14ac:dyDescent="0.35">
      <c r="A1430" t="s">
        <v>1559</v>
      </c>
      <c r="B1430" s="5">
        <v>45876</v>
      </c>
      <c r="C1430" t="s">
        <v>114</v>
      </c>
      <c r="D1430" t="s">
        <v>64</v>
      </c>
      <c r="E1430">
        <v>3</v>
      </c>
      <c r="F1430" s="6">
        <v>420</v>
      </c>
      <c r="G1430" s="7">
        <v>0</v>
      </c>
      <c r="H1430" s="6">
        <v>1260</v>
      </c>
      <c r="I1430">
        <v>0</v>
      </c>
      <c r="J1430" s="6">
        <v>0</v>
      </c>
      <c r="K1430">
        <v>3</v>
      </c>
      <c r="L1430" s="6">
        <v>1260</v>
      </c>
      <c r="M1430" s="6">
        <v>1062.56</v>
      </c>
      <c r="N1430" s="6">
        <v>197.44</v>
      </c>
      <c r="O1430" s="6">
        <v>142.21</v>
      </c>
      <c r="P1430" s="6">
        <v>55.23</v>
      </c>
      <c r="Q1430" t="s">
        <v>81</v>
      </c>
      <c r="R1430" t="s">
        <v>60</v>
      </c>
      <c r="S1430" t="s">
        <v>67</v>
      </c>
    </row>
    <row r="1431" spans="1:19" x14ac:dyDescent="0.35">
      <c r="A1431" t="s">
        <v>1560</v>
      </c>
      <c r="B1431" s="5">
        <v>45905</v>
      </c>
      <c r="C1431" t="s">
        <v>100</v>
      </c>
      <c r="D1431" t="s">
        <v>64</v>
      </c>
      <c r="E1431">
        <v>8</v>
      </c>
      <c r="F1431" s="6">
        <v>310</v>
      </c>
      <c r="G1431" s="7">
        <v>2</v>
      </c>
      <c r="H1431" s="6">
        <v>2430.4</v>
      </c>
      <c r="I1431">
        <v>0</v>
      </c>
      <c r="J1431" s="6">
        <v>0</v>
      </c>
      <c r="K1431">
        <v>8</v>
      </c>
      <c r="L1431" s="6">
        <v>2430.4</v>
      </c>
      <c r="M1431" s="6">
        <v>1830.11</v>
      </c>
      <c r="N1431" s="6">
        <v>600.29</v>
      </c>
      <c r="O1431" s="6">
        <v>202.69</v>
      </c>
      <c r="P1431" s="6">
        <v>397.6</v>
      </c>
      <c r="Q1431" t="s">
        <v>59</v>
      </c>
      <c r="R1431" t="s">
        <v>60</v>
      </c>
      <c r="S1431" t="s">
        <v>67</v>
      </c>
    </row>
    <row r="1432" spans="1:19" x14ac:dyDescent="0.35">
      <c r="A1432" t="s">
        <v>1561</v>
      </c>
      <c r="B1432" s="5">
        <v>45725</v>
      </c>
      <c r="C1432" t="s">
        <v>78</v>
      </c>
      <c r="D1432" t="s">
        <v>79</v>
      </c>
      <c r="E1432">
        <v>1</v>
      </c>
      <c r="F1432" s="6">
        <v>120</v>
      </c>
      <c r="G1432" s="7">
        <v>2</v>
      </c>
      <c r="H1432" s="6">
        <v>117.6</v>
      </c>
      <c r="I1432">
        <v>0</v>
      </c>
      <c r="J1432" s="6">
        <v>0</v>
      </c>
      <c r="K1432">
        <v>1</v>
      </c>
      <c r="L1432" s="6">
        <v>117.6</v>
      </c>
      <c r="M1432" s="6">
        <v>73.62</v>
      </c>
      <c r="N1432" s="6">
        <v>43.98</v>
      </c>
      <c r="O1432" s="6">
        <v>15.16</v>
      </c>
      <c r="P1432" s="6">
        <v>28.82</v>
      </c>
      <c r="Q1432" t="s">
        <v>65</v>
      </c>
      <c r="R1432" t="s">
        <v>86</v>
      </c>
      <c r="S1432" t="s">
        <v>61</v>
      </c>
    </row>
    <row r="1433" spans="1:19" x14ac:dyDescent="0.35">
      <c r="A1433" t="s">
        <v>1562</v>
      </c>
      <c r="B1433" s="5">
        <v>45689</v>
      </c>
      <c r="C1433" t="s">
        <v>121</v>
      </c>
      <c r="D1433" t="s">
        <v>683</v>
      </c>
      <c r="E1433">
        <v>3</v>
      </c>
      <c r="F1433" s="6">
        <v>110</v>
      </c>
      <c r="G1433" s="7">
        <v>2</v>
      </c>
      <c r="H1433" s="6">
        <v>323.39999999999998</v>
      </c>
      <c r="I1433">
        <v>0</v>
      </c>
      <c r="J1433" s="6">
        <v>0</v>
      </c>
      <c r="K1433">
        <v>3</v>
      </c>
      <c r="L1433" s="6">
        <v>323.39999999999998</v>
      </c>
      <c r="M1433" s="6">
        <v>211.58</v>
      </c>
      <c r="N1433" s="6">
        <v>111.82</v>
      </c>
      <c r="O1433" s="6">
        <v>24.43</v>
      </c>
      <c r="P1433" s="6">
        <v>87.39</v>
      </c>
      <c r="Q1433" t="s">
        <v>75</v>
      </c>
      <c r="R1433" t="s">
        <v>86</v>
      </c>
      <c r="S1433" t="s">
        <v>71</v>
      </c>
    </row>
    <row r="1434" spans="1:19" x14ac:dyDescent="0.35">
      <c r="A1434" t="s">
        <v>1563</v>
      </c>
      <c r="B1434" s="5">
        <v>45773</v>
      </c>
      <c r="C1434" t="s">
        <v>107</v>
      </c>
      <c r="D1434" t="s">
        <v>74</v>
      </c>
      <c r="E1434">
        <v>4</v>
      </c>
      <c r="F1434" s="6">
        <v>125</v>
      </c>
      <c r="G1434" s="7">
        <v>0</v>
      </c>
      <c r="H1434" s="6">
        <v>500</v>
      </c>
      <c r="I1434">
        <v>0</v>
      </c>
      <c r="J1434" s="6">
        <v>0</v>
      </c>
      <c r="K1434">
        <v>4</v>
      </c>
      <c r="L1434" s="6">
        <v>500</v>
      </c>
      <c r="M1434" s="6">
        <v>387.4</v>
      </c>
      <c r="N1434" s="6">
        <v>112.6</v>
      </c>
      <c r="O1434" s="6">
        <v>41.07</v>
      </c>
      <c r="P1434" s="6">
        <v>71.53</v>
      </c>
      <c r="Q1434" t="s">
        <v>59</v>
      </c>
      <c r="R1434" t="s">
        <v>86</v>
      </c>
      <c r="S1434" t="s">
        <v>67</v>
      </c>
    </row>
    <row r="1435" spans="1:19" x14ac:dyDescent="0.35">
      <c r="A1435" t="s">
        <v>1564</v>
      </c>
      <c r="B1435" s="5">
        <v>45759</v>
      </c>
      <c r="C1435" t="s">
        <v>97</v>
      </c>
      <c r="D1435" t="s">
        <v>57</v>
      </c>
      <c r="E1435">
        <v>2</v>
      </c>
      <c r="F1435" s="6">
        <v>55</v>
      </c>
      <c r="G1435" s="7">
        <v>5</v>
      </c>
      <c r="H1435" s="6">
        <v>104.5</v>
      </c>
      <c r="I1435">
        <v>0</v>
      </c>
      <c r="J1435" s="6">
        <v>0</v>
      </c>
      <c r="K1435">
        <v>2</v>
      </c>
      <c r="L1435" s="6">
        <v>104.5</v>
      </c>
      <c r="M1435" s="6">
        <v>69.37</v>
      </c>
      <c r="N1435" s="6">
        <v>35.130000000000003</v>
      </c>
      <c r="O1435" s="6">
        <v>11.3</v>
      </c>
      <c r="P1435" s="6">
        <v>23.83</v>
      </c>
      <c r="Q1435" t="s">
        <v>75</v>
      </c>
      <c r="R1435" t="s">
        <v>86</v>
      </c>
      <c r="S1435" t="s">
        <v>67</v>
      </c>
    </row>
    <row r="1436" spans="1:19" x14ac:dyDescent="0.35">
      <c r="A1436" t="s">
        <v>1565</v>
      </c>
      <c r="B1436" s="5">
        <v>45883</v>
      </c>
      <c r="C1436" t="s">
        <v>73</v>
      </c>
      <c r="D1436" t="s">
        <v>74</v>
      </c>
      <c r="E1436">
        <v>2</v>
      </c>
      <c r="F1436" s="6">
        <v>280</v>
      </c>
      <c r="G1436" s="7">
        <v>0</v>
      </c>
      <c r="H1436" s="6">
        <v>560</v>
      </c>
      <c r="I1436">
        <v>0</v>
      </c>
      <c r="J1436" s="6">
        <v>0</v>
      </c>
      <c r="K1436">
        <v>2</v>
      </c>
      <c r="L1436" s="6">
        <v>560</v>
      </c>
      <c r="M1436" s="6">
        <v>356.74</v>
      </c>
      <c r="N1436" s="6">
        <v>203.26</v>
      </c>
      <c r="O1436" s="6">
        <v>67.84</v>
      </c>
      <c r="P1436" s="6">
        <v>135.41999999999999</v>
      </c>
      <c r="Q1436" t="s">
        <v>65</v>
      </c>
      <c r="R1436" t="s">
        <v>60</v>
      </c>
      <c r="S1436" t="s">
        <v>71</v>
      </c>
    </row>
    <row r="1437" spans="1:19" x14ac:dyDescent="0.35">
      <c r="A1437" t="s">
        <v>1566</v>
      </c>
      <c r="B1437" s="5">
        <v>45828</v>
      </c>
      <c r="C1437" t="s">
        <v>90</v>
      </c>
      <c r="D1437" t="s">
        <v>683</v>
      </c>
      <c r="E1437">
        <v>8</v>
      </c>
      <c r="F1437" s="6">
        <v>38</v>
      </c>
      <c r="G1437" s="7">
        <v>5</v>
      </c>
      <c r="H1437" s="6">
        <v>288.8</v>
      </c>
      <c r="I1437">
        <v>0</v>
      </c>
      <c r="J1437" s="6">
        <v>0</v>
      </c>
      <c r="K1437">
        <v>8</v>
      </c>
      <c r="L1437" s="6">
        <v>288.8</v>
      </c>
      <c r="M1437" s="6">
        <v>226.84</v>
      </c>
      <c r="N1437" s="6">
        <v>61.96</v>
      </c>
      <c r="O1437" s="6">
        <v>32.9</v>
      </c>
      <c r="P1437" s="6">
        <v>29.06</v>
      </c>
      <c r="Q1437" t="s">
        <v>81</v>
      </c>
      <c r="R1437" t="s">
        <v>66</v>
      </c>
      <c r="S1437" t="s">
        <v>61</v>
      </c>
    </row>
    <row r="1438" spans="1:19" x14ac:dyDescent="0.35">
      <c r="A1438" t="s">
        <v>1567</v>
      </c>
      <c r="B1438" s="5">
        <v>45800</v>
      </c>
      <c r="C1438" t="s">
        <v>92</v>
      </c>
      <c r="D1438" t="s">
        <v>79</v>
      </c>
      <c r="E1438">
        <v>2</v>
      </c>
      <c r="F1438" s="6">
        <v>85</v>
      </c>
      <c r="G1438" s="7">
        <v>0</v>
      </c>
      <c r="H1438" s="6">
        <v>170</v>
      </c>
      <c r="I1438">
        <v>0</v>
      </c>
      <c r="J1438" s="6">
        <v>0</v>
      </c>
      <c r="K1438">
        <v>2</v>
      </c>
      <c r="L1438" s="6">
        <v>170</v>
      </c>
      <c r="M1438" s="6">
        <v>146.16999999999999</v>
      </c>
      <c r="N1438" s="6">
        <v>23.83</v>
      </c>
      <c r="O1438" s="6">
        <v>20.53</v>
      </c>
      <c r="P1438" s="6">
        <v>3.3</v>
      </c>
      <c r="Q1438" t="s">
        <v>65</v>
      </c>
      <c r="R1438" t="s">
        <v>60</v>
      </c>
      <c r="S1438" t="s">
        <v>71</v>
      </c>
    </row>
    <row r="1439" spans="1:19" x14ac:dyDescent="0.35">
      <c r="A1439" t="s">
        <v>1568</v>
      </c>
      <c r="B1439" s="5">
        <v>45851</v>
      </c>
      <c r="C1439" t="s">
        <v>121</v>
      </c>
      <c r="D1439" t="s">
        <v>70</v>
      </c>
      <c r="E1439">
        <v>8</v>
      </c>
      <c r="F1439" s="6">
        <v>110</v>
      </c>
      <c r="G1439" s="7">
        <v>0</v>
      </c>
      <c r="H1439" s="6">
        <v>880</v>
      </c>
      <c r="I1439">
        <v>0</v>
      </c>
      <c r="J1439" s="6">
        <v>0</v>
      </c>
      <c r="K1439">
        <v>8</v>
      </c>
      <c r="L1439" s="6">
        <v>880</v>
      </c>
      <c r="M1439" s="6">
        <v>651.79</v>
      </c>
      <c r="N1439" s="6">
        <v>228.21</v>
      </c>
      <c r="O1439" s="6">
        <v>44.25</v>
      </c>
      <c r="P1439" s="6">
        <v>183.96</v>
      </c>
      <c r="Q1439" t="s">
        <v>81</v>
      </c>
      <c r="R1439" t="s">
        <v>60</v>
      </c>
      <c r="S1439" t="s">
        <v>76</v>
      </c>
    </row>
    <row r="1440" spans="1:19" x14ac:dyDescent="0.35">
      <c r="A1440" t="s">
        <v>1569</v>
      </c>
      <c r="B1440" s="5">
        <v>45885</v>
      </c>
      <c r="C1440" t="s">
        <v>104</v>
      </c>
      <c r="D1440" t="s">
        <v>226</v>
      </c>
      <c r="E1440">
        <v>1</v>
      </c>
      <c r="F1440" s="6">
        <v>65</v>
      </c>
      <c r="G1440" s="7">
        <v>0</v>
      </c>
      <c r="H1440" s="6">
        <v>65</v>
      </c>
      <c r="I1440">
        <v>0</v>
      </c>
      <c r="J1440" s="6">
        <v>0</v>
      </c>
      <c r="K1440">
        <v>1</v>
      </c>
      <c r="L1440" s="6">
        <v>65</v>
      </c>
      <c r="M1440" s="6">
        <v>52.84</v>
      </c>
      <c r="N1440" s="6">
        <v>12.16</v>
      </c>
      <c r="O1440" s="6">
        <v>8.1199999999999992</v>
      </c>
      <c r="P1440" s="6">
        <v>4.04</v>
      </c>
      <c r="Q1440" t="s">
        <v>59</v>
      </c>
      <c r="R1440" t="s">
        <v>66</v>
      </c>
      <c r="S1440" t="s">
        <v>61</v>
      </c>
    </row>
    <row r="1441" spans="1:19" x14ac:dyDescent="0.35">
      <c r="A1441" t="s">
        <v>1570</v>
      </c>
      <c r="B1441" s="5">
        <v>45672</v>
      </c>
      <c r="C1441" t="s">
        <v>117</v>
      </c>
      <c r="D1441" t="s">
        <v>74</v>
      </c>
      <c r="E1441">
        <v>5</v>
      </c>
      <c r="F1441" s="6">
        <v>95</v>
      </c>
      <c r="G1441" s="7">
        <v>5</v>
      </c>
      <c r="H1441" s="6">
        <v>451.25</v>
      </c>
      <c r="I1441">
        <v>0</v>
      </c>
      <c r="J1441" s="6">
        <v>0</v>
      </c>
      <c r="K1441">
        <v>5</v>
      </c>
      <c r="L1441" s="6">
        <v>451.25</v>
      </c>
      <c r="M1441" s="6">
        <v>319.62</v>
      </c>
      <c r="N1441" s="6">
        <v>131.63</v>
      </c>
      <c r="O1441" s="6">
        <v>31.68</v>
      </c>
      <c r="P1441" s="6">
        <v>99.95</v>
      </c>
      <c r="Q1441" t="s">
        <v>65</v>
      </c>
      <c r="R1441" t="s">
        <v>66</v>
      </c>
      <c r="S1441" t="s">
        <v>67</v>
      </c>
    </row>
    <row r="1442" spans="1:19" x14ac:dyDescent="0.35">
      <c r="A1442" t="s">
        <v>1571</v>
      </c>
      <c r="B1442" s="5">
        <v>45917</v>
      </c>
      <c r="C1442" t="s">
        <v>69</v>
      </c>
      <c r="D1442" t="s">
        <v>70</v>
      </c>
      <c r="E1442">
        <v>1</v>
      </c>
      <c r="F1442" s="6">
        <v>210</v>
      </c>
      <c r="G1442" s="7">
        <v>0</v>
      </c>
      <c r="H1442" s="6">
        <v>210</v>
      </c>
      <c r="I1442">
        <v>0</v>
      </c>
      <c r="J1442" s="6">
        <v>0</v>
      </c>
      <c r="K1442">
        <v>1</v>
      </c>
      <c r="L1442" s="6">
        <v>210</v>
      </c>
      <c r="M1442" s="6">
        <v>169.67</v>
      </c>
      <c r="N1442" s="6">
        <v>40.33</v>
      </c>
      <c r="O1442" s="6">
        <v>14.27</v>
      </c>
      <c r="P1442" s="6">
        <v>26.06</v>
      </c>
      <c r="Q1442" t="s">
        <v>65</v>
      </c>
      <c r="R1442" t="s">
        <v>82</v>
      </c>
      <c r="S1442" t="s">
        <v>76</v>
      </c>
    </row>
    <row r="1443" spans="1:19" x14ac:dyDescent="0.35">
      <c r="A1443" t="s">
        <v>1572</v>
      </c>
      <c r="B1443" s="5">
        <v>45669</v>
      </c>
      <c r="C1443" t="s">
        <v>104</v>
      </c>
      <c r="D1443" t="s">
        <v>105</v>
      </c>
      <c r="E1443">
        <v>4</v>
      </c>
      <c r="F1443" s="6">
        <v>65</v>
      </c>
      <c r="G1443" s="7">
        <v>0</v>
      </c>
      <c r="H1443" s="6">
        <v>260</v>
      </c>
      <c r="I1443">
        <v>0</v>
      </c>
      <c r="J1443" s="6">
        <v>0</v>
      </c>
      <c r="K1443">
        <v>4</v>
      </c>
      <c r="L1443" s="6">
        <v>260</v>
      </c>
      <c r="M1443" s="6">
        <v>189.41</v>
      </c>
      <c r="N1443" s="6">
        <v>70.59</v>
      </c>
      <c r="O1443" s="6">
        <v>14.52</v>
      </c>
      <c r="P1443" s="6">
        <v>56.07</v>
      </c>
      <c r="Q1443" t="s">
        <v>75</v>
      </c>
      <c r="R1443" t="s">
        <v>86</v>
      </c>
      <c r="S1443" t="s">
        <v>71</v>
      </c>
    </row>
    <row r="1444" spans="1:19" x14ac:dyDescent="0.35">
      <c r="A1444" t="s">
        <v>1573</v>
      </c>
      <c r="B1444" s="5">
        <v>45666</v>
      </c>
      <c r="C1444" t="s">
        <v>117</v>
      </c>
      <c r="D1444" t="s">
        <v>74</v>
      </c>
      <c r="E1444">
        <v>1</v>
      </c>
      <c r="F1444" s="6">
        <v>95</v>
      </c>
      <c r="G1444" s="7">
        <v>0</v>
      </c>
      <c r="H1444" s="6">
        <v>95</v>
      </c>
      <c r="I1444">
        <v>0</v>
      </c>
      <c r="J1444" s="6">
        <v>0</v>
      </c>
      <c r="K1444">
        <v>1</v>
      </c>
      <c r="L1444" s="6">
        <v>95</v>
      </c>
      <c r="M1444" s="6">
        <v>78.63</v>
      </c>
      <c r="N1444" s="6">
        <v>16.37</v>
      </c>
      <c r="O1444" s="6">
        <v>10.16</v>
      </c>
      <c r="P1444" s="6">
        <v>6.21</v>
      </c>
      <c r="Q1444" t="s">
        <v>75</v>
      </c>
      <c r="R1444" t="s">
        <v>86</v>
      </c>
      <c r="S1444" t="s">
        <v>71</v>
      </c>
    </row>
    <row r="1445" spans="1:19" x14ac:dyDescent="0.35">
      <c r="A1445" t="s">
        <v>1574</v>
      </c>
      <c r="B1445" s="5">
        <v>45768</v>
      </c>
      <c r="C1445" t="s">
        <v>117</v>
      </c>
      <c r="D1445" t="s">
        <v>74</v>
      </c>
      <c r="E1445">
        <v>3</v>
      </c>
      <c r="F1445" s="6">
        <v>95</v>
      </c>
      <c r="G1445" s="7">
        <v>2</v>
      </c>
      <c r="H1445" s="6">
        <v>279.3</v>
      </c>
      <c r="I1445">
        <v>0</v>
      </c>
      <c r="J1445" s="6">
        <v>0</v>
      </c>
      <c r="K1445">
        <v>3</v>
      </c>
      <c r="L1445" s="6">
        <v>279.3</v>
      </c>
      <c r="M1445" s="6">
        <v>230.88</v>
      </c>
      <c r="N1445" s="6">
        <v>48.42</v>
      </c>
      <c r="O1445" s="6">
        <v>16.7</v>
      </c>
      <c r="P1445" s="6">
        <v>31.72</v>
      </c>
      <c r="Q1445" t="s">
        <v>75</v>
      </c>
      <c r="R1445" t="s">
        <v>66</v>
      </c>
      <c r="S1445" t="s">
        <v>67</v>
      </c>
    </row>
    <row r="1446" spans="1:19" x14ac:dyDescent="0.35">
      <c r="A1446" t="s">
        <v>1575</v>
      </c>
      <c r="B1446" s="5">
        <v>45928</v>
      </c>
      <c r="C1446" t="s">
        <v>92</v>
      </c>
      <c r="D1446" t="s">
        <v>79</v>
      </c>
      <c r="E1446">
        <v>1</v>
      </c>
      <c r="F1446" s="6">
        <v>85</v>
      </c>
      <c r="G1446" s="7">
        <v>0</v>
      </c>
      <c r="H1446" s="6">
        <v>85</v>
      </c>
      <c r="I1446">
        <v>0</v>
      </c>
      <c r="J1446" s="6">
        <v>0</v>
      </c>
      <c r="K1446">
        <v>1</v>
      </c>
      <c r="L1446" s="6">
        <v>85</v>
      </c>
      <c r="M1446" s="6">
        <v>53.65</v>
      </c>
      <c r="N1446" s="6">
        <v>31.35</v>
      </c>
      <c r="O1446" s="6">
        <v>6.59</v>
      </c>
      <c r="P1446" s="6">
        <v>24.76</v>
      </c>
      <c r="Q1446" t="s">
        <v>59</v>
      </c>
      <c r="R1446" t="s">
        <v>66</v>
      </c>
      <c r="S1446" t="s">
        <v>71</v>
      </c>
    </row>
    <row r="1447" spans="1:19" x14ac:dyDescent="0.35">
      <c r="A1447" t="s">
        <v>1576</v>
      </c>
      <c r="B1447" s="5">
        <v>45709</v>
      </c>
      <c r="C1447" t="s">
        <v>56</v>
      </c>
      <c r="D1447" t="s">
        <v>153</v>
      </c>
      <c r="E1447">
        <v>4</v>
      </c>
      <c r="F1447" s="6">
        <v>40</v>
      </c>
      <c r="G1447" s="7">
        <v>0</v>
      </c>
      <c r="H1447" s="6">
        <v>160</v>
      </c>
      <c r="I1447">
        <v>0</v>
      </c>
      <c r="J1447" s="6">
        <v>0</v>
      </c>
      <c r="K1447">
        <v>4</v>
      </c>
      <c r="L1447" s="6">
        <v>160</v>
      </c>
      <c r="M1447" s="6">
        <v>100.61</v>
      </c>
      <c r="N1447" s="6">
        <v>59.39</v>
      </c>
      <c r="O1447" s="6">
        <v>9.64</v>
      </c>
      <c r="P1447" s="6">
        <v>49.75</v>
      </c>
      <c r="Q1447" t="s">
        <v>81</v>
      </c>
      <c r="R1447" t="s">
        <v>82</v>
      </c>
      <c r="S1447" t="s">
        <v>76</v>
      </c>
    </row>
    <row r="1448" spans="1:19" x14ac:dyDescent="0.35">
      <c r="A1448" t="s">
        <v>1577</v>
      </c>
      <c r="B1448" s="5">
        <v>45949</v>
      </c>
      <c r="C1448" t="s">
        <v>56</v>
      </c>
      <c r="D1448" t="s">
        <v>57</v>
      </c>
      <c r="E1448">
        <v>2</v>
      </c>
      <c r="F1448" s="6">
        <v>40</v>
      </c>
      <c r="G1448" s="7">
        <v>5</v>
      </c>
      <c r="H1448" s="6">
        <v>76</v>
      </c>
      <c r="I1448">
        <v>0</v>
      </c>
      <c r="J1448" s="6">
        <v>0</v>
      </c>
      <c r="K1448">
        <v>2</v>
      </c>
      <c r="L1448" s="6">
        <v>76</v>
      </c>
      <c r="M1448" s="6">
        <v>56.42</v>
      </c>
      <c r="N1448" s="6">
        <v>19.579999999999998</v>
      </c>
      <c r="O1448" s="6">
        <v>5.84</v>
      </c>
      <c r="P1448" s="6">
        <v>13.74</v>
      </c>
      <c r="Q1448" t="s">
        <v>59</v>
      </c>
      <c r="R1448" t="s">
        <v>86</v>
      </c>
      <c r="S1448" t="s">
        <v>61</v>
      </c>
    </row>
    <row r="1449" spans="1:19" x14ac:dyDescent="0.35">
      <c r="A1449" t="s">
        <v>1578</v>
      </c>
      <c r="B1449" s="5">
        <v>45955</v>
      </c>
      <c r="C1449" t="s">
        <v>90</v>
      </c>
      <c r="D1449" t="s">
        <v>70</v>
      </c>
      <c r="E1449">
        <v>2</v>
      </c>
      <c r="F1449" s="6">
        <v>38</v>
      </c>
      <c r="G1449" s="7">
        <v>0</v>
      </c>
      <c r="H1449" s="6">
        <v>76</v>
      </c>
      <c r="I1449">
        <v>0</v>
      </c>
      <c r="J1449" s="6">
        <v>0</v>
      </c>
      <c r="K1449">
        <v>2</v>
      </c>
      <c r="L1449" s="6">
        <v>76</v>
      </c>
      <c r="M1449" s="6">
        <v>61.93</v>
      </c>
      <c r="N1449" s="6">
        <v>14.07</v>
      </c>
      <c r="O1449" s="6">
        <v>5.42</v>
      </c>
      <c r="P1449" s="6">
        <v>8.65</v>
      </c>
      <c r="Q1449" t="s">
        <v>75</v>
      </c>
      <c r="R1449" t="s">
        <v>82</v>
      </c>
      <c r="S1449" t="s">
        <v>76</v>
      </c>
    </row>
    <row r="1450" spans="1:19" x14ac:dyDescent="0.35">
      <c r="A1450" t="s">
        <v>1579</v>
      </c>
      <c r="B1450" s="5">
        <v>45926</v>
      </c>
      <c r="C1450" t="s">
        <v>109</v>
      </c>
      <c r="D1450" t="s">
        <v>85</v>
      </c>
      <c r="E1450">
        <v>4</v>
      </c>
      <c r="F1450" s="6">
        <v>180</v>
      </c>
      <c r="G1450" s="7">
        <v>0</v>
      </c>
      <c r="H1450" s="6">
        <v>720</v>
      </c>
      <c r="I1450">
        <v>0</v>
      </c>
      <c r="J1450" s="6">
        <v>0</v>
      </c>
      <c r="K1450">
        <v>4</v>
      </c>
      <c r="L1450" s="6">
        <v>720</v>
      </c>
      <c r="M1450" s="6">
        <v>590.94000000000005</v>
      </c>
      <c r="N1450" s="6">
        <v>129.06</v>
      </c>
      <c r="O1450" s="6">
        <v>82.4</v>
      </c>
      <c r="P1450" s="6">
        <v>46.66</v>
      </c>
      <c r="Q1450" t="s">
        <v>65</v>
      </c>
      <c r="R1450" t="s">
        <v>60</v>
      </c>
      <c r="S1450" t="s">
        <v>67</v>
      </c>
    </row>
    <row r="1451" spans="1:19" x14ac:dyDescent="0.35">
      <c r="A1451" t="s">
        <v>1580</v>
      </c>
      <c r="B1451" s="5">
        <v>45847</v>
      </c>
      <c r="C1451" t="s">
        <v>125</v>
      </c>
      <c r="D1451" t="s">
        <v>85</v>
      </c>
      <c r="E1451">
        <v>8</v>
      </c>
      <c r="F1451" s="6">
        <v>125</v>
      </c>
      <c r="G1451" s="7">
        <v>0</v>
      </c>
      <c r="H1451" s="6">
        <v>1000</v>
      </c>
      <c r="I1451">
        <v>0</v>
      </c>
      <c r="J1451" s="6">
        <v>0</v>
      </c>
      <c r="K1451">
        <v>8</v>
      </c>
      <c r="L1451" s="6">
        <v>1000</v>
      </c>
      <c r="M1451" s="6">
        <v>641.05999999999995</v>
      </c>
      <c r="N1451" s="6">
        <v>358.94</v>
      </c>
      <c r="O1451" s="6">
        <v>118.44</v>
      </c>
      <c r="P1451" s="6">
        <v>240.5</v>
      </c>
      <c r="Q1451" t="s">
        <v>75</v>
      </c>
      <c r="R1451" t="s">
        <v>86</v>
      </c>
      <c r="S1451" t="s">
        <v>76</v>
      </c>
    </row>
    <row r="1452" spans="1:19" x14ac:dyDescent="0.35">
      <c r="A1452" t="s">
        <v>1581</v>
      </c>
      <c r="B1452" s="5">
        <v>45848</v>
      </c>
      <c r="C1452" t="s">
        <v>671</v>
      </c>
      <c r="D1452" t="s">
        <v>57</v>
      </c>
      <c r="E1452">
        <v>2</v>
      </c>
      <c r="F1452" s="6">
        <v>40</v>
      </c>
      <c r="G1452" s="7">
        <v>0</v>
      </c>
      <c r="H1452" s="6">
        <v>80</v>
      </c>
      <c r="I1452">
        <v>0</v>
      </c>
      <c r="J1452" s="6">
        <v>0</v>
      </c>
      <c r="K1452">
        <v>2</v>
      </c>
      <c r="L1452" s="6">
        <v>80</v>
      </c>
      <c r="M1452" s="6">
        <v>67.22</v>
      </c>
      <c r="N1452" s="6">
        <v>12.78</v>
      </c>
      <c r="O1452" s="6">
        <v>7.53</v>
      </c>
      <c r="P1452" s="6">
        <v>5.25</v>
      </c>
      <c r="Q1452" t="s">
        <v>75</v>
      </c>
      <c r="R1452" t="s">
        <v>86</v>
      </c>
      <c r="S1452" t="s">
        <v>61</v>
      </c>
    </row>
    <row r="1453" spans="1:19" x14ac:dyDescent="0.35">
      <c r="A1453" t="s">
        <v>1582</v>
      </c>
      <c r="B1453" s="5">
        <v>45673</v>
      </c>
      <c r="C1453" t="s">
        <v>56</v>
      </c>
      <c r="D1453" t="s">
        <v>57</v>
      </c>
      <c r="E1453">
        <v>3</v>
      </c>
      <c r="F1453" s="6">
        <v>40</v>
      </c>
      <c r="G1453" s="7">
        <v>0</v>
      </c>
      <c r="H1453" s="6">
        <v>120</v>
      </c>
      <c r="I1453">
        <v>0</v>
      </c>
      <c r="J1453" s="6">
        <v>0</v>
      </c>
      <c r="K1453">
        <v>3</v>
      </c>
      <c r="L1453" s="6">
        <v>120</v>
      </c>
      <c r="M1453" s="6">
        <v>82.38</v>
      </c>
      <c r="N1453" s="6">
        <v>37.619999999999997</v>
      </c>
      <c r="O1453" s="6">
        <v>10.32</v>
      </c>
      <c r="P1453" s="6">
        <v>27.3</v>
      </c>
      <c r="Q1453" t="s">
        <v>81</v>
      </c>
      <c r="R1453" t="s">
        <v>86</v>
      </c>
      <c r="S1453" t="s">
        <v>71</v>
      </c>
    </row>
    <row r="1454" spans="1:19" x14ac:dyDescent="0.35">
      <c r="A1454" t="s">
        <v>1583</v>
      </c>
      <c r="B1454" s="5">
        <v>45951</v>
      </c>
      <c r="C1454" t="s">
        <v>117</v>
      </c>
      <c r="D1454" t="s">
        <v>74</v>
      </c>
      <c r="E1454">
        <v>4</v>
      </c>
      <c r="F1454" s="6">
        <v>95</v>
      </c>
      <c r="G1454" s="7">
        <v>10</v>
      </c>
      <c r="H1454" s="6">
        <v>342</v>
      </c>
      <c r="I1454">
        <v>0</v>
      </c>
      <c r="J1454" s="6">
        <v>0</v>
      </c>
      <c r="K1454">
        <v>4</v>
      </c>
      <c r="L1454" s="6">
        <v>342</v>
      </c>
      <c r="M1454" s="6">
        <v>238.28</v>
      </c>
      <c r="N1454" s="6">
        <v>103.72</v>
      </c>
      <c r="O1454" s="6">
        <v>33.89</v>
      </c>
      <c r="P1454" s="6">
        <v>69.83</v>
      </c>
      <c r="Q1454" t="s">
        <v>65</v>
      </c>
      <c r="R1454" t="s">
        <v>66</v>
      </c>
      <c r="S1454" t="s">
        <v>71</v>
      </c>
    </row>
    <row r="1455" spans="1:19" x14ac:dyDescent="0.35">
      <c r="A1455" t="s">
        <v>1584</v>
      </c>
      <c r="B1455" s="5">
        <v>45731</v>
      </c>
      <c r="C1455" t="s">
        <v>107</v>
      </c>
      <c r="D1455" t="s">
        <v>74</v>
      </c>
      <c r="E1455">
        <v>1</v>
      </c>
      <c r="F1455" s="6">
        <v>125</v>
      </c>
      <c r="G1455" s="7">
        <v>5</v>
      </c>
      <c r="H1455" s="6">
        <v>118.75</v>
      </c>
      <c r="I1455">
        <v>0</v>
      </c>
      <c r="J1455" s="6">
        <v>0</v>
      </c>
      <c r="K1455">
        <v>1</v>
      </c>
      <c r="L1455" s="6">
        <v>118.75</v>
      </c>
      <c r="M1455" s="6">
        <v>88.01</v>
      </c>
      <c r="N1455" s="6">
        <v>30.74</v>
      </c>
      <c r="O1455" s="6">
        <v>14.36</v>
      </c>
      <c r="P1455" s="6">
        <v>16.38</v>
      </c>
      <c r="Q1455" t="s">
        <v>59</v>
      </c>
      <c r="R1455" t="s">
        <v>60</v>
      </c>
      <c r="S1455" t="s">
        <v>76</v>
      </c>
    </row>
    <row r="1456" spans="1:19" x14ac:dyDescent="0.35">
      <c r="A1456" t="s">
        <v>1585</v>
      </c>
      <c r="B1456" s="5">
        <v>45736</v>
      </c>
      <c r="C1456" t="s">
        <v>84</v>
      </c>
      <c r="D1456" t="s">
        <v>85</v>
      </c>
      <c r="E1456">
        <v>2</v>
      </c>
      <c r="F1456" s="6">
        <v>48</v>
      </c>
      <c r="G1456" s="7">
        <v>0</v>
      </c>
      <c r="H1456" s="6">
        <v>96</v>
      </c>
      <c r="I1456">
        <v>0</v>
      </c>
      <c r="J1456" s="6">
        <v>0</v>
      </c>
      <c r="K1456">
        <v>2</v>
      </c>
      <c r="L1456" s="6">
        <v>96</v>
      </c>
      <c r="M1456" s="6">
        <v>78.290000000000006</v>
      </c>
      <c r="N1456" s="6">
        <v>17.71</v>
      </c>
      <c r="O1456" s="6">
        <v>9.26</v>
      </c>
      <c r="P1456" s="6">
        <v>8.4499999999999993</v>
      </c>
      <c r="Q1456" t="s">
        <v>65</v>
      </c>
      <c r="R1456" t="s">
        <v>82</v>
      </c>
      <c r="S1456" t="s">
        <v>67</v>
      </c>
    </row>
    <row r="1457" spans="1:19" x14ac:dyDescent="0.35">
      <c r="A1457" t="s">
        <v>1586</v>
      </c>
      <c r="B1457" s="5">
        <v>45973</v>
      </c>
      <c r="C1457" t="s">
        <v>63</v>
      </c>
      <c r="D1457" t="s">
        <v>64</v>
      </c>
      <c r="E1457">
        <v>2</v>
      </c>
      <c r="F1457" s="6">
        <v>145</v>
      </c>
      <c r="G1457" s="7">
        <v>0</v>
      </c>
      <c r="H1457" s="6">
        <v>290</v>
      </c>
      <c r="I1457">
        <v>0</v>
      </c>
      <c r="J1457" s="6">
        <v>0</v>
      </c>
      <c r="K1457">
        <v>2</v>
      </c>
      <c r="L1457" s="6">
        <v>290</v>
      </c>
      <c r="M1457" s="6">
        <v>191.53</v>
      </c>
      <c r="N1457" s="6">
        <v>98.47</v>
      </c>
      <c r="O1457" s="6">
        <v>33.380000000000003</v>
      </c>
      <c r="P1457" s="6">
        <v>65.09</v>
      </c>
      <c r="Q1457" t="s">
        <v>65</v>
      </c>
      <c r="R1457" t="s">
        <v>60</v>
      </c>
      <c r="S1457" t="s">
        <v>67</v>
      </c>
    </row>
    <row r="1458" spans="1:19" x14ac:dyDescent="0.35">
      <c r="A1458" t="s">
        <v>1587</v>
      </c>
      <c r="B1458" s="5">
        <v>45788</v>
      </c>
      <c r="C1458" t="s">
        <v>97</v>
      </c>
      <c r="D1458" t="s">
        <v>57</v>
      </c>
      <c r="E1458">
        <v>1</v>
      </c>
      <c r="F1458" s="6">
        <v>55</v>
      </c>
      <c r="G1458" s="7">
        <v>0</v>
      </c>
      <c r="H1458" s="6">
        <v>55</v>
      </c>
      <c r="I1458">
        <v>0</v>
      </c>
      <c r="J1458" s="6">
        <v>0</v>
      </c>
      <c r="K1458">
        <v>1</v>
      </c>
      <c r="L1458" s="6">
        <v>55</v>
      </c>
      <c r="M1458" s="6">
        <v>38.130000000000003</v>
      </c>
      <c r="N1458" s="6">
        <v>16.87</v>
      </c>
      <c r="O1458" s="6">
        <v>6.93</v>
      </c>
      <c r="P1458" s="6">
        <v>9.94</v>
      </c>
      <c r="Q1458" t="s">
        <v>75</v>
      </c>
      <c r="R1458" t="s">
        <v>82</v>
      </c>
      <c r="S1458" t="s">
        <v>67</v>
      </c>
    </row>
    <row r="1459" spans="1:19" x14ac:dyDescent="0.35">
      <c r="A1459" t="s">
        <v>1588</v>
      </c>
      <c r="B1459" s="5">
        <v>45844</v>
      </c>
      <c r="C1459" t="s">
        <v>90</v>
      </c>
      <c r="D1459" t="s">
        <v>70</v>
      </c>
      <c r="E1459" t="s">
        <v>755</v>
      </c>
      <c r="F1459" s="6">
        <v>38</v>
      </c>
      <c r="G1459" s="7">
        <v>0</v>
      </c>
      <c r="H1459" s="6">
        <v>38</v>
      </c>
      <c r="I1459">
        <v>0</v>
      </c>
      <c r="J1459" s="6">
        <v>0</v>
      </c>
      <c r="K1459">
        <v>1</v>
      </c>
      <c r="L1459" s="6">
        <v>38</v>
      </c>
      <c r="M1459" s="6">
        <v>31.82</v>
      </c>
      <c r="N1459" s="6">
        <v>6.18</v>
      </c>
      <c r="O1459" s="6">
        <v>2.57</v>
      </c>
      <c r="P1459" s="6">
        <v>3.61</v>
      </c>
      <c r="Q1459" t="s">
        <v>75</v>
      </c>
      <c r="R1459" t="s">
        <v>60</v>
      </c>
      <c r="S1459" t="s">
        <v>71</v>
      </c>
    </row>
    <row r="1460" spans="1:19" x14ac:dyDescent="0.35">
      <c r="A1460" t="s">
        <v>1589</v>
      </c>
      <c r="B1460" s="5">
        <v>45938</v>
      </c>
      <c r="C1460" t="s">
        <v>88</v>
      </c>
      <c r="D1460" t="s">
        <v>57</v>
      </c>
      <c r="E1460">
        <v>1</v>
      </c>
      <c r="F1460" s="6">
        <v>30</v>
      </c>
      <c r="G1460" s="7">
        <v>0</v>
      </c>
      <c r="H1460" s="6">
        <v>30</v>
      </c>
      <c r="I1460">
        <v>0</v>
      </c>
      <c r="J1460" s="6">
        <v>0</v>
      </c>
      <c r="K1460">
        <v>1</v>
      </c>
      <c r="L1460" s="6">
        <v>30</v>
      </c>
      <c r="M1460" s="6">
        <v>20.3</v>
      </c>
      <c r="N1460" s="6">
        <v>9.6999999999999993</v>
      </c>
      <c r="O1460" s="6">
        <v>2.15</v>
      </c>
      <c r="P1460" s="6">
        <v>7.55</v>
      </c>
      <c r="Q1460" t="s">
        <v>81</v>
      </c>
      <c r="R1460" t="s">
        <v>82</v>
      </c>
      <c r="S1460" t="s">
        <v>61</v>
      </c>
    </row>
    <row r="1461" spans="1:19" x14ac:dyDescent="0.35">
      <c r="A1461" t="s">
        <v>1590</v>
      </c>
      <c r="B1461" s="5">
        <v>45939</v>
      </c>
      <c r="C1461" t="s">
        <v>97</v>
      </c>
      <c r="D1461" t="s">
        <v>57</v>
      </c>
      <c r="E1461">
        <v>2</v>
      </c>
      <c r="F1461" s="6">
        <v>55</v>
      </c>
      <c r="G1461" s="7">
        <v>2</v>
      </c>
      <c r="H1461" s="6">
        <v>107.8</v>
      </c>
      <c r="I1461">
        <v>0</v>
      </c>
      <c r="J1461" s="6">
        <v>0</v>
      </c>
      <c r="K1461">
        <v>2</v>
      </c>
      <c r="L1461" s="6">
        <v>107.8</v>
      </c>
      <c r="M1461" s="6">
        <v>74.069999999999993</v>
      </c>
      <c r="N1461" s="6">
        <v>33.729999999999997</v>
      </c>
      <c r="O1461" s="6">
        <v>12.05</v>
      </c>
      <c r="P1461" s="6">
        <v>21.68</v>
      </c>
      <c r="Q1461" t="s">
        <v>65</v>
      </c>
      <c r="R1461" t="s">
        <v>66</v>
      </c>
      <c r="S1461" t="s">
        <v>76</v>
      </c>
    </row>
    <row r="1462" spans="1:19" x14ac:dyDescent="0.35">
      <c r="A1462" t="s">
        <v>1591</v>
      </c>
      <c r="B1462" s="5">
        <v>45820</v>
      </c>
      <c r="C1462" t="s">
        <v>56</v>
      </c>
      <c r="D1462" t="s">
        <v>57</v>
      </c>
      <c r="E1462">
        <v>1</v>
      </c>
      <c r="F1462" s="6">
        <v>40</v>
      </c>
      <c r="G1462" s="7">
        <v>0</v>
      </c>
      <c r="H1462" s="6">
        <v>40</v>
      </c>
      <c r="I1462">
        <v>0</v>
      </c>
      <c r="J1462" s="6">
        <v>0</v>
      </c>
      <c r="K1462">
        <v>1</v>
      </c>
      <c r="L1462" s="6">
        <v>40</v>
      </c>
      <c r="M1462" s="6">
        <v>26.53</v>
      </c>
      <c r="N1462" s="6">
        <v>13.47</v>
      </c>
      <c r="O1462" s="6">
        <v>3.77</v>
      </c>
      <c r="P1462" s="6">
        <v>9.6999999999999993</v>
      </c>
      <c r="Q1462" t="s">
        <v>75</v>
      </c>
      <c r="R1462" t="s">
        <v>60</v>
      </c>
      <c r="S1462" t="s">
        <v>71</v>
      </c>
    </row>
    <row r="1463" spans="1:19" x14ac:dyDescent="0.35">
      <c r="A1463" t="s">
        <v>1592</v>
      </c>
      <c r="B1463" s="5">
        <v>45754</v>
      </c>
      <c r="C1463" t="s">
        <v>84</v>
      </c>
      <c r="D1463" t="s">
        <v>85</v>
      </c>
      <c r="E1463">
        <v>2</v>
      </c>
      <c r="F1463" s="6">
        <v>48</v>
      </c>
      <c r="G1463" s="7">
        <v>0</v>
      </c>
      <c r="H1463" s="6">
        <v>96</v>
      </c>
      <c r="I1463">
        <v>0</v>
      </c>
      <c r="J1463" s="6">
        <v>0</v>
      </c>
      <c r="K1463">
        <v>2</v>
      </c>
      <c r="L1463" s="6">
        <v>96</v>
      </c>
      <c r="M1463" s="6">
        <v>74.17</v>
      </c>
      <c r="N1463" s="6">
        <v>21.83</v>
      </c>
      <c r="O1463" s="6">
        <v>12.45</v>
      </c>
      <c r="P1463" s="6">
        <v>9.3800000000000008</v>
      </c>
      <c r="Q1463" t="s">
        <v>81</v>
      </c>
      <c r="R1463" t="s">
        <v>82</v>
      </c>
      <c r="S1463" t="s">
        <v>61</v>
      </c>
    </row>
    <row r="1464" spans="1:19" x14ac:dyDescent="0.35">
      <c r="A1464" t="s">
        <v>1593</v>
      </c>
      <c r="B1464" s="5">
        <v>45712</v>
      </c>
      <c r="C1464" t="s">
        <v>362</v>
      </c>
      <c r="D1464" t="s">
        <v>64</v>
      </c>
      <c r="E1464">
        <v>1</v>
      </c>
      <c r="F1464" s="6">
        <v>52</v>
      </c>
      <c r="G1464" s="7">
        <v>2</v>
      </c>
      <c r="H1464" s="6">
        <v>50.96</v>
      </c>
      <c r="I1464">
        <v>0</v>
      </c>
      <c r="J1464" s="6">
        <v>0</v>
      </c>
      <c r="K1464">
        <v>1</v>
      </c>
      <c r="L1464" s="6">
        <v>50.96</v>
      </c>
      <c r="M1464" s="6">
        <v>36.6</v>
      </c>
      <c r="N1464" s="6">
        <v>14.36</v>
      </c>
      <c r="O1464" s="6">
        <v>4.1900000000000004</v>
      </c>
      <c r="P1464" s="6">
        <v>10.17</v>
      </c>
      <c r="Q1464" t="s">
        <v>81</v>
      </c>
      <c r="R1464" t="s">
        <v>82</v>
      </c>
      <c r="S1464" t="s">
        <v>67</v>
      </c>
    </row>
    <row r="1465" spans="1:19" x14ac:dyDescent="0.35">
      <c r="A1465" t="s">
        <v>1594</v>
      </c>
      <c r="B1465" s="5">
        <v>45931</v>
      </c>
      <c r="C1465" t="s">
        <v>125</v>
      </c>
      <c r="D1465" t="s">
        <v>85</v>
      </c>
      <c r="E1465">
        <v>2</v>
      </c>
      <c r="F1465" s="6">
        <v>125</v>
      </c>
      <c r="G1465" s="7">
        <v>0</v>
      </c>
      <c r="H1465" s="6">
        <v>250</v>
      </c>
      <c r="I1465">
        <v>0</v>
      </c>
      <c r="J1465" s="6">
        <v>0</v>
      </c>
      <c r="K1465">
        <v>2</v>
      </c>
      <c r="L1465" s="6">
        <v>250</v>
      </c>
      <c r="M1465" s="6">
        <v>206.88</v>
      </c>
      <c r="N1465" s="6">
        <v>43.12</v>
      </c>
      <c r="O1465" s="6">
        <v>23.94</v>
      </c>
      <c r="P1465" s="6">
        <v>19.18</v>
      </c>
      <c r="Q1465" t="s">
        <v>75</v>
      </c>
      <c r="R1465" t="s">
        <v>60</v>
      </c>
      <c r="S1465" t="s">
        <v>67</v>
      </c>
    </row>
    <row r="1466" spans="1:19" x14ac:dyDescent="0.35">
      <c r="A1466" t="s">
        <v>1595</v>
      </c>
      <c r="B1466" s="5">
        <v>45931</v>
      </c>
      <c r="C1466" t="s">
        <v>84</v>
      </c>
      <c r="D1466" t="s">
        <v>85</v>
      </c>
      <c r="E1466">
        <v>2</v>
      </c>
      <c r="F1466" s="6">
        <v>48</v>
      </c>
      <c r="G1466" s="7">
        <v>0</v>
      </c>
      <c r="H1466" s="6">
        <v>96</v>
      </c>
      <c r="I1466">
        <v>0</v>
      </c>
      <c r="J1466" s="6">
        <v>0</v>
      </c>
      <c r="K1466">
        <v>2</v>
      </c>
      <c r="L1466" s="6">
        <v>96</v>
      </c>
      <c r="M1466" s="6">
        <v>70.959999999999994</v>
      </c>
      <c r="N1466" s="6">
        <v>25.04</v>
      </c>
      <c r="O1466" s="6">
        <v>10.17</v>
      </c>
      <c r="P1466" s="6">
        <v>14.87</v>
      </c>
      <c r="Q1466" t="s">
        <v>75</v>
      </c>
      <c r="R1466" t="s">
        <v>60</v>
      </c>
      <c r="S1466" t="s">
        <v>61</v>
      </c>
    </row>
    <row r="1467" spans="1:19" x14ac:dyDescent="0.35">
      <c r="A1467" t="s">
        <v>1596</v>
      </c>
      <c r="B1467" s="5">
        <v>45868</v>
      </c>
      <c r="C1467" t="s">
        <v>90</v>
      </c>
      <c r="D1467" t="s">
        <v>70</v>
      </c>
      <c r="E1467">
        <v>4</v>
      </c>
      <c r="F1467" s="6">
        <v>38</v>
      </c>
      <c r="G1467" s="7">
        <v>2</v>
      </c>
      <c r="H1467" s="6">
        <v>148.96</v>
      </c>
      <c r="I1467">
        <v>0</v>
      </c>
      <c r="J1467" s="6">
        <v>0</v>
      </c>
      <c r="K1467">
        <v>4</v>
      </c>
      <c r="L1467" s="6">
        <v>148.96</v>
      </c>
      <c r="M1467" s="6">
        <v>117.88</v>
      </c>
      <c r="N1467" s="6">
        <v>31.08</v>
      </c>
      <c r="O1467" s="6">
        <v>11.29</v>
      </c>
      <c r="P1467" s="6">
        <v>19.79</v>
      </c>
      <c r="Q1467" t="s">
        <v>75</v>
      </c>
      <c r="R1467" t="s">
        <v>66</v>
      </c>
      <c r="S1467" t="s">
        <v>71</v>
      </c>
    </row>
    <row r="1468" spans="1:19" x14ac:dyDescent="0.35">
      <c r="A1468" t="s">
        <v>1597</v>
      </c>
      <c r="B1468" s="5">
        <v>45962</v>
      </c>
      <c r="C1468" t="s">
        <v>92</v>
      </c>
      <c r="D1468" t="s">
        <v>79</v>
      </c>
      <c r="E1468">
        <v>10</v>
      </c>
      <c r="F1468" s="6">
        <v>85</v>
      </c>
      <c r="G1468" s="7">
        <v>0</v>
      </c>
      <c r="H1468" s="6">
        <v>850</v>
      </c>
      <c r="I1468">
        <v>0</v>
      </c>
      <c r="J1468" s="6">
        <v>0</v>
      </c>
      <c r="K1468">
        <v>10</v>
      </c>
      <c r="L1468" s="6">
        <v>850</v>
      </c>
      <c r="M1468" s="6">
        <v>560.1</v>
      </c>
      <c r="N1468" s="6">
        <v>289.89999999999998</v>
      </c>
      <c r="O1468" s="6">
        <v>46.62</v>
      </c>
      <c r="P1468" s="6">
        <v>243.28</v>
      </c>
      <c r="Q1468" t="s">
        <v>65</v>
      </c>
      <c r="R1468" t="s">
        <v>86</v>
      </c>
      <c r="S1468" t="s">
        <v>67</v>
      </c>
    </row>
    <row r="1469" spans="1:19" x14ac:dyDescent="0.35">
      <c r="A1469" t="s">
        <v>1598</v>
      </c>
      <c r="B1469" s="5">
        <v>45832</v>
      </c>
      <c r="C1469" t="s">
        <v>63</v>
      </c>
      <c r="D1469" t="s">
        <v>64</v>
      </c>
      <c r="E1469">
        <v>5</v>
      </c>
      <c r="F1469" s="6">
        <v>145</v>
      </c>
      <c r="G1469" s="7">
        <v>2</v>
      </c>
      <c r="H1469" s="6">
        <v>710.5</v>
      </c>
      <c r="I1469">
        <v>0</v>
      </c>
      <c r="J1469" s="6">
        <v>0</v>
      </c>
      <c r="K1469">
        <v>5</v>
      </c>
      <c r="L1469" s="6">
        <v>710.5</v>
      </c>
      <c r="M1469" s="6">
        <v>600.09</v>
      </c>
      <c r="N1469" s="6">
        <v>110.41</v>
      </c>
      <c r="O1469" s="6">
        <v>54.43</v>
      </c>
      <c r="P1469" s="6">
        <v>55.98</v>
      </c>
      <c r="Q1469" t="s">
        <v>81</v>
      </c>
      <c r="R1469" t="s">
        <v>82</v>
      </c>
      <c r="S1469" t="s">
        <v>67</v>
      </c>
    </row>
    <row r="1470" spans="1:19" x14ac:dyDescent="0.35">
      <c r="A1470" t="s">
        <v>1599</v>
      </c>
      <c r="B1470" s="5">
        <v>45737</v>
      </c>
      <c r="C1470" t="s">
        <v>63</v>
      </c>
      <c r="D1470" t="s">
        <v>64</v>
      </c>
      <c r="E1470">
        <v>4</v>
      </c>
      <c r="F1470" s="6">
        <v>145</v>
      </c>
      <c r="G1470" s="7">
        <v>0</v>
      </c>
      <c r="H1470" s="6">
        <v>580</v>
      </c>
      <c r="I1470">
        <v>0</v>
      </c>
      <c r="J1470" s="6">
        <v>0</v>
      </c>
      <c r="K1470">
        <v>4</v>
      </c>
      <c r="L1470" s="6">
        <v>580</v>
      </c>
      <c r="M1470" s="6">
        <v>438.29</v>
      </c>
      <c r="N1470" s="6">
        <v>141.71</v>
      </c>
      <c r="O1470" s="6">
        <v>49.03</v>
      </c>
      <c r="P1470" s="6">
        <v>92.68</v>
      </c>
      <c r="Q1470" t="s">
        <v>59</v>
      </c>
      <c r="R1470" t="s">
        <v>66</v>
      </c>
      <c r="S1470" t="s">
        <v>71</v>
      </c>
    </row>
    <row r="1471" spans="1:19" x14ac:dyDescent="0.35">
      <c r="A1471" t="s">
        <v>1600</v>
      </c>
      <c r="B1471" s="5">
        <v>45896</v>
      </c>
      <c r="C1471" t="s">
        <v>73</v>
      </c>
      <c r="D1471" t="s">
        <v>74</v>
      </c>
      <c r="E1471">
        <v>8</v>
      </c>
      <c r="F1471" s="6">
        <v>280</v>
      </c>
      <c r="G1471" s="7">
        <v>0</v>
      </c>
      <c r="H1471" s="6">
        <v>2240</v>
      </c>
      <c r="I1471">
        <v>0</v>
      </c>
      <c r="J1471" s="6">
        <v>0</v>
      </c>
      <c r="K1471">
        <v>8</v>
      </c>
      <c r="L1471" s="6">
        <v>2240</v>
      </c>
      <c r="M1471" s="6">
        <v>1818.07</v>
      </c>
      <c r="N1471" s="6">
        <v>421.93</v>
      </c>
      <c r="O1471" s="6">
        <v>139.1</v>
      </c>
      <c r="P1471" s="6">
        <v>282.83</v>
      </c>
      <c r="Q1471" t="s">
        <v>81</v>
      </c>
      <c r="R1471" t="s">
        <v>82</v>
      </c>
      <c r="S1471" t="s">
        <v>67</v>
      </c>
    </row>
    <row r="1472" spans="1:19" x14ac:dyDescent="0.35">
      <c r="A1472" t="s">
        <v>1601</v>
      </c>
      <c r="B1472" s="5">
        <v>45933</v>
      </c>
      <c r="C1472" t="s">
        <v>104</v>
      </c>
      <c r="D1472" t="s">
        <v>105</v>
      </c>
      <c r="E1472">
        <v>3</v>
      </c>
      <c r="F1472" s="6">
        <v>65</v>
      </c>
      <c r="G1472" s="7">
        <v>10</v>
      </c>
      <c r="H1472" s="6">
        <v>175.5</v>
      </c>
      <c r="I1472">
        <v>0</v>
      </c>
      <c r="J1472" s="6">
        <v>0</v>
      </c>
      <c r="K1472">
        <v>3</v>
      </c>
      <c r="L1472" s="6">
        <v>175.5</v>
      </c>
      <c r="M1472" s="6">
        <v>137.37</v>
      </c>
      <c r="N1472" s="6">
        <v>38.130000000000003</v>
      </c>
      <c r="O1472" s="6">
        <v>16.66</v>
      </c>
      <c r="P1472" s="6">
        <v>21.47</v>
      </c>
      <c r="Q1472" t="s">
        <v>65</v>
      </c>
      <c r="R1472" t="s">
        <v>86</v>
      </c>
      <c r="S1472" t="s">
        <v>61</v>
      </c>
    </row>
    <row r="1473" spans="1:19" x14ac:dyDescent="0.35">
      <c r="A1473" t="s">
        <v>1602</v>
      </c>
      <c r="B1473" s="5">
        <v>46022</v>
      </c>
      <c r="C1473" t="s">
        <v>125</v>
      </c>
      <c r="D1473" t="s">
        <v>85</v>
      </c>
      <c r="E1473">
        <v>6</v>
      </c>
      <c r="F1473" s="6">
        <v>125</v>
      </c>
      <c r="G1473" s="7">
        <v>10</v>
      </c>
      <c r="H1473" s="6">
        <v>675</v>
      </c>
      <c r="I1473">
        <v>0</v>
      </c>
      <c r="J1473" s="6">
        <v>0</v>
      </c>
      <c r="K1473">
        <v>6</v>
      </c>
      <c r="L1473" s="6">
        <v>675</v>
      </c>
      <c r="M1473" s="6">
        <v>512.29</v>
      </c>
      <c r="N1473" s="6">
        <v>162.71</v>
      </c>
      <c r="O1473" s="6">
        <v>68.39</v>
      </c>
      <c r="P1473" s="6">
        <v>94.32</v>
      </c>
      <c r="Q1473" t="s">
        <v>75</v>
      </c>
      <c r="R1473" t="s">
        <v>66</v>
      </c>
      <c r="S1473" t="s">
        <v>61</v>
      </c>
    </row>
    <row r="1474" spans="1:19" x14ac:dyDescent="0.35">
      <c r="A1474" t="s">
        <v>1603</v>
      </c>
      <c r="B1474" s="5">
        <v>45915</v>
      </c>
      <c r="C1474" t="s">
        <v>121</v>
      </c>
      <c r="D1474" t="s">
        <v>70</v>
      </c>
      <c r="E1474">
        <v>4</v>
      </c>
      <c r="F1474" s="6">
        <v>110</v>
      </c>
      <c r="G1474" s="7">
        <v>2</v>
      </c>
      <c r="H1474" s="6">
        <v>431.2</v>
      </c>
      <c r="I1474">
        <v>0</v>
      </c>
      <c r="J1474" s="6">
        <v>0</v>
      </c>
      <c r="K1474">
        <v>4</v>
      </c>
      <c r="L1474" s="6">
        <v>431.2</v>
      </c>
      <c r="M1474" s="6">
        <v>313.87</v>
      </c>
      <c r="N1474" s="6">
        <v>117.33</v>
      </c>
      <c r="O1474" s="6">
        <v>23.9</v>
      </c>
      <c r="P1474" s="6">
        <v>93.43</v>
      </c>
      <c r="Q1474" t="s">
        <v>81</v>
      </c>
      <c r="R1474" t="s">
        <v>66</v>
      </c>
      <c r="S1474" t="s">
        <v>61</v>
      </c>
    </row>
    <row r="1475" spans="1:19" x14ac:dyDescent="0.35">
      <c r="A1475" t="s">
        <v>1604</v>
      </c>
      <c r="B1475" s="5">
        <v>45720</v>
      </c>
      <c r="C1475" t="s">
        <v>107</v>
      </c>
      <c r="D1475" t="s">
        <v>243</v>
      </c>
      <c r="E1475">
        <v>1</v>
      </c>
      <c r="F1475" s="6">
        <v>125</v>
      </c>
      <c r="G1475" s="7">
        <v>0</v>
      </c>
      <c r="H1475" s="6">
        <v>125</v>
      </c>
      <c r="I1475">
        <v>0</v>
      </c>
      <c r="J1475" s="6">
        <v>0</v>
      </c>
      <c r="K1475">
        <v>1</v>
      </c>
      <c r="L1475" s="6">
        <v>125</v>
      </c>
      <c r="M1475" s="6">
        <v>88.7</v>
      </c>
      <c r="N1475" s="6">
        <v>36.299999999999997</v>
      </c>
      <c r="O1475" s="6">
        <v>16.2</v>
      </c>
      <c r="P1475" s="6">
        <v>20.100000000000001</v>
      </c>
      <c r="Q1475" t="s">
        <v>75</v>
      </c>
      <c r="R1475" t="s">
        <v>60</v>
      </c>
      <c r="S1475" t="s">
        <v>76</v>
      </c>
    </row>
    <row r="1476" spans="1:19" x14ac:dyDescent="0.35">
      <c r="A1476" t="s">
        <v>1605</v>
      </c>
      <c r="B1476" s="5">
        <v>45837</v>
      </c>
      <c r="C1476" t="s">
        <v>63</v>
      </c>
      <c r="D1476" t="s">
        <v>64</v>
      </c>
      <c r="E1476">
        <v>4</v>
      </c>
      <c r="F1476" s="6">
        <v>145</v>
      </c>
      <c r="G1476" s="7">
        <v>15</v>
      </c>
      <c r="H1476" s="6">
        <v>493</v>
      </c>
      <c r="I1476">
        <v>0</v>
      </c>
      <c r="J1476" s="6">
        <v>0</v>
      </c>
      <c r="K1476">
        <v>4</v>
      </c>
      <c r="L1476" s="6">
        <v>493</v>
      </c>
      <c r="M1476" s="6">
        <v>341.18</v>
      </c>
      <c r="N1476" s="6">
        <v>151.82</v>
      </c>
      <c r="O1476" s="6">
        <v>41.77</v>
      </c>
      <c r="P1476" s="6">
        <v>110.05</v>
      </c>
      <c r="Q1476" t="s">
        <v>65</v>
      </c>
      <c r="R1476" t="s">
        <v>60</v>
      </c>
      <c r="S1476" t="s">
        <v>71</v>
      </c>
    </row>
    <row r="1477" spans="1:19" x14ac:dyDescent="0.35">
      <c r="A1477" t="s">
        <v>1606</v>
      </c>
      <c r="B1477" s="5">
        <v>45823</v>
      </c>
      <c r="C1477" t="s">
        <v>90</v>
      </c>
      <c r="D1477" t="s">
        <v>70</v>
      </c>
      <c r="E1477">
        <v>3</v>
      </c>
      <c r="F1477" s="6">
        <v>38</v>
      </c>
      <c r="G1477" s="7">
        <v>0</v>
      </c>
      <c r="H1477" s="6">
        <v>114</v>
      </c>
      <c r="I1477">
        <v>0</v>
      </c>
      <c r="J1477" s="6">
        <v>0</v>
      </c>
      <c r="K1477">
        <v>3</v>
      </c>
      <c r="L1477" s="6">
        <v>114</v>
      </c>
      <c r="M1477" s="6">
        <v>91.38</v>
      </c>
      <c r="N1477" s="6">
        <v>22.62</v>
      </c>
      <c r="O1477" s="6">
        <v>14.11</v>
      </c>
      <c r="P1477" s="6">
        <v>8.51</v>
      </c>
      <c r="Q1477" t="s">
        <v>59</v>
      </c>
      <c r="R1477" t="s">
        <v>86</v>
      </c>
      <c r="S1477" t="s">
        <v>61</v>
      </c>
    </row>
    <row r="1478" spans="1:19" x14ac:dyDescent="0.35">
      <c r="A1478" t="s">
        <v>1607</v>
      </c>
      <c r="B1478" s="5">
        <v>45715</v>
      </c>
      <c r="C1478" t="s">
        <v>90</v>
      </c>
      <c r="D1478" t="s">
        <v>70</v>
      </c>
      <c r="E1478">
        <v>2</v>
      </c>
      <c r="F1478" s="6">
        <v>38</v>
      </c>
      <c r="G1478" s="7">
        <v>0</v>
      </c>
      <c r="H1478" s="6">
        <v>76</v>
      </c>
      <c r="I1478">
        <v>0</v>
      </c>
      <c r="J1478" s="6">
        <v>0</v>
      </c>
      <c r="K1478">
        <v>2</v>
      </c>
      <c r="L1478" s="6">
        <v>76</v>
      </c>
      <c r="M1478" s="6">
        <v>64.19</v>
      </c>
      <c r="N1478" s="6">
        <v>11.81</v>
      </c>
      <c r="O1478" s="6">
        <v>4.0599999999999996</v>
      </c>
      <c r="P1478" s="6">
        <v>7.75</v>
      </c>
      <c r="Q1478" t="s">
        <v>81</v>
      </c>
      <c r="R1478" t="s">
        <v>82</v>
      </c>
      <c r="S1478" t="s">
        <v>71</v>
      </c>
    </row>
    <row r="1479" spans="1:19" x14ac:dyDescent="0.35">
      <c r="A1479" t="s">
        <v>1608</v>
      </c>
      <c r="B1479" s="5">
        <v>45703</v>
      </c>
      <c r="C1479" t="s">
        <v>84</v>
      </c>
      <c r="D1479" t="s">
        <v>85</v>
      </c>
      <c r="E1479">
        <v>10</v>
      </c>
      <c r="F1479" s="6">
        <v>48</v>
      </c>
      <c r="G1479" s="7">
        <v>5</v>
      </c>
      <c r="H1479" s="6">
        <v>456</v>
      </c>
      <c r="I1479">
        <v>0</v>
      </c>
      <c r="J1479" s="6">
        <v>0</v>
      </c>
      <c r="K1479">
        <v>10</v>
      </c>
      <c r="L1479" s="6">
        <v>456</v>
      </c>
      <c r="M1479" s="6">
        <v>363.67</v>
      </c>
      <c r="N1479" s="6">
        <v>92.33</v>
      </c>
      <c r="O1479" s="6">
        <v>45.93</v>
      </c>
      <c r="P1479" s="6">
        <v>46.4</v>
      </c>
      <c r="Q1479" t="s">
        <v>81</v>
      </c>
      <c r="R1479" t="s">
        <v>66</v>
      </c>
      <c r="S1479" t="s">
        <v>67</v>
      </c>
    </row>
    <row r="1480" spans="1:19" x14ac:dyDescent="0.35">
      <c r="A1480" t="s">
        <v>1609</v>
      </c>
      <c r="B1480" s="5">
        <v>45953</v>
      </c>
      <c r="C1480" t="s">
        <v>88</v>
      </c>
      <c r="D1480" t="s">
        <v>57</v>
      </c>
      <c r="E1480">
        <v>1</v>
      </c>
      <c r="F1480" s="6">
        <v>30</v>
      </c>
      <c r="G1480" s="7">
        <v>2</v>
      </c>
      <c r="H1480" s="6">
        <v>29.4</v>
      </c>
      <c r="I1480">
        <v>0</v>
      </c>
      <c r="J1480" s="6">
        <v>0</v>
      </c>
      <c r="K1480">
        <v>1</v>
      </c>
      <c r="L1480" s="6">
        <v>29.4</v>
      </c>
      <c r="M1480" s="6">
        <v>24.48</v>
      </c>
      <c r="N1480" s="6">
        <v>4.92</v>
      </c>
      <c r="O1480" s="6">
        <v>3.78</v>
      </c>
      <c r="P1480" s="6">
        <v>1.1399999999999999</v>
      </c>
      <c r="Q1480" t="s">
        <v>59</v>
      </c>
      <c r="R1480" t="s">
        <v>147</v>
      </c>
      <c r="S1480" t="s">
        <v>76</v>
      </c>
    </row>
    <row r="1481" spans="1:19" x14ac:dyDescent="0.35">
      <c r="A1481" t="s">
        <v>1610</v>
      </c>
      <c r="B1481" s="5">
        <v>45958</v>
      </c>
      <c r="C1481" t="s">
        <v>95</v>
      </c>
      <c r="D1481" t="s">
        <v>64</v>
      </c>
      <c r="E1481">
        <v>8</v>
      </c>
      <c r="F1481" s="6">
        <v>52</v>
      </c>
      <c r="G1481" s="7">
        <v>10</v>
      </c>
      <c r="H1481" s="6">
        <v>374.4</v>
      </c>
      <c r="I1481">
        <v>0</v>
      </c>
      <c r="J1481" s="6">
        <v>0</v>
      </c>
      <c r="K1481">
        <v>8</v>
      </c>
      <c r="L1481" s="6">
        <v>374.4</v>
      </c>
      <c r="M1481" s="6">
        <v>316.17</v>
      </c>
      <c r="N1481" s="6">
        <v>58.23</v>
      </c>
      <c r="O1481" s="6">
        <v>34.65</v>
      </c>
      <c r="P1481" s="6">
        <v>23.58</v>
      </c>
      <c r="Q1481" t="s">
        <v>81</v>
      </c>
      <c r="R1481" t="s">
        <v>86</v>
      </c>
      <c r="S1481" t="s">
        <v>76</v>
      </c>
    </row>
    <row r="1482" spans="1:19" x14ac:dyDescent="0.35">
      <c r="A1482" t="s">
        <v>1611</v>
      </c>
      <c r="B1482" s="5">
        <v>45846</v>
      </c>
      <c r="C1482" t="s">
        <v>78</v>
      </c>
      <c r="D1482" t="s">
        <v>79</v>
      </c>
      <c r="E1482">
        <v>1</v>
      </c>
      <c r="F1482" s="6">
        <v>120</v>
      </c>
      <c r="G1482" s="7">
        <v>0</v>
      </c>
      <c r="H1482" s="6">
        <v>120</v>
      </c>
      <c r="I1482">
        <v>0</v>
      </c>
      <c r="J1482" s="6">
        <v>0</v>
      </c>
      <c r="K1482">
        <v>1</v>
      </c>
      <c r="L1482" s="6">
        <v>120</v>
      </c>
      <c r="M1482" s="6">
        <v>84.68</v>
      </c>
      <c r="N1482" s="6">
        <v>35.32</v>
      </c>
      <c r="O1482" s="6">
        <v>13.28</v>
      </c>
      <c r="P1482" s="6">
        <v>22.04</v>
      </c>
      <c r="Q1482" t="s">
        <v>75</v>
      </c>
      <c r="R1482" t="s">
        <v>66</v>
      </c>
      <c r="S1482" t="s">
        <v>71</v>
      </c>
    </row>
    <row r="1483" spans="1:19" x14ac:dyDescent="0.35">
      <c r="A1483" t="s">
        <v>1612</v>
      </c>
      <c r="B1483" s="5">
        <v>45687</v>
      </c>
      <c r="C1483" t="s">
        <v>90</v>
      </c>
      <c r="D1483" t="s">
        <v>70</v>
      </c>
      <c r="E1483">
        <v>3</v>
      </c>
      <c r="F1483" s="6">
        <v>38</v>
      </c>
      <c r="G1483" s="7">
        <v>15</v>
      </c>
      <c r="H1483" s="6">
        <v>96.9</v>
      </c>
      <c r="I1483">
        <v>0</v>
      </c>
      <c r="J1483" s="6">
        <v>0</v>
      </c>
      <c r="K1483">
        <v>3</v>
      </c>
      <c r="L1483" s="6">
        <v>96.9</v>
      </c>
      <c r="M1483" s="6">
        <v>74.08</v>
      </c>
      <c r="N1483" s="6">
        <v>22.82</v>
      </c>
      <c r="O1483" s="6">
        <v>10.48</v>
      </c>
      <c r="P1483" s="6">
        <v>12.34</v>
      </c>
      <c r="Q1483" t="s">
        <v>81</v>
      </c>
      <c r="R1483" t="s">
        <v>86</v>
      </c>
      <c r="S1483" t="s">
        <v>61</v>
      </c>
    </row>
    <row r="1484" spans="1:19" x14ac:dyDescent="0.35">
      <c r="A1484" t="s">
        <v>1613</v>
      </c>
      <c r="B1484" s="5">
        <v>46010</v>
      </c>
      <c r="C1484" t="s">
        <v>95</v>
      </c>
      <c r="D1484" t="s">
        <v>64</v>
      </c>
      <c r="E1484">
        <v>3</v>
      </c>
      <c r="F1484" s="6">
        <v>52</v>
      </c>
      <c r="G1484" s="7">
        <v>0</v>
      </c>
      <c r="H1484" s="6">
        <v>156</v>
      </c>
      <c r="I1484">
        <v>0</v>
      </c>
      <c r="J1484" s="6">
        <v>0</v>
      </c>
      <c r="K1484">
        <v>3</v>
      </c>
      <c r="L1484" s="6">
        <v>156</v>
      </c>
      <c r="M1484" s="6">
        <v>97.97</v>
      </c>
      <c r="N1484" s="6">
        <v>58.03</v>
      </c>
      <c r="O1484" s="6">
        <v>9.73</v>
      </c>
      <c r="P1484" s="6">
        <v>48.3</v>
      </c>
      <c r="Q1484" t="s">
        <v>59</v>
      </c>
      <c r="R1484" t="s">
        <v>86</v>
      </c>
      <c r="S1484" t="s">
        <v>67</v>
      </c>
    </row>
    <row r="1485" spans="1:19" x14ac:dyDescent="0.35">
      <c r="A1485" t="s">
        <v>1614</v>
      </c>
      <c r="B1485" s="5">
        <v>45666</v>
      </c>
      <c r="C1485" t="s">
        <v>100</v>
      </c>
      <c r="D1485" t="s">
        <v>64</v>
      </c>
      <c r="E1485">
        <v>6</v>
      </c>
      <c r="F1485" s="6">
        <v>310</v>
      </c>
      <c r="G1485" s="7">
        <v>0</v>
      </c>
      <c r="H1485" s="6">
        <v>1860</v>
      </c>
      <c r="I1485">
        <v>0</v>
      </c>
      <c r="J1485" s="6">
        <v>0</v>
      </c>
      <c r="K1485">
        <v>6</v>
      </c>
      <c r="L1485" s="6">
        <v>1860</v>
      </c>
      <c r="M1485" s="6">
        <v>1249.93</v>
      </c>
      <c r="N1485" s="6">
        <v>610.07000000000005</v>
      </c>
      <c r="O1485" s="6">
        <v>93.02</v>
      </c>
      <c r="P1485" s="6">
        <v>517.04999999999995</v>
      </c>
      <c r="Q1485" t="s">
        <v>59</v>
      </c>
      <c r="R1485" t="s">
        <v>66</v>
      </c>
      <c r="S1485" t="s">
        <v>67</v>
      </c>
    </row>
    <row r="1486" spans="1:19" x14ac:dyDescent="0.35">
      <c r="A1486" t="s">
        <v>1615</v>
      </c>
      <c r="B1486" s="5">
        <v>45849</v>
      </c>
      <c r="C1486" t="s">
        <v>104</v>
      </c>
      <c r="D1486" t="s">
        <v>105</v>
      </c>
      <c r="E1486">
        <v>2</v>
      </c>
      <c r="F1486" s="6">
        <v>65</v>
      </c>
      <c r="G1486" s="7">
        <v>2</v>
      </c>
      <c r="H1486" s="6">
        <v>127.4</v>
      </c>
      <c r="I1486">
        <v>0</v>
      </c>
      <c r="J1486" s="6">
        <v>0</v>
      </c>
      <c r="K1486">
        <v>2</v>
      </c>
      <c r="L1486" s="6">
        <v>127.4</v>
      </c>
      <c r="M1486" s="6">
        <v>91.16</v>
      </c>
      <c r="N1486" s="6">
        <v>36.24</v>
      </c>
      <c r="O1486" s="6">
        <v>6.94</v>
      </c>
      <c r="P1486" s="6">
        <v>29.3</v>
      </c>
      <c r="Q1486" t="s">
        <v>75</v>
      </c>
      <c r="R1486" t="s">
        <v>60</v>
      </c>
      <c r="S1486" t="s">
        <v>67</v>
      </c>
    </row>
    <row r="1487" spans="1:19" x14ac:dyDescent="0.35">
      <c r="A1487" t="s">
        <v>1616</v>
      </c>
      <c r="B1487" s="5">
        <v>45681</v>
      </c>
      <c r="C1487" t="s">
        <v>107</v>
      </c>
      <c r="D1487" t="s">
        <v>74</v>
      </c>
      <c r="E1487">
        <v>2</v>
      </c>
      <c r="F1487" s="6">
        <v>125</v>
      </c>
      <c r="G1487" s="7">
        <v>0</v>
      </c>
      <c r="H1487" s="6">
        <v>250</v>
      </c>
      <c r="I1487">
        <v>0</v>
      </c>
      <c r="J1487" s="6">
        <v>0</v>
      </c>
      <c r="K1487">
        <v>2</v>
      </c>
      <c r="L1487" s="6">
        <v>250</v>
      </c>
      <c r="M1487" s="6">
        <v>183.84</v>
      </c>
      <c r="N1487" s="6">
        <v>66.16</v>
      </c>
      <c r="O1487" s="6">
        <v>28.86</v>
      </c>
      <c r="P1487" s="6">
        <v>37.299999999999997</v>
      </c>
      <c r="Q1487" t="s">
        <v>59</v>
      </c>
      <c r="R1487" t="s">
        <v>82</v>
      </c>
      <c r="S1487" t="s">
        <v>67</v>
      </c>
    </row>
    <row r="1488" spans="1:19" x14ac:dyDescent="0.35">
      <c r="A1488" t="s">
        <v>1617</v>
      </c>
      <c r="B1488" s="5">
        <v>45815</v>
      </c>
      <c r="C1488" t="s">
        <v>90</v>
      </c>
      <c r="D1488" t="s">
        <v>70</v>
      </c>
      <c r="E1488">
        <v>1</v>
      </c>
      <c r="F1488" s="6">
        <v>38</v>
      </c>
      <c r="G1488" s="7">
        <v>0</v>
      </c>
      <c r="H1488" s="6">
        <v>38</v>
      </c>
      <c r="I1488">
        <v>0</v>
      </c>
      <c r="J1488" s="6">
        <v>0</v>
      </c>
      <c r="K1488">
        <v>1</v>
      </c>
      <c r="L1488" s="6">
        <v>38</v>
      </c>
      <c r="M1488" s="6">
        <v>32.29</v>
      </c>
      <c r="N1488" s="6">
        <v>5.71</v>
      </c>
      <c r="O1488" s="6">
        <v>4.12</v>
      </c>
      <c r="P1488" s="6">
        <v>1.59</v>
      </c>
      <c r="Q1488" t="s">
        <v>81</v>
      </c>
      <c r="R1488" t="s">
        <v>86</v>
      </c>
      <c r="S1488" t="s">
        <v>67</v>
      </c>
    </row>
    <row r="1489" spans="1:19" x14ac:dyDescent="0.35">
      <c r="A1489" t="s">
        <v>1618</v>
      </c>
      <c r="B1489" s="5">
        <v>45705</v>
      </c>
      <c r="C1489" t="s">
        <v>264</v>
      </c>
      <c r="D1489" t="s">
        <v>85</v>
      </c>
      <c r="E1489">
        <v>1</v>
      </c>
      <c r="F1489" s="6">
        <v>20</v>
      </c>
      <c r="G1489" s="7">
        <v>10</v>
      </c>
      <c r="H1489" s="6">
        <v>18</v>
      </c>
      <c r="I1489">
        <v>0</v>
      </c>
      <c r="J1489" s="6">
        <v>0</v>
      </c>
      <c r="K1489">
        <v>1</v>
      </c>
      <c r="L1489" s="6">
        <v>18</v>
      </c>
      <c r="M1489" s="6">
        <v>15.11</v>
      </c>
      <c r="N1489" s="6">
        <v>2.89</v>
      </c>
      <c r="O1489" s="6">
        <v>2.16</v>
      </c>
      <c r="P1489" s="6">
        <v>0.73</v>
      </c>
      <c r="Q1489" t="s">
        <v>59</v>
      </c>
      <c r="R1489" t="s">
        <v>86</v>
      </c>
      <c r="S1489" t="s">
        <v>76</v>
      </c>
    </row>
    <row r="1490" spans="1:19" x14ac:dyDescent="0.35">
      <c r="A1490" t="s">
        <v>1619</v>
      </c>
      <c r="B1490" s="5">
        <v>45706</v>
      </c>
      <c r="C1490" t="s">
        <v>100</v>
      </c>
      <c r="D1490" t="s">
        <v>64</v>
      </c>
      <c r="E1490">
        <v>4</v>
      </c>
      <c r="F1490" s="6">
        <v>310</v>
      </c>
      <c r="G1490" s="7">
        <v>2</v>
      </c>
      <c r="H1490" s="6">
        <v>1215.2</v>
      </c>
      <c r="I1490">
        <v>0</v>
      </c>
      <c r="J1490" s="6">
        <v>0</v>
      </c>
      <c r="K1490">
        <v>4</v>
      </c>
      <c r="L1490" s="6">
        <v>1215.2</v>
      </c>
      <c r="M1490" s="6">
        <v>846.2</v>
      </c>
      <c r="N1490" s="6">
        <v>369</v>
      </c>
      <c r="O1490" s="6">
        <v>70.709999999999994</v>
      </c>
      <c r="P1490" s="6">
        <v>298.29000000000002</v>
      </c>
      <c r="Q1490" t="s">
        <v>81</v>
      </c>
      <c r="R1490" t="s">
        <v>86</v>
      </c>
      <c r="S1490" t="s">
        <v>76</v>
      </c>
    </row>
    <row r="1491" spans="1:19" x14ac:dyDescent="0.35">
      <c r="A1491" t="s">
        <v>1620</v>
      </c>
      <c r="B1491" s="5">
        <v>45926</v>
      </c>
      <c r="C1491" t="s">
        <v>88</v>
      </c>
      <c r="D1491" t="s">
        <v>57</v>
      </c>
      <c r="E1491">
        <v>3</v>
      </c>
      <c r="F1491" s="6">
        <v>30</v>
      </c>
      <c r="G1491" s="7">
        <v>0</v>
      </c>
      <c r="H1491" s="6">
        <v>90</v>
      </c>
      <c r="I1491">
        <v>0</v>
      </c>
      <c r="J1491" s="6">
        <v>0</v>
      </c>
      <c r="K1491">
        <v>3</v>
      </c>
      <c r="L1491" s="6">
        <v>90</v>
      </c>
      <c r="M1491" s="6">
        <v>71.86</v>
      </c>
      <c r="N1491" s="6">
        <v>18.14</v>
      </c>
      <c r="O1491" s="6">
        <v>9.44</v>
      </c>
      <c r="P1491" s="6">
        <v>8.6999999999999993</v>
      </c>
      <c r="Q1491" t="s">
        <v>81</v>
      </c>
      <c r="R1491" t="s">
        <v>60</v>
      </c>
      <c r="S1491" t="s">
        <v>61</v>
      </c>
    </row>
    <row r="1492" spans="1:19" x14ac:dyDescent="0.35">
      <c r="A1492" t="s">
        <v>1621</v>
      </c>
      <c r="B1492" s="5">
        <v>45945</v>
      </c>
      <c r="C1492" t="s">
        <v>125</v>
      </c>
      <c r="D1492" t="s">
        <v>85</v>
      </c>
      <c r="E1492">
        <v>5</v>
      </c>
      <c r="F1492" s="6">
        <v>125</v>
      </c>
      <c r="G1492" s="7">
        <v>0</v>
      </c>
      <c r="H1492" s="6">
        <v>625</v>
      </c>
      <c r="I1492">
        <v>0</v>
      </c>
      <c r="J1492" s="6">
        <v>0</v>
      </c>
      <c r="K1492">
        <v>5</v>
      </c>
      <c r="L1492" s="6">
        <v>625</v>
      </c>
      <c r="M1492" s="6">
        <v>401.51</v>
      </c>
      <c r="N1492" s="6">
        <v>223.49</v>
      </c>
      <c r="O1492" s="6">
        <v>35.79</v>
      </c>
      <c r="P1492" s="6">
        <v>187.7</v>
      </c>
      <c r="Q1492" t="s">
        <v>59</v>
      </c>
      <c r="S1492" t="s">
        <v>67</v>
      </c>
    </row>
    <row r="1493" spans="1:19" x14ac:dyDescent="0.35">
      <c r="A1493" t="s">
        <v>1622</v>
      </c>
      <c r="B1493" s="5">
        <v>45961</v>
      </c>
      <c r="C1493" t="s">
        <v>104</v>
      </c>
      <c r="D1493" t="s">
        <v>105</v>
      </c>
      <c r="E1493">
        <v>2</v>
      </c>
      <c r="F1493" s="6">
        <v>65</v>
      </c>
      <c r="G1493" s="7">
        <v>0</v>
      </c>
      <c r="H1493" s="6">
        <v>130</v>
      </c>
      <c r="I1493">
        <v>0</v>
      </c>
      <c r="J1493" s="6">
        <v>0</v>
      </c>
      <c r="K1493">
        <v>2</v>
      </c>
      <c r="L1493" s="6">
        <v>130</v>
      </c>
      <c r="M1493" s="6">
        <v>83.67</v>
      </c>
      <c r="N1493" s="6">
        <v>46.33</v>
      </c>
      <c r="O1493" s="6">
        <v>7.92</v>
      </c>
      <c r="P1493" s="6">
        <v>38.409999999999997</v>
      </c>
      <c r="Q1493" t="s">
        <v>75</v>
      </c>
      <c r="R1493" t="s">
        <v>60</v>
      </c>
      <c r="S1493" t="s">
        <v>61</v>
      </c>
    </row>
    <row r="1494" spans="1:19" x14ac:dyDescent="0.35">
      <c r="A1494" t="s">
        <v>1623</v>
      </c>
      <c r="B1494" s="5">
        <v>46009</v>
      </c>
      <c r="C1494" t="s">
        <v>121</v>
      </c>
      <c r="D1494" t="s">
        <v>70</v>
      </c>
      <c r="E1494">
        <v>4</v>
      </c>
      <c r="F1494" s="6">
        <v>110</v>
      </c>
      <c r="G1494" s="7">
        <v>5</v>
      </c>
      <c r="H1494" s="6">
        <v>418</v>
      </c>
      <c r="I1494">
        <v>0</v>
      </c>
      <c r="J1494" s="6">
        <v>0</v>
      </c>
      <c r="K1494">
        <v>4</v>
      </c>
      <c r="L1494" s="6">
        <v>418</v>
      </c>
      <c r="M1494" s="6">
        <v>344.07</v>
      </c>
      <c r="N1494" s="6">
        <v>73.930000000000007</v>
      </c>
      <c r="O1494" s="6">
        <v>52.8</v>
      </c>
      <c r="P1494" s="6">
        <v>21.13</v>
      </c>
      <c r="Q1494" t="s">
        <v>59</v>
      </c>
      <c r="R1494" t="s">
        <v>82</v>
      </c>
      <c r="S1494" t="s">
        <v>61</v>
      </c>
    </row>
    <row r="1495" spans="1:19" x14ac:dyDescent="0.35">
      <c r="A1495" t="s">
        <v>1624</v>
      </c>
      <c r="B1495" s="5">
        <v>46008</v>
      </c>
      <c r="C1495" t="s">
        <v>125</v>
      </c>
      <c r="D1495" t="s">
        <v>85</v>
      </c>
      <c r="E1495">
        <v>5</v>
      </c>
      <c r="F1495" s="6">
        <v>125</v>
      </c>
      <c r="G1495" s="7">
        <v>0</v>
      </c>
      <c r="H1495" s="6">
        <v>625</v>
      </c>
      <c r="I1495">
        <v>0</v>
      </c>
      <c r="J1495" s="6">
        <v>0</v>
      </c>
      <c r="K1495">
        <v>5</v>
      </c>
      <c r="L1495" s="6">
        <v>625</v>
      </c>
      <c r="M1495" s="6">
        <v>416.93</v>
      </c>
      <c r="N1495" s="6">
        <v>208.07</v>
      </c>
      <c r="O1495" s="6">
        <v>53.9</v>
      </c>
      <c r="P1495" s="6">
        <v>154.16999999999999</v>
      </c>
      <c r="Q1495" t="s">
        <v>65</v>
      </c>
      <c r="R1495" t="s">
        <v>86</v>
      </c>
      <c r="S1495" t="s">
        <v>61</v>
      </c>
    </row>
    <row r="1496" spans="1:19" x14ac:dyDescent="0.35">
      <c r="A1496" t="s">
        <v>1625</v>
      </c>
      <c r="B1496" s="5">
        <v>45836</v>
      </c>
      <c r="C1496" t="s">
        <v>107</v>
      </c>
      <c r="D1496" t="s">
        <v>74</v>
      </c>
      <c r="E1496">
        <v>3</v>
      </c>
      <c r="F1496" s="6">
        <v>125</v>
      </c>
      <c r="G1496" s="7">
        <v>0</v>
      </c>
      <c r="H1496" s="6">
        <v>375</v>
      </c>
      <c r="I1496">
        <v>0</v>
      </c>
      <c r="J1496" s="6">
        <v>0</v>
      </c>
      <c r="K1496">
        <v>3</v>
      </c>
      <c r="L1496" s="6">
        <v>375</v>
      </c>
      <c r="M1496" s="6">
        <v>293.63</v>
      </c>
      <c r="N1496" s="6">
        <v>81.37</v>
      </c>
      <c r="O1496" s="6">
        <v>29.94</v>
      </c>
      <c r="P1496" s="6">
        <v>51.43</v>
      </c>
      <c r="Q1496" t="s">
        <v>59</v>
      </c>
      <c r="R1496" t="s">
        <v>66</v>
      </c>
      <c r="S1496" t="s">
        <v>61</v>
      </c>
    </row>
    <row r="1497" spans="1:19" x14ac:dyDescent="0.35">
      <c r="A1497" t="s">
        <v>1626</v>
      </c>
      <c r="B1497" s="5">
        <v>45729</v>
      </c>
      <c r="C1497" t="s">
        <v>100</v>
      </c>
      <c r="D1497" t="s">
        <v>64</v>
      </c>
      <c r="E1497">
        <v>3</v>
      </c>
      <c r="F1497" s="6">
        <v>310</v>
      </c>
      <c r="G1497" s="7">
        <v>10</v>
      </c>
      <c r="H1497" s="6">
        <v>837</v>
      </c>
      <c r="I1497">
        <v>0</v>
      </c>
      <c r="J1497" s="6">
        <v>0</v>
      </c>
      <c r="K1497">
        <v>3</v>
      </c>
      <c r="L1497" s="6">
        <v>837</v>
      </c>
      <c r="M1497" s="6">
        <v>612.92999999999995</v>
      </c>
      <c r="N1497" s="6">
        <v>224.07</v>
      </c>
      <c r="O1497" s="6">
        <v>51.35</v>
      </c>
      <c r="P1497" s="6">
        <v>172.72</v>
      </c>
      <c r="Q1497" t="s">
        <v>59</v>
      </c>
      <c r="R1497" t="s">
        <v>86</v>
      </c>
      <c r="S1497" t="s">
        <v>76</v>
      </c>
    </row>
    <row r="1498" spans="1:19" x14ac:dyDescent="0.35">
      <c r="A1498" t="s">
        <v>1627</v>
      </c>
      <c r="B1498" s="5">
        <v>45845</v>
      </c>
      <c r="C1498" t="s">
        <v>88</v>
      </c>
      <c r="D1498" t="s">
        <v>153</v>
      </c>
      <c r="E1498">
        <v>2</v>
      </c>
      <c r="F1498" s="6">
        <v>30</v>
      </c>
      <c r="G1498" s="7">
        <v>0</v>
      </c>
      <c r="H1498" s="6">
        <v>60</v>
      </c>
      <c r="I1498">
        <v>0</v>
      </c>
      <c r="J1498" s="6">
        <v>0</v>
      </c>
      <c r="K1498">
        <v>2</v>
      </c>
      <c r="L1498" s="6">
        <v>60</v>
      </c>
      <c r="M1498" s="6">
        <v>51.14</v>
      </c>
      <c r="N1498" s="6">
        <v>8.86</v>
      </c>
      <c r="O1498" s="6">
        <v>4.9800000000000004</v>
      </c>
      <c r="P1498" s="6">
        <v>3.88</v>
      </c>
      <c r="Q1498" t="s">
        <v>65</v>
      </c>
      <c r="R1498" t="s">
        <v>60</v>
      </c>
      <c r="S1498" t="s">
        <v>67</v>
      </c>
    </row>
    <row r="1499" spans="1:19" x14ac:dyDescent="0.35">
      <c r="A1499" t="s">
        <v>1628</v>
      </c>
      <c r="B1499" s="5">
        <v>45977</v>
      </c>
      <c r="C1499" t="s">
        <v>264</v>
      </c>
      <c r="D1499" t="s">
        <v>85</v>
      </c>
      <c r="E1499">
        <v>1</v>
      </c>
      <c r="F1499" s="6">
        <v>20</v>
      </c>
      <c r="G1499" s="7">
        <v>15</v>
      </c>
      <c r="H1499" s="6">
        <v>17</v>
      </c>
      <c r="I1499">
        <v>0</v>
      </c>
      <c r="J1499" s="6">
        <v>0</v>
      </c>
      <c r="K1499">
        <v>1</v>
      </c>
      <c r="L1499" s="6">
        <v>17</v>
      </c>
      <c r="M1499" s="6">
        <v>10.69</v>
      </c>
      <c r="N1499" s="6">
        <v>6.31</v>
      </c>
      <c r="O1499" s="6">
        <v>0.86</v>
      </c>
      <c r="P1499" s="6">
        <v>5.45</v>
      </c>
      <c r="Q1499" t="s">
        <v>59</v>
      </c>
      <c r="R1499" t="s">
        <v>82</v>
      </c>
      <c r="S1499" t="s">
        <v>71</v>
      </c>
    </row>
    <row r="1500" spans="1:19" x14ac:dyDescent="0.35">
      <c r="A1500" t="s">
        <v>1629</v>
      </c>
      <c r="B1500" s="5">
        <v>45896</v>
      </c>
      <c r="C1500" t="s">
        <v>104</v>
      </c>
      <c r="D1500" t="s">
        <v>105</v>
      </c>
      <c r="E1500">
        <v>1</v>
      </c>
      <c r="F1500" s="6">
        <v>65</v>
      </c>
      <c r="G1500" s="7">
        <v>0</v>
      </c>
      <c r="H1500" s="6">
        <v>65</v>
      </c>
      <c r="I1500">
        <v>0</v>
      </c>
      <c r="J1500" s="6">
        <v>0</v>
      </c>
      <c r="K1500">
        <v>1</v>
      </c>
      <c r="L1500" s="6">
        <v>65</v>
      </c>
      <c r="M1500" s="6">
        <v>52.37</v>
      </c>
      <c r="N1500" s="6">
        <v>12.63</v>
      </c>
      <c r="O1500" s="6">
        <v>8.08</v>
      </c>
      <c r="P1500" s="6">
        <v>4.55</v>
      </c>
      <c r="Q1500" t="s">
        <v>81</v>
      </c>
      <c r="R1500" t="s">
        <v>82</v>
      </c>
      <c r="S1500" t="s">
        <v>61</v>
      </c>
    </row>
    <row r="1501" spans="1:19" x14ac:dyDescent="0.35">
      <c r="A1501" t="s">
        <v>1630</v>
      </c>
      <c r="B1501" s="5">
        <v>45705</v>
      </c>
      <c r="C1501" t="s">
        <v>125</v>
      </c>
      <c r="D1501" t="s">
        <v>85</v>
      </c>
      <c r="E1501">
        <v>5</v>
      </c>
      <c r="F1501" s="6">
        <v>125</v>
      </c>
      <c r="G1501" s="7">
        <v>0</v>
      </c>
      <c r="H1501" s="6">
        <v>625</v>
      </c>
      <c r="I1501">
        <v>0</v>
      </c>
      <c r="J1501" s="6">
        <v>0</v>
      </c>
      <c r="K1501">
        <v>5</v>
      </c>
      <c r="L1501" s="6">
        <v>625</v>
      </c>
      <c r="M1501" s="6">
        <v>526.65</v>
      </c>
      <c r="N1501" s="6">
        <v>98.35</v>
      </c>
      <c r="O1501" s="6">
        <v>42.49</v>
      </c>
      <c r="P1501" s="6">
        <v>55.86</v>
      </c>
      <c r="Q1501" t="s">
        <v>75</v>
      </c>
      <c r="R1501" t="s">
        <v>66</v>
      </c>
      <c r="S1501" t="s">
        <v>76</v>
      </c>
    </row>
    <row r="1502" spans="1:19" x14ac:dyDescent="0.35">
      <c r="A1502" t="s">
        <v>1631</v>
      </c>
      <c r="B1502" s="5">
        <v>45995</v>
      </c>
      <c r="C1502" t="s">
        <v>1248</v>
      </c>
      <c r="D1502" t="s">
        <v>57</v>
      </c>
      <c r="E1502">
        <v>1</v>
      </c>
      <c r="F1502" s="6">
        <v>55</v>
      </c>
      <c r="G1502" s="7">
        <v>5</v>
      </c>
      <c r="H1502" s="6">
        <v>52.25</v>
      </c>
      <c r="I1502">
        <v>0</v>
      </c>
      <c r="J1502" s="6">
        <v>0</v>
      </c>
      <c r="K1502">
        <v>1</v>
      </c>
      <c r="L1502" s="6">
        <v>52.25</v>
      </c>
      <c r="M1502" s="6">
        <v>34.58</v>
      </c>
      <c r="N1502" s="6">
        <v>17.670000000000002</v>
      </c>
      <c r="O1502" s="6">
        <v>4.29</v>
      </c>
      <c r="P1502" s="6">
        <v>13.38</v>
      </c>
      <c r="Q1502" t="s">
        <v>65</v>
      </c>
      <c r="R1502" t="s">
        <v>60</v>
      </c>
      <c r="S1502" t="s">
        <v>67</v>
      </c>
    </row>
    <row r="1503" spans="1:19" x14ac:dyDescent="0.35">
      <c r="A1503" t="s">
        <v>1632</v>
      </c>
      <c r="B1503" s="5">
        <v>45852</v>
      </c>
      <c r="C1503" t="s">
        <v>69</v>
      </c>
      <c r="D1503" t="s">
        <v>70</v>
      </c>
      <c r="E1503">
        <v>2</v>
      </c>
      <c r="F1503" s="6">
        <v>210</v>
      </c>
      <c r="G1503" s="7">
        <v>0</v>
      </c>
      <c r="H1503" s="6">
        <v>420</v>
      </c>
      <c r="I1503">
        <v>0</v>
      </c>
      <c r="J1503" s="6">
        <v>0</v>
      </c>
      <c r="K1503">
        <v>2</v>
      </c>
      <c r="L1503" s="6">
        <v>420</v>
      </c>
      <c r="M1503" s="6">
        <v>335.91</v>
      </c>
      <c r="N1503" s="6">
        <v>84.09</v>
      </c>
      <c r="O1503" s="6">
        <v>36.049999999999997</v>
      </c>
      <c r="P1503" s="6">
        <v>48.04</v>
      </c>
      <c r="Q1503" t="s">
        <v>81</v>
      </c>
      <c r="R1503" t="s">
        <v>60</v>
      </c>
      <c r="S1503" t="s">
        <v>67</v>
      </c>
    </row>
    <row r="1504" spans="1:19" x14ac:dyDescent="0.35">
      <c r="A1504" t="s">
        <v>1633</v>
      </c>
      <c r="B1504" s="5">
        <v>45687</v>
      </c>
      <c r="C1504" t="s">
        <v>114</v>
      </c>
      <c r="D1504" t="s">
        <v>64</v>
      </c>
      <c r="E1504">
        <v>8</v>
      </c>
      <c r="F1504" s="6">
        <v>420</v>
      </c>
      <c r="G1504" s="7">
        <v>0</v>
      </c>
      <c r="H1504" s="6">
        <v>3360</v>
      </c>
      <c r="I1504">
        <v>0</v>
      </c>
      <c r="J1504" s="6">
        <v>0</v>
      </c>
      <c r="K1504">
        <v>8</v>
      </c>
      <c r="L1504" s="6">
        <v>3360</v>
      </c>
      <c r="M1504" s="6">
        <v>2122.5700000000002</v>
      </c>
      <c r="N1504" s="6">
        <v>1237.43</v>
      </c>
      <c r="O1504" s="6">
        <v>379.35</v>
      </c>
      <c r="P1504" s="6">
        <v>858.08</v>
      </c>
      <c r="Q1504" t="s">
        <v>65</v>
      </c>
      <c r="R1504" t="s">
        <v>60</v>
      </c>
      <c r="S1504" t="s">
        <v>71</v>
      </c>
    </row>
    <row r="1505" spans="1:19" x14ac:dyDescent="0.35">
      <c r="A1505" t="s">
        <v>1634</v>
      </c>
      <c r="B1505" s="5">
        <v>45700</v>
      </c>
      <c r="C1505" t="s">
        <v>56</v>
      </c>
      <c r="D1505" t="s">
        <v>57</v>
      </c>
      <c r="E1505">
        <v>4</v>
      </c>
      <c r="F1505" s="6">
        <v>40</v>
      </c>
      <c r="G1505" s="7">
        <v>0</v>
      </c>
      <c r="H1505" s="6">
        <v>160</v>
      </c>
      <c r="I1505">
        <v>0</v>
      </c>
      <c r="J1505" s="6">
        <v>0</v>
      </c>
      <c r="K1505">
        <v>4</v>
      </c>
      <c r="L1505" s="6">
        <v>160</v>
      </c>
      <c r="M1505" s="6">
        <v>131.63</v>
      </c>
      <c r="N1505" s="6">
        <v>28.37</v>
      </c>
      <c r="O1505" s="6">
        <v>17.3</v>
      </c>
      <c r="P1505" s="6">
        <v>11.07</v>
      </c>
      <c r="Q1505" t="s">
        <v>65</v>
      </c>
      <c r="R1505" t="s">
        <v>66</v>
      </c>
      <c r="S1505" t="s">
        <v>61</v>
      </c>
    </row>
    <row r="1506" spans="1:19" x14ac:dyDescent="0.35">
      <c r="A1506" t="s">
        <v>1635</v>
      </c>
      <c r="B1506" s="5">
        <v>45795</v>
      </c>
      <c r="C1506" t="s">
        <v>95</v>
      </c>
      <c r="D1506" t="s">
        <v>64</v>
      </c>
      <c r="E1506">
        <v>5</v>
      </c>
      <c r="F1506" s="6">
        <v>52</v>
      </c>
      <c r="G1506" s="7">
        <v>0</v>
      </c>
      <c r="H1506" s="6">
        <v>260</v>
      </c>
      <c r="I1506">
        <v>0</v>
      </c>
      <c r="J1506" s="6">
        <v>0</v>
      </c>
      <c r="K1506">
        <v>5</v>
      </c>
      <c r="L1506" s="6">
        <v>260</v>
      </c>
      <c r="M1506" s="6">
        <v>178.53</v>
      </c>
      <c r="N1506" s="6">
        <v>81.47</v>
      </c>
      <c r="O1506" s="6">
        <v>26.53</v>
      </c>
      <c r="P1506" s="6">
        <v>54.94</v>
      </c>
      <c r="Q1506" t="s">
        <v>65</v>
      </c>
      <c r="R1506" t="s">
        <v>66</v>
      </c>
      <c r="S1506" t="s">
        <v>71</v>
      </c>
    </row>
    <row r="1507" spans="1:19" x14ac:dyDescent="0.35">
      <c r="A1507" t="s">
        <v>1636</v>
      </c>
      <c r="B1507" s="5">
        <v>45730</v>
      </c>
      <c r="C1507" t="s">
        <v>121</v>
      </c>
      <c r="D1507" t="s">
        <v>70</v>
      </c>
      <c r="E1507">
        <v>5</v>
      </c>
      <c r="F1507" s="6">
        <v>110</v>
      </c>
      <c r="G1507" s="7">
        <v>0</v>
      </c>
      <c r="H1507" s="6">
        <v>550</v>
      </c>
      <c r="I1507">
        <v>0</v>
      </c>
      <c r="J1507" s="6">
        <v>0</v>
      </c>
      <c r="K1507">
        <v>5</v>
      </c>
      <c r="L1507" s="6">
        <v>550</v>
      </c>
      <c r="M1507" s="6">
        <v>357.35</v>
      </c>
      <c r="N1507" s="6">
        <v>192.65</v>
      </c>
      <c r="O1507" s="6">
        <v>69.400000000000006</v>
      </c>
      <c r="P1507" s="6">
        <v>123.25</v>
      </c>
      <c r="Q1507" t="s">
        <v>59</v>
      </c>
      <c r="R1507" t="s">
        <v>60</v>
      </c>
      <c r="S1507" t="s">
        <v>67</v>
      </c>
    </row>
    <row r="1508" spans="1:19" x14ac:dyDescent="0.35">
      <c r="A1508" t="s">
        <v>1637</v>
      </c>
      <c r="B1508" s="5">
        <v>45958</v>
      </c>
      <c r="C1508" t="s">
        <v>78</v>
      </c>
      <c r="D1508" t="s">
        <v>79</v>
      </c>
      <c r="E1508">
        <v>4</v>
      </c>
      <c r="F1508" s="6">
        <v>120</v>
      </c>
      <c r="G1508" s="7">
        <v>0</v>
      </c>
      <c r="H1508" s="6">
        <v>480</v>
      </c>
      <c r="I1508">
        <v>0</v>
      </c>
      <c r="J1508" s="6">
        <v>0</v>
      </c>
      <c r="K1508">
        <v>4</v>
      </c>
      <c r="L1508" s="6">
        <v>480</v>
      </c>
      <c r="M1508" s="6">
        <v>362.29</v>
      </c>
      <c r="N1508" s="6">
        <v>117.71</v>
      </c>
      <c r="O1508" s="6">
        <v>61.34</v>
      </c>
      <c r="P1508" s="6">
        <v>56.37</v>
      </c>
      <c r="Q1508" t="s">
        <v>59</v>
      </c>
      <c r="R1508" t="s">
        <v>82</v>
      </c>
      <c r="S1508" t="s">
        <v>76</v>
      </c>
    </row>
    <row r="1509" spans="1:19" x14ac:dyDescent="0.35">
      <c r="A1509" t="s">
        <v>1638</v>
      </c>
      <c r="B1509" s="5">
        <v>45986</v>
      </c>
      <c r="C1509" t="s">
        <v>56</v>
      </c>
      <c r="D1509" t="s">
        <v>57</v>
      </c>
      <c r="E1509">
        <v>8</v>
      </c>
      <c r="F1509" s="6">
        <v>40</v>
      </c>
      <c r="G1509" s="7">
        <v>0</v>
      </c>
      <c r="H1509" s="6">
        <v>320</v>
      </c>
      <c r="I1509">
        <v>0</v>
      </c>
      <c r="J1509" s="6">
        <v>0</v>
      </c>
      <c r="K1509">
        <v>8</v>
      </c>
      <c r="L1509" s="6">
        <v>320</v>
      </c>
      <c r="M1509" s="6">
        <v>265.63</v>
      </c>
      <c r="N1509" s="6">
        <v>54.37</v>
      </c>
      <c r="O1509" s="6">
        <v>30.03</v>
      </c>
      <c r="P1509" s="6">
        <v>24.34</v>
      </c>
      <c r="Q1509" t="s">
        <v>75</v>
      </c>
      <c r="R1509" t="s">
        <v>86</v>
      </c>
      <c r="S1509" t="s">
        <v>71</v>
      </c>
    </row>
    <row r="1510" spans="1:19" x14ac:dyDescent="0.35">
      <c r="A1510" t="s">
        <v>1639</v>
      </c>
      <c r="B1510" s="5">
        <v>45749</v>
      </c>
      <c r="C1510" t="s">
        <v>84</v>
      </c>
      <c r="D1510" t="s">
        <v>85</v>
      </c>
      <c r="E1510">
        <v>3</v>
      </c>
      <c r="F1510" s="6">
        <v>48</v>
      </c>
      <c r="G1510" s="7">
        <v>2</v>
      </c>
      <c r="H1510" s="6">
        <v>141.12</v>
      </c>
      <c r="I1510">
        <v>0</v>
      </c>
      <c r="J1510" s="6">
        <v>0</v>
      </c>
      <c r="K1510">
        <v>3</v>
      </c>
      <c r="L1510" s="6">
        <v>141.12</v>
      </c>
      <c r="M1510" s="6">
        <v>99.23</v>
      </c>
      <c r="N1510" s="6">
        <v>41.89</v>
      </c>
      <c r="O1510" s="6">
        <v>16.170000000000002</v>
      </c>
      <c r="P1510" s="6">
        <v>25.72</v>
      </c>
      <c r="Q1510" t="s">
        <v>59</v>
      </c>
      <c r="R1510" t="s">
        <v>66</v>
      </c>
      <c r="S1510" t="s">
        <v>67</v>
      </c>
    </row>
    <row r="1511" spans="1:19" x14ac:dyDescent="0.35">
      <c r="A1511" t="s">
        <v>1640</v>
      </c>
      <c r="B1511" s="5">
        <v>45692</v>
      </c>
      <c r="C1511" t="s">
        <v>350</v>
      </c>
      <c r="D1511" t="s">
        <v>85</v>
      </c>
      <c r="E1511">
        <v>2</v>
      </c>
      <c r="F1511" s="6">
        <v>48</v>
      </c>
      <c r="G1511" s="7">
        <v>5</v>
      </c>
      <c r="H1511" s="6">
        <v>91.2</v>
      </c>
      <c r="I1511">
        <v>0</v>
      </c>
      <c r="J1511" s="6">
        <v>0</v>
      </c>
      <c r="K1511">
        <v>2</v>
      </c>
      <c r="L1511" s="6">
        <v>91.2</v>
      </c>
      <c r="M1511" s="6">
        <v>70.430000000000007</v>
      </c>
      <c r="N1511" s="6">
        <v>20.77</v>
      </c>
      <c r="O1511" s="6">
        <v>6.93</v>
      </c>
      <c r="P1511" s="6">
        <v>13.84</v>
      </c>
      <c r="Q1511" t="s">
        <v>81</v>
      </c>
      <c r="R1511" t="s">
        <v>66</v>
      </c>
      <c r="S1511" t="s">
        <v>76</v>
      </c>
    </row>
    <row r="1512" spans="1:19" x14ac:dyDescent="0.35">
      <c r="A1512" t="s">
        <v>1641</v>
      </c>
      <c r="B1512" s="5">
        <v>45845</v>
      </c>
      <c r="C1512" t="s">
        <v>125</v>
      </c>
      <c r="D1512" t="s">
        <v>85</v>
      </c>
      <c r="E1512">
        <v>1</v>
      </c>
      <c r="F1512" s="6">
        <v>125</v>
      </c>
      <c r="G1512" s="7">
        <v>10</v>
      </c>
      <c r="H1512" s="6">
        <v>112.5</v>
      </c>
      <c r="I1512">
        <v>0</v>
      </c>
      <c r="J1512" s="6">
        <v>0</v>
      </c>
      <c r="K1512">
        <v>1</v>
      </c>
      <c r="L1512" s="6">
        <v>112.5</v>
      </c>
      <c r="M1512" s="6">
        <v>89.8</v>
      </c>
      <c r="N1512" s="6">
        <v>22.7</v>
      </c>
      <c r="O1512" s="6">
        <v>9.2899999999999991</v>
      </c>
      <c r="P1512" s="6">
        <v>13.41</v>
      </c>
      <c r="Q1512" t="s">
        <v>81</v>
      </c>
      <c r="R1512" t="s">
        <v>66</v>
      </c>
      <c r="S1512" t="s">
        <v>71</v>
      </c>
    </row>
    <row r="1513" spans="1:19" x14ac:dyDescent="0.35">
      <c r="A1513" t="s">
        <v>1642</v>
      </c>
      <c r="B1513" s="5">
        <v>45955</v>
      </c>
      <c r="C1513" t="s">
        <v>88</v>
      </c>
      <c r="D1513" t="s">
        <v>57</v>
      </c>
      <c r="E1513">
        <v>2</v>
      </c>
      <c r="F1513" s="6">
        <v>30</v>
      </c>
      <c r="G1513" s="7">
        <v>2</v>
      </c>
      <c r="H1513" s="6">
        <v>58.8</v>
      </c>
      <c r="I1513">
        <v>0</v>
      </c>
      <c r="J1513" s="6">
        <v>0</v>
      </c>
      <c r="K1513">
        <v>2</v>
      </c>
      <c r="L1513" s="6">
        <v>58.8</v>
      </c>
      <c r="M1513" s="6">
        <v>40.54</v>
      </c>
      <c r="N1513" s="6">
        <v>18.260000000000002</v>
      </c>
      <c r="O1513" s="6">
        <v>5</v>
      </c>
      <c r="P1513" s="6">
        <v>13.26</v>
      </c>
      <c r="Q1513" t="s">
        <v>75</v>
      </c>
      <c r="R1513" t="s">
        <v>86</v>
      </c>
      <c r="S1513" t="s">
        <v>61</v>
      </c>
    </row>
    <row r="1514" spans="1:19" x14ac:dyDescent="0.35">
      <c r="A1514" t="s">
        <v>1643</v>
      </c>
      <c r="B1514" s="5">
        <v>45729</v>
      </c>
      <c r="C1514" t="s">
        <v>271</v>
      </c>
      <c r="D1514" t="s">
        <v>74</v>
      </c>
      <c r="E1514">
        <v>8</v>
      </c>
      <c r="F1514" s="6">
        <v>280</v>
      </c>
      <c r="G1514" s="7">
        <v>5</v>
      </c>
      <c r="H1514" s="6">
        <v>2128</v>
      </c>
      <c r="I1514">
        <v>0</v>
      </c>
      <c r="J1514" s="6">
        <v>0</v>
      </c>
      <c r="K1514">
        <v>8</v>
      </c>
      <c r="L1514" s="6">
        <v>2128</v>
      </c>
      <c r="M1514" s="6">
        <v>1776.75</v>
      </c>
      <c r="N1514" s="6">
        <v>351.25</v>
      </c>
      <c r="O1514" s="6">
        <v>165.2</v>
      </c>
      <c r="P1514" s="6">
        <v>186.05</v>
      </c>
      <c r="Q1514" t="s">
        <v>59</v>
      </c>
      <c r="R1514" t="s">
        <v>82</v>
      </c>
      <c r="S1514" t="s">
        <v>71</v>
      </c>
    </row>
    <row r="1515" spans="1:19" x14ac:dyDescent="0.35">
      <c r="A1515" t="s">
        <v>1644</v>
      </c>
      <c r="B1515" s="5">
        <v>46001</v>
      </c>
      <c r="C1515" t="s">
        <v>121</v>
      </c>
      <c r="D1515" t="s">
        <v>70</v>
      </c>
      <c r="E1515">
        <v>5</v>
      </c>
      <c r="F1515" s="6">
        <v>110</v>
      </c>
      <c r="G1515" s="7">
        <v>0</v>
      </c>
      <c r="H1515" s="6">
        <v>550</v>
      </c>
      <c r="I1515">
        <v>0</v>
      </c>
      <c r="J1515" s="6">
        <v>0</v>
      </c>
      <c r="K1515">
        <v>5</v>
      </c>
      <c r="L1515" s="6">
        <v>550</v>
      </c>
      <c r="M1515" s="6">
        <v>400.91</v>
      </c>
      <c r="N1515" s="6">
        <v>149.09</v>
      </c>
      <c r="O1515" s="6">
        <v>70.349999999999994</v>
      </c>
      <c r="P1515" s="6">
        <v>78.739999999999995</v>
      </c>
      <c r="Q1515" t="s">
        <v>81</v>
      </c>
      <c r="R1515" t="s">
        <v>60</v>
      </c>
      <c r="S1515" t="s">
        <v>61</v>
      </c>
    </row>
    <row r="1516" spans="1:19" x14ac:dyDescent="0.35">
      <c r="A1516" t="s">
        <v>1645</v>
      </c>
      <c r="B1516" s="5">
        <v>45667</v>
      </c>
      <c r="C1516" t="s">
        <v>264</v>
      </c>
      <c r="D1516" t="s">
        <v>85</v>
      </c>
      <c r="E1516">
        <v>10</v>
      </c>
      <c r="F1516" s="6">
        <v>20</v>
      </c>
      <c r="G1516" s="7">
        <v>2</v>
      </c>
      <c r="H1516" s="6">
        <v>196</v>
      </c>
      <c r="I1516">
        <v>0</v>
      </c>
      <c r="J1516" s="6">
        <v>0</v>
      </c>
      <c r="K1516">
        <v>10</v>
      </c>
      <c r="L1516" s="6">
        <v>196</v>
      </c>
      <c r="M1516" s="6">
        <v>143.32</v>
      </c>
      <c r="N1516" s="6">
        <v>52.68</v>
      </c>
      <c r="O1516" s="6">
        <v>14.07</v>
      </c>
      <c r="P1516" s="6">
        <v>38.61</v>
      </c>
      <c r="Q1516" t="s">
        <v>81</v>
      </c>
      <c r="R1516" t="s">
        <v>86</v>
      </c>
      <c r="S1516" t="s">
        <v>67</v>
      </c>
    </row>
    <row r="1517" spans="1:19" x14ac:dyDescent="0.35">
      <c r="A1517" t="s">
        <v>1646</v>
      </c>
      <c r="B1517" s="5">
        <v>45790</v>
      </c>
      <c r="C1517" t="s">
        <v>109</v>
      </c>
      <c r="D1517" t="s">
        <v>85</v>
      </c>
      <c r="E1517">
        <v>2</v>
      </c>
      <c r="F1517" s="6">
        <v>180</v>
      </c>
      <c r="G1517" s="7">
        <v>5</v>
      </c>
      <c r="H1517" s="6">
        <v>342</v>
      </c>
      <c r="I1517">
        <v>0</v>
      </c>
      <c r="J1517" s="6">
        <v>0</v>
      </c>
      <c r="K1517">
        <v>2</v>
      </c>
      <c r="L1517" s="6">
        <v>342</v>
      </c>
      <c r="M1517" s="6">
        <v>261.94</v>
      </c>
      <c r="N1517" s="6">
        <v>80.06</v>
      </c>
      <c r="O1517" s="6">
        <v>40.42</v>
      </c>
      <c r="P1517" s="6">
        <v>39.64</v>
      </c>
      <c r="Q1517" t="s">
        <v>81</v>
      </c>
      <c r="R1517" t="s">
        <v>82</v>
      </c>
      <c r="S1517" t="s">
        <v>61</v>
      </c>
    </row>
    <row r="1518" spans="1:19" x14ac:dyDescent="0.35">
      <c r="A1518" t="s">
        <v>1647</v>
      </c>
      <c r="B1518" s="5">
        <v>45729</v>
      </c>
      <c r="C1518" t="s">
        <v>78</v>
      </c>
      <c r="D1518" t="s">
        <v>79</v>
      </c>
      <c r="E1518">
        <v>5</v>
      </c>
      <c r="F1518" s="6">
        <v>120</v>
      </c>
      <c r="G1518" s="7">
        <v>0</v>
      </c>
      <c r="H1518" s="6">
        <v>600</v>
      </c>
      <c r="I1518">
        <v>0</v>
      </c>
      <c r="J1518" s="6">
        <v>0</v>
      </c>
      <c r="K1518">
        <v>5</v>
      </c>
      <c r="L1518" s="6">
        <v>600</v>
      </c>
      <c r="M1518" s="6">
        <v>437.25</v>
      </c>
      <c r="N1518" s="6">
        <v>162.75</v>
      </c>
      <c r="O1518" s="6">
        <v>75.959999999999994</v>
      </c>
      <c r="P1518" s="6">
        <v>86.79</v>
      </c>
      <c r="Q1518" t="s">
        <v>75</v>
      </c>
      <c r="R1518" t="s">
        <v>66</v>
      </c>
      <c r="S1518" t="s">
        <v>61</v>
      </c>
    </row>
    <row r="1519" spans="1:19" x14ac:dyDescent="0.35">
      <c r="A1519" t="s">
        <v>1648</v>
      </c>
      <c r="B1519" s="5">
        <v>45941</v>
      </c>
      <c r="C1519" t="s">
        <v>109</v>
      </c>
      <c r="D1519" t="s">
        <v>85</v>
      </c>
      <c r="E1519">
        <v>2</v>
      </c>
      <c r="F1519" s="6">
        <v>180</v>
      </c>
      <c r="G1519" s="7">
        <v>0</v>
      </c>
      <c r="H1519" s="6">
        <v>360</v>
      </c>
      <c r="I1519">
        <v>0</v>
      </c>
      <c r="J1519" s="6">
        <v>0</v>
      </c>
      <c r="K1519">
        <v>2</v>
      </c>
      <c r="L1519" s="6">
        <v>360</v>
      </c>
      <c r="M1519" s="6">
        <v>235.13</v>
      </c>
      <c r="N1519" s="6">
        <v>124.87</v>
      </c>
      <c r="O1519" s="6">
        <v>35.17</v>
      </c>
      <c r="P1519" s="6">
        <v>89.7</v>
      </c>
      <c r="Q1519" t="s">
        <v>59</v>
      </c>
      <c r="R1519" t="s">
        <v>82</v>
      </c>
      <c r="S1519" t="s">
        <v>76</v>
      </c>
    </row>
    <row r="1520" spans="1:19" x14ac:dyDescent="0.35">
      <c r="A1520" t="s">
        <v>1649</v>
      </c>
      <c r="B1520" s="5">
        <v>45959</v>
      </c>
      <c r="C1520" t="s">
        <v>73</v>
      </c>
      <c r="D1520" t="s">
        <v>74</v>
      </c>
      <c r="E1520">
        <v>2</v>
      </c>
      <c r="F1520" s="6">
        <v>280</v>
      </c>
      <c r="G1520" s="7">
        <v>0</v>
      </c>
      <c r="H1520" s="6">
        <v>560</v>
      </c>
      <c r="I1520">
        <v>0</v>
      </c>
      <c r="J1520" s="6">
        <v>0</v>
      </c>
      <c r="K1520">
        <v>2</v>
      </c>
      <c r="L1520" s="6">
        <v>560</v>
      </c>
      <c r="M1520" s="6">
        <v>397.84</v>
      </c>
      <c r="N1520" s="6">
        <v>162.16</v>
      </c>
      <c r="O1520" s="6">
        <v>52.52</v>
      </c>
      <c r="P1520" s="6">
        <v>109.64</v>
      </c>
      <c r="Q1520" t="s">
        <v>75</v>
      </c>
      <c r="R1520" t="s">
        <v>86</v>
      </c>
      <c r="S1520" t="s">
        <v>67</v>
      </c>
    </row>
    <row r="1521" spans="1:19" x14ac:dyDescent="0.35">
      <c r="A1521" t="s">
        <v>1650</v>
      </c>
      <c r="B1521" s="5">
        <v>45713</v>
      </c>
      <c r="C1521" t="s">
        <v>117</v>
      </c>
      <c r="D1521" t="s">
        <v>74</v>
      </c>
      <c r="E1521">
        <v>6</v>
      </c>
      <c r="F1521" s="6">
        <v>95</v>
      </c>
      <c r="G1521" s="7">
        <v>5</v>
      </c>
      <c r="H1521" s="6">
        <v>541.5</v>
      </c>
      <c r="I1521">
        <v>0</v>
      </c>
      <c r="J1521" s="6">
        <v>0</v>
      </c>
      <c r="K1521">
        <v>6</v>
      </c>
      <c r="L1521" s="6">
        <v>541.5</v>
      </c>
      <c r="M1521" s="6">
        <v>407.65</v>
      </c>
      <c r="N1521" s="6">
        <v>133.85</v>
      </c>
      <c r="O1521" s="6">
        <v>42.89</v>
      </c>
      <c r="P1521" s="6">
        <v>90.96</v>
      </c>
      <c r="Q1521" t="s">
        <v>59</v>
      </c>
      <c r="R1521" t="s">
        <v>82</v>
      </c>
      <c r="S1521" t="s">
        <v>61</v>
      </c>
    </row>
    <row r="1522" spans="1:19" x14ac:dyDescent="0.35">
      <c r="A1522" t="s">
        <v>1651</v>
      </c>
      <c r="B1522" s="5">
        <v>45786</v>
      </c>
      <c r="C1522" t="s">
        <v>117</v>
      </c>
      <c r="D1522" t="s">
        <v>74</v>
      </c>
      <c r="E1522">
        <v>5</v>
      </c>
      <c r="F1522" s="6">
        <v>95</v>
      </c>
      <c r="G1522" s="7">
        <v>0</v>
      </c>
      <c r="H1522" s="6">
        <v>475</v>
      </c>
      <c r="I1522">
        <v>0</v>
      </c>
      <c r="J1522" s="6">
        <v>0</v>
      </c>
      <c r="K1522">
        <v>5</v>
      </c>
      <c r="L1522" s="6">
        <v>475</v>
      </c>
      <c r="M1522" s="6">
        <v>342.91</v>
      </c>
      <c r="N1522" s="6">
        <v>132.09</v>
      </c>
      <c r="O1522" s="6">
        <v>43.26</v>
      </c>
      <c r="P1522" s="6">
        <v>88.83</v>
      </c>
      <c r="Q1522" t="s">
        <v>65</v>
      </c>
      <c r="R1522" t="s">
        <v>60</v>
      </c>
      <c r="S1522" t="s">
        <v>61</v>
      </c>
    </row>
    <row r="1523" spans="1:19" x14ac:dyDescent="0.35">
      <c r="A1523" t="s">
        <v>1652</v>
      </c>
      <c r="B1523" s="5">
        <v>45776</v>
      </c>
      <c r="C1523" t="s">
        <v>92</v>
      </c>
      <c r="D1523" t="s">
        <v>308</v>
      </c>
      <c r="E1523">
        <v>3</v>
      </c>
      <c r="F1523" s="6">
        <v>85</v>
      </c>
      <c r="G1523" s="7">
        <v>0</v>
      </c>
      <c r="H1523" s="6">
        <v>255</v>
      </c>
      <c r="I1523">
        <v>0</v>
      </c>
      <c r="J1523" s="6">
        <v>0</v>
      </c>
      <c r="K1523">
        <v>3</v>
      </c>
      <c r="L1523" s="6">
        <v>255</v>
      </c>
      <c r="M1523" s="6">
        <v>208.47</v>
      </c>
      <c r="N1523" s="6">
        <v>46.53</v>
      </c>
      <c r="O1523" s="6">
        <v>25.79</v>
      </c>
      <c r="P1523" s="6">
        <v>20.74</v>
      </c>
      <c r="Q1523" t="s">
        <v>65</v>
      </c>
      <c r="R1523" t="s">
        <v>66</v>
      </c>
      <c r="S1523" t="s">
        <v>76</v>
      </c>
    </row>
    <row r="1524" spans="1:19" x14ac:dyDescent="0.35">
      <c r="A1524" t="s">
        <v>1653</v>
      </c>
      <c r="B1524" s="5">
        <v>45985</v>
      </c>
      <c r="C1524" t="s">
        <v>125</v>
      </c>
      <c r="D1524" t="s">
        <v>85</v>
      </c>
      <c r="E1524" t="s">
        <v>1084</v>
      </c>
      <c r="F1524" s="6">
        <v>125</v>
      </c>
      <c r="G1524" s="7">
        <v>0</v>
      </c>
      <c r="H1524" s="6">
        <v>375</v>
      </c>
      <c r="I1524">
        <v>0</v>
      </c>
      <c r="J1524" s="6">
        <v>0</v>
      </c>
      <c r="K1524">
        <v>3</v>
      </c>
      <c r="L1524" s="6">
        <v>375</v>
      </c>
      <c r="M1524" s="6">
        <v>317.20999999999998</v>
      </c>
      <c r="N1524" s="6">
        <v>57.79</v>
      </c>
      <c r="O1524" s="6">
        <v>28.09</v>
      </c>
      <c r="P1524" s="6">
        <v>29.7</v>
      </c>
      <c r="Q1524" t="s">
        <v>65</v>
      </c>
      <c r="R1524" t="s">
        <v>66</v>
      </c>
      <c r="S1524" t="s">
        <v>76</v>
      </c>
    </row>
    <row r="1525" spans="1:19" x14ac:dyDescent="0.35">
      <c r="A1525" t="s">
        <v>1654</v>
      </c>
      <c r="B1525" s="5">
        <v>45813</v>
      </c>
      <c r="C1525" t="s">
        <v>125</v>
      </c>
      <c r="D1525" t="s">
        <v>110</v>
      </c>
      <c r="E1525">
        <v>2</v>
      </c>
      <c r="F1525" s="6">
        <v>125</v>
      </c>
      <c r="G1525" s="7">
        <v>2</v>
      </c>
      <c r="H1525" s="6">
        <v>245</v>
      </c>
      <c r="I1525">
        <v>0</v>
      </c>
      <c r="J1525" s="6">
        <v>0</v>
      </c>
      <c r="K1525">
        <v>2</v>
      </c>
      <c r="L1525" s="6">
        <v>245</v>
      </c>
      <c r="M1525" s="6">
        <v>170.45</v>
      </c>
      <c r="N1525" s="6">
        <v>74.55</v>
      </c>
      <c r="O1525" s="6">
        <v>14.81</v>
      </c>
      <c r="P1525" s="6">
        <v>59.74</v>
      </c>
      <c r="Q1525" t="s">
        <v>75</v>
      </c>
      <c r="R1525" t="s">
        <v>86</v>
      </c>
      <c r="S1525" t="s">
        <v>67</v>
      </c>
    </row>
    <row r="1526" spans="1:19" x14ac:dyDescent="0.35">
      <c r="A1526" t="s">
        <v>1655</v>
      </c>
      <c r="B1526" s="5">
        <v>45660</v>
      </c>
      <c r="C1526" t="s">
        <v>90</v>
      </c>
      <c r="D1526" t="s">
        <v>70</v>
      </c>
      <c r="E1526">
        <v>8</v>
      </c>
      <c r="F1526" s="6">
        <v>38</v>
      </c>
      <c r="G1526" s="7">
        <v>10</v>
      </c>
      <c r="H1526" s="6">
        <v>273.60000000000002</v>
      </c>
      <c r="I1526">
        <v>0</v>
      </c>
      <c r="J1526" s="6">
        <v>0</v>
      </c>
      <c r="K1526">
        <v>8</v>
      </c>
      <c r="L1526" s="6">
        <v>273.60000000000002</v>
      </c>
      <c r="M1526" s="6">
        <v>220.61</v>
      </c>
      <c r="N1526" s="6">
        <v>52.99</v>
      </c>
      <c r="O1526" s="6">
        <v>19.48</v>
      </c>
      <c r="P1526" s="6">
        <v>33.51</v>
      </c>
      <c r="Q1526" t="s">
        <v>59</v>
      </c>
      <c r="R1526" t="s">
        <v>60</v>
      </c>
      <c r="S1526" t="s">
        <v>61</v>
      </c>
    </row>
    <row r="1527" spans="1:19" x14ac:dyDescent="0.35">
      <c r="A1527" t="s">
        <v>1656</v>
      </c>
      <c r="B1527" s="5">
        <v>45695</v>
      </c>
      <c r="C1527" t="s">
        <v>97</v>
      </c>
      <c r="D1527" t="s">
        <v>57</v>
      </c>
      <c r="E1527">
        <v>3</v>
      </c>
      <c r="F1527" s="6">
        <v>55</v>
      </c>
      <c r="G1527" s="7">
        <v>0</v>
      </c>
      <c r="H1527" s="6">
        <v>165</v>
      </c>
      <c r="I1527">
        <v>0</v>
      </c>
      <c r="J1527" s="6">
        <v>0</v>
      </c>
      <c r="K1527">
        <v>3</v>
      </c>
      <c r="L1527" s="6">
        <v>165</v>
      </c>
      <c r="M1527" s="6">
        <v>102.5</v>
      </c>
      <c r="N1527" s="6">
        <v>62.5</v>
      </c>
      <c r="O1527" s="6">
        <v>15.51</v>
      </c>
      <c r="P1527" s="6">
        <v>46.99</v>
      </c>
      <c r="Q1527" t="s">
        <v>81</v>
      </c>
      <c r="R1527" t="s">
        <v>60</v>
      </c>
      <c r="S1527" t="s">
        <v>67</v>
      </c>
    </row>
    <row r="1528" spans="1:19" x14ac:dyDescent="0.35">
      <c r="A1528" t="s">
        <v>1657</v>
      </c>
      <c r="B1528" s="5">
        <v>45953</v>
      </c>
      <c r="C1528" t="s">
        <v>109</v>
      </c>
      <c r="D1528" t="s">
        <v>85</v>
      </c>
      <c r="E1528">
        <v>1</v>
      </c>
      <c r="F1528" s="6">
        <v>180</v>
      </c>
      <c r="G1528" s="7">
        <v>0</v>
      </c>
      <c r="H1528" s="6">
        <v>180</v>
      </c>
      <c r="I1528">
        <v>0</v>
      </c>
      <c r="J1528" s="6">
        <v>0</v>
      </c>
      <c r="K1528">
        <v>1</v>
      </c>
      <c r="L1528" s="6">
        <v>180</v>
      </c>
      <c r="M1528" s="6">
        <v>145.5</v>
      </c>
      <c r="N1528" s="6">
        <v>34.5</v>
      </c>
      <c r="O1528" s="6">
        <v>13.83</v>
      </c>
      <c r="P1528" s="6">
        <v>20.67</v>
      </c>
      <c r="Q1528" t="s">
        <v>75</v>
      </c>
      <c r="R1528" t="s">
        <v>66</v>
      </c>
      <c r="S1528" t="s">
        <v>71</v>
      </c>
    </row>
    <row r="1529" spans="1:19" x14ac:dyDescent="0.35">
      <c r="A1529" t="s">
        <v>1658</v>
      </c>
      <c r="B1529" s="5">
        <v>45973</v>
      </c>
      <c r="C1529" t="s">
        <v>97</v>
      </c>
      <c r="D1529" t="s">
        <v>57</v>
      </c>
      <c r="E1529">
        <v>3</v>
      </c>
      <c r="F1529" s="6">
        <v>55</v>
      </c>
      <c r="G1529" s="7">
        <v>15</v>
      </c>
      <c r="H1529" s="6">
        <v>140.25</v>
      </c>
      <c r="I1529">
        <v>0</v>
      </c>
      <c r="J1529" s="6">
        <v>0</v>
      </c>
      <c r="K1529">
        <v>3</v>
      </c>
      <c r="L1529" s="6">
        <v>140.25</v>
      </c>
      <c r="M1529" s="6">
        <v>90.7</v>
      </c>
      <c r="N1529" s="6">
        <v>49.55</v>
      </c>
      <c r="O1529" s="6">
        <v>12.32</v>
      </c>
      <c r="P1529" s="6">
        <v>37.229999999999997</v>
      </c>
      <c r="Q1529" t="s">
        <v>65</v>
      </c>
      <c r="R1529" t="s">
        <v>82</v>
      </c>
      <c r="S1529" t="s">
        <v>71</v>
      </c>
    </row>
    <row r="1530" spans="1:19" x14ac:dyDescent="0.35">
      <c r="A1530" t="s">
        <v>1659</v>
      </c>
      <c r="B1530" s="5">
        <v>45993</v>
      </c>
      <c r="C1530" t="s">
        <v>109</v>
      </c>
      <c r="D1530" t="s">
        <v>85</v>
      </c>
      <c r="E1530">
        <v>3</v>
      </c>
      <c r="F1530" s="6">
        <v>180</v>
      </c>
      <c r="G1530" s="7">
        <v>5</v>
      </c>
      <c r="H1530" s="6">
        <v>513</v>
      </c>
      <c r="I1530">
        <v>0</v>
      </c>
      <c r="J1530" s="6">
        <v>0</v>
      </c>
      <c r="K1530">
        <v>3</v>
      </c>
      <c r="L1530" s="6">
        <v>513</v>
      </c>
      <c r="M1530" s="6">
        <v>322.88</v>
      </c>
      <c r="N1530" s="6">
        <v>190.12</v>
      </c>
      <c r="O1530" s="6">
        <v>29.55</v>
      </c>
      <c r="P1530" s="6">
        <v>160.57</v>
      </c>
      <c r="Q1530" t="s">
        <v>75</v>
      </c>
      <c r="R1530" t="s">
        <v>66</v>
      </c>
      <c r="S1530" t="s">
        <v>61</v>
      </c>
    </row>
    <row r="1531" spans="1:19" x14ac:dyDescent="0.35">
      <c r="A1531" t="s">
        <v>1660</v>
      </c>
      <c r="B1531" s="5">
        <v>45978</v>
      </c>
      <c r="C1531" t="s">
        <v>109</v>
      </c>
      <c r="D1531" t="s">
        <v>85</v>
      </c>
      <c r="E1531">
        <v>1</v>
      </c>
      <c r="F1531" s="6">
        <v>180</v>
      </c>
      <c r="G1531" s="7">
        <v>2</v>
      </c>
      <c r="H1531" s="6">
        <v>176.4</v>
      </c>
      <c r="I1531">
        <v>0</v>
      </c>
      <c r="J1531" s="6">
        <v>0</v>
      </c>
      <c r="K1531">
        <v>1</v>
      </c>
      <c r="L1531" s="6">
        <v>176.4</v>
      </c>
      <c r="M1531" s="6">
        <v>109.75</v>
      </c>
      <c r="N1531" s="6">
        <v>66.650000000000006</v>
      </c>
      <c r="O1531" s="6">
        <v>18</v>
      </c>
      <c r="P1531" s="6">
        <v>48.65</v>
      </c>
      <c r="Q1531" t="s">
        <v>59</v>
      </c>
      <c r="R1531" t="s">
        <v>66</v>
      </c>
      <c r="S1531" t="s">
        <v>67</v>
      </c>
    </row>
    <row r="1532" spans="1:19" x14ac:dyDescent="0.35">
      <c r="A1532" t="s">
        <v>1661</v>
      </c>
      <c r="B1532" s="5">
        <v>45866</v>
      </c>
      <c r="C1532" t="s">
        <v>114</v>
      </c>
      <c r="D1532" t="s">
        <v>64</v>
      </c>
      <c r="E1532">
        <v>3</v>
      </c>
      <c r="F1532" s="6">
        <v>420</v>
      </c>
      <c r="G1532" s="7">
        <v>0</v>
      </c>
      <c r="H1532" s="6">
        <v>1260</v>
      </c>
      <c r="I1532">
        <v>0</v>
      </c>
      <c r="J1532" s="6">
        <v>0</v>
      </c>
      <c r="K1532">
        <v>3</v>
      </c>
      <c r="L1532" s="6">
        <v>1260</v>
      </c>
      <c r="M1532" s="6">
        <v>950.88</v>
      </c>
      <c r="N1532" s="6">
        <v>309.12</v>
      </c>
      <c r="O1532" s="6">
        <v>146</v>
      </c>
      <c r="P1532" s="6">
        <v>163.12</v>
      </c>
      <c r="Q1532" t="s">
        <v>75</v>
      </c>
      <c r="R1532" t="s">
        <v>60</v>
      </c>
      <c r="S1532" t="s">
        <v>71</v>
      </c>
    </row>
    <row r="1533" spans="1:19" x14ac:dyDescent="0.35">
      <c r="A1533" t="s">
        <v>1662</v>
      </c>
      <c r="B1533" s="5">
        <v>45979</v>
      </c>
      <c r="C1533" t="s">
        <v>95</v>
      </c>
      <c r="D1533" t="s">
        <v>64</v>
      </c>
      <c r="E1533">
        <v>1</v>
      </c>
      <c r="F1533" s="6">
        <v>52</v>
      </c>
      <c r="G1533" s="7">
        <v>5</v>
      </c>
      <c r="H1533" s="6">
        <v>49.4</v>
      </c>
      <c r="I1533">
        <v>0</v>
      </c>
      <c r="J1533" s="6">
        <v>0</v>
      </c>
      <c r="K1533">
        <v>1</v>
      </c>
      <c r="L1533" s="6">
        <v>49.4</v>
      </c>
      <c r="M1533" s="6">
        <v>35.03</v>
      </c>
      <c r="N1533" s="6">
        <v>14.37</v>
      </c>
      <c r="O1533" s="6">
        <v>3.91</v>
      </c>
      <c r="P1533" s="6">
        <v>10.46</v>
      </c>
      <c r="Q1533" t="s">
        <v>75</v>
      </c>
      <c r="R1533" t="s">
        <v>86</v>
      </c>
      <c r="S1533" t="s">
        <v>71</v>
      </c>
    </row>
    <row r="1534" spans="1:19" x14ac:dyDescent="0.35">
      <c r="A1534" t="s">
        <v>1663</v>
      </c>
      <c r="B1534" s="5">
        <v>45809</v>
      </c>
      <c r="C1534" t="s">
        <v>97</v>
      </c>
      <c r="D1534" t="s">
        <v>57</v>
      </c>
      <c r="E1534">
        <v>8</v>
      </c>
      <c r="F1534" s="6">
        <v>55</v>
      </c>
      <c r="G1534" s="7">
        <v>5</v>
      </c>
      <c r="H1534" s="6">
        <v>418</v>
      </c>
      <c r="I1534">
        <v>0</v>
      </c>
      <c r="J1534" s="6">
        <v>0</v>
      </c>
      <c r="K1534">
        <v>8</v>
      </c>
      <c r="L1534" s="6">
        <v>418</v>
      </c>
      <c r="M1534" s="6">
        <v>292.24</v>
      </c>
      <c r="N1534" s="6">
        <v>125.76</v>
      </c>
      <c r="O1534" s="6">
        <v>45.67</v>
      </c>
      <c r="P1534" s="6">
        <v>80.09</v>
      </c>
      <c r="Q1534" t="s">
        <v>75</v>
      </c>
      <c r="R1534" t="s">
        <v>60</v>
      </c>
      <c r="S1534" t="s">
        <v>61</v>
      </c>
    </row>
    <row r="1535" spans="1:19" x14ac:dyDescent="0.35">
      <c r="A1535" t="s">
        <v>1664</v>
      </c>
      <c r="B1535" s="5">
        <v>45917</v>
      </c>
      <c r="C1535" t="s">
        <v>117</v>
      </c>
      <c r="D1535" t="s">
        <v>74</v>
      </c>
      <c r="E1535">
        <v>3</v>
      </c>
      <c r="F1535" s="6">
        <v>95</v>
      </c>
      <c r="G1535" s="7">
        <v>15</v>
      </c>
      <c r="H1535" s="6">
        <v>242.25</v>
      </c>
      <c r="I1535">
        <v>0</v>
      </c>
      <c r="J1535" s="6">
        <v>0</v>
      </c>
      <c r="K1535">
        <v>3</v>
      </c>
      <c r="L1535" s="6">
        <v>242.25</v>
      </c>
      <c r="M1535" s="6">
        <v>162.63</v>
      </c>
      <c r="N1535" s="6">
        <v>79.62</v>
      </c>
      <c r="O1535" s="6">
        <v>17.77</v>
      </c>
      <c r="P1535" s="6">
        <v>61.85</v>
      </c>
      <c r="Q1535" t="s">
        <v>65</v>
      </c>
      <c r="R1535" t="s">
        <v>82</v>
      </c>
      <c r="S1535" t="s">
        <v>71</v>
      </c>
    </row>
    <row r="1536" spans="1:19" x14ac:dyDescent="0.35">
      <c r="A1536" t="s">
        <v>1665</v>
      </c>
      <c r="B1536" s="5">
        <v>45724</v>
      </c>
      <c r="C1536" t="s">
        <v>121</v>
      </c>
      <c r="D1536" t="s">
        <v>70</v>
      </c>
      <c r="E1536">
        <v>1</v>
      </c>
      <c r="F1536" s="6">
        <v>110</v>
      </c>
      <c r="G1536" s="7">
        <v>0</v>
      </c>
      <c r="H1536" s="6">
        <v>110</v>
      </c>
      <c r="I1536">
        <v>0</v>
      </c>
      <c r="J1536" s="6">
        <v>0</v>
      </c>
      <c r="K1536">
        <v>1</v>
      </c>
      <c r="L1536" s="6">
        <v>110</v>
      </c>
      <c r="M1536" s="6">
        <v>79.03</v>
      </c>
      <c r="N1536" s="6">
        <v>30.97</v>
      </c>
      <c r="O1536" s="6">
        <v>9.6300000000000008</v>
      </c>
      <c r="P1536" s="6">
        <v>21.34</v>
      </c>
      <c r="Q1536" t="s">
        <v>65</v>
      </c>
      <c r="R1536" t="s">
        <v>82</v>
      </c>
      <c r="S1536" t="s">
        <v>76</v>
      </c>
    </row>
    <row r="1537" spans="1:19" x14ac:dyDescent="0.35">
      <c r="A1537" t="s">
        <v>1666</v>
      </c>
      <c r="B1537" s="5">
        <v>45672</v>
      </c>
      <c r="C1537" t="s">
        <v>107</v>
      </c>
      <c r="D1537" t="s">
        <v>74</v>
      </c>
      <c r="E1537">
        <v>3</v>
      </c>
      <c r="F1537" s="6">
        <v>125</v>
      </c>
      <c r="G1537" s="7">
        <v>0</v>
      </c>
      <c r="H1537" s="6">
        <v>375</v>
      </c>
      <c r="I1537">
        <v>0</v>
      </c>
      <c r="J1537" s="6">
        <v>0</v>
      </c>
      <c r="K1537">
        <v>3</v>
      </c>
      <c r="L1537" s="6">
        <v>375</v>
      </c>
      <c r="M1537" s="6">
        <v>318.39</v>
      </c>
      <c r="N1537" s="6">
        <v>56.61</v>
      </c>
      <c r="O1537" s="6">
        <v>28.1</v>
      </c>
      <c r="P1537" s="6">
        <v>28.51</v>
      </c>
      <c r="R1537" t="s">
        <v>60</v>
      </c>
      <c r="S1537" t="s">
        <v>71</v>
      </c>
    </row>
    <row r="1538" spans="1:19" x14ac:dyDescent="0.35">
      <c r="A1538" t="s">
        <v>1667</v>
      </c>
      <c r="B1538" s="5">
        <v>45793</v>
      </c>
      <c r="C1538" t="s">
        <v>69</v>
      </c>
      <c r="D1538" t="s">
        <v>70</v>
      </c>
      <c r="E1538">
        <v>2</v>
      </c>
      <c r="F1538" s="6">
        <v>210</v>
      </c>
      <c r="G1538" s="7">
        <v>0</v>
      </c>
      <c r="H1538" s="6">
        <v>420</v>
      </c>
      <c r="I1538">
        <v>0</v>
      </c>
      <c r="J1538" s="6">
        <v>0</v>
      </c>
      <c r="K1538">
        <v>2</v>
      </c>
      <c r="L1538" s="6">
        <v>420</v>
      </c>
      <c r="M1538" s="6">
        <v>357.04</v>
      </c>
      <c r="N1538" s="6">
        <v>62.96</v>
      </c>
      <c r="O1538" s="6">
        <v>45.18</v>
      </c>
      <c r="P1538" s="6">
        <v>17.78</v>
      </c>
      <c r="Q1538" t="s">
        <v>81</v>
      </c>
      <c r="R1538" t="s">
        <v>82</v>
      </c>
      <c r="S1538" t="s">
        <v>76</v>
      </c>
    </row>
    <row r="1539" spans="1:19" x14ac:dyDescent="0.35">
      <c r="A1539" t="s">
        <v>1668</v>
      </c>
      <c r="B1539" s="5">
        <v>45662</v>
      </c>
      <c r="C1539" t="s">
        <v>121</v>
      </c>
      <c r="D1539" t="s">
        <v>70</v>
      </c>
      <c r="E1539">
        <v>2</v>
      </c>
      <c r="F1539" s="6">
        <v>110</v>
      </c>
      <c r="G1539" s="7">
        <v>2</v>
      </c>
      <c r="H1539" s="6">
        <v>215.6</v>
      </c>
      <c r="I1539">
        <v>0</v>
      </c>
      <c r="J1539" s="6">
        <v>0</v>
      </c>
      <c r="K1539">
        <v>2</v>
      </c>
      <c r="L1539" s="6">
        <v>215.6</v>
      </c>
      <c r="M1539" s="6">
        <v>144.83000000000001</v>
      </c>
      <c r="N1539" s="6">
        <v>70.77</v>
      </c>
      <c r="O1539" s="6">
        <v>14.03</v>
      </c>
      <c r="P1539" s="6">
        <v>56.74</v>
      </c>
      <c r="Q1539" t="s">
        <v>59</v>
      </c>
      <c r="R1539" t="s">
        <v>60</v>
      </c>
      <c r="S1539" t="s">
        <v>71</v>
      </c>
    </row>
    <row r="1540" spans="1:19" x14ac:dyDescent="0.35">
      <c r="A1540" t="s">
        <v>1669</v>
      </c>
      <c r="B1540" s="5">
        <v>45751</v>
      </c>
      <c r="C1540" t="s">
        <v>88</v>
      </c>
      <c r="D1540" t="s">
        <v>57</v>
      </c>
      <c r="E1540">
        <v>8</v>
      </c>
      <c r="F1540" s="6">
        <v>30</v>
      </c>
      <c r="G1540" s="7">
        <v>0</v>
      </c>
      <c r="H1540" s="6">
        <v>240</v>
      </c>
      <c r="I1540">
        <v>0</v>
      </c>
      <c r="J1540" s="6">
        <v>0</v>
      </c>
      <c r="K1540">
        <v>8</v>
      </c>
      <c r="L1540" s="6">
        <v>240</v>
      </c>
      <c r="M1540" s="6">
        <v>182.63</v>
      </c>
      <c r="N1540" s="6">
        <v>57.37</v>
      </c>
      <c r="O1540" s="6">
        <v>27.17</v>
      </c>
      <c r="P1540" s="6">
        <v>30.2</v>
      </c>
      <c r="Q1540" t="s">
        <v>59</v>
      </c>
      <c r="R1540" t="s">
        <v>86</v>
      </c>
      <c r="S1540" t="s">
        <v>76</v>
      </c>
    </row>
    <row r="1541" spans="1:19" x14ac:dyDescent="0.35">
      <c r="A1541" t="s">
        <v>1670</v>
      </c>
      <c r="B1541" s="5">
        <v>46010</v>
      </c>
      <c r="C1541" t="s">
        <v>834</v>
      </c>
      <c r="D1541" t="s">
        <v>79</v>
      </c>
      <c r="E1541">
        <v>4</v>
      </c>
      <c r="F1541" s="6">
        <v>120</v>
      </c>
      <c r="G1541" s="7">
        <v>0</v>
      </c>
      <c r="H1541" s="6">
        <v>480</v>
      </c>
      <c r="I1541">
        <v>0</v>
      </c>
      <c r="J1541" s="6">
        <v>0</v>
      </c>
      <c r="K1541">
        <v>4</v>
      </c>
      <c r="L1541" s="6">
        <v>480</v>
      </c>
      <c r="M1541" s="6">
        <v>309.54000000000002</v>
      </c>
      <c r="N1541" s="6">
        <v>170.46</v>
      </c>
      <c r="O1541" s="6">
        <v>27.51</v>
      </c>
      <c r="P1541" s="6">
        <v>142.94999999999999</v>
      </c>
      <c r="Q1541" t="s">
        <v>59</v>
      </c>
      <c r="R1541" t="s">
        <v>60</v>
      </c>
      <c r="S1541" t="s">
        <v>61</v>
      </c>
    </row>
    <row r="1542" spans="1:19" x14ac:dyDescent="0.35">
      <c r="A1542" t="s">
        <v>1671</v>
      </c>
      <c r="B1542" s="5">
        <v>45982</v>
      </c>
      <c r="C1542" t="s">
        <v>114</v>
      </c>
      <c r="D1542" t="s">
        <v>128</v>
      </c>
      <c r="E1542">
        <v>1</v>
      </c>
      <c r="F1542" s="6">
        <v>420</v>
      </c>
      <c r="G1542" s="7">
        <v>0</v>
      </c>
      <c r="H1542" s="6">
        <v>420</v>
      </c>
      <c r="I1542">
        <v>0</v>
      </c>
      <c r="J1542" s="6">
        <v>0</v>
      </c>
      <c r="K1542">
        <v>1</v>
      </c>
      <c r="L1542" s="6">
        <v>420</v>
      </c>
      <c r="M1542" s="6">
        <v>340.36</v>
      </c>
      <c r="N1542" s="6">
        <v>79.64</v>
      </c>
      <c r="O1542" s="6">
        <v>43.17</v>
      </c>
      <c r="P1542" s="6">
        <v>36.47</v>
      </c>
      <c r="Q1542" t="s">
        <v>59</v>
      </c>
      <c r="R1542" t="s">
        <v>60</v>
      </c>
      <c r="S1542" t="s">
        <v>67</v>
      </c>
    </row>
    <row r="1543" spans="1:19" x14ac:dyDescent="0.35">
      <c r="A1543" t="s">
        <v>1672</v>
      </c>
      <c r="B1543" s="5">
        <v>45669</v>
      </c>
      <c r="C1543" t="s">
        <v>114</v>
      </c>
      <c r="D1543" t="s">
        <v>64</v>
      </c>
      <c r="E1543">
        <v>6</v>
      </c>
      <c r="F1543" s="6">
        <v>420</v>
      </c>
      <c r="G1543" s="7">
        <v>0</v>
      </c>
      <c r="H1543" s="6">
        <v>2520</v>
      </c>
      <c r="I1543">
        <v>0</v>
      </c>
      <c r="J1543" s="6">
        <v>0</v>
      </c>
      <c r="K1543">
        <v>6</v>
      </c>
      <c r="L1543" s="6">
        <v>2520</v>
      </c>
      <c r="M1543" s="6">
        <v>1955.71</v>
      </c>
      <c r="N1543" s="6">
        <v>564.29</v>
      </c>
      <c r="O1543" s="6">
        <v>127.14</v>
      </c>
      <c r="P1543" s="6">
        <v>437.15</v>
      </c>
      <c r="Q1543" t="s">
        <v>75</v>
      </c>
      <c r="R1543" t="s">
        <v>82</v>
      </c>
      <c r="S1543" t="s">
        <v>76</v>
      </c>
    </row>
    <row r="1544" spans="1:19" x14ac:dyDescent="0.35">
      <c r="A1544" t="s">
        <v>1673</v>
      </c>
      <c r="B1544" s="5">
        <v>45945</v>
      </c>
      <c r="C1544" t="s">
        <v>264</v>
      </c>
      <c r="D1544" t="s">
        <v>110</v>
      </c>
      <c r="E1544">
        <v>6</v>
      </c>
      <c r="F1544" s="6">
        <v>20</v>
      </c>
      <c r="G1544" s="7">
        <v>0</v>
      </c>
      <c r="H1544" s="6">
        <v>120</v>
      </c>
      <c r="I1544">
        <v>0</v>
      </c>
      <c r="J1544" s="6">
        <v>0</v>
      </c>
      <c r="K1544">
        <v>6</v>
      </c>
      <c r="L1544" s="6">
        <v>120</v>
      </c>
      <c r="M1544" s="6">
        <v>83.82</v>
      </c>
      <c r="N1544" s="6">
        <v>36.18</v>
      </c>
      <c r="O1544" s="6">
        <v>8.0299999999999994</v>
      </c>
      <c r="P1544" s="6">
        <v>28.15</v>
      </c>
      <c r="Q1544" t="s">
        <v>81</v>
      </c>
      <c r="R1544" t="s">
        <v>66</v>
      </c>
      <c r="S1544" t="s">
        <v>61</v>
      </c>
    </row>
    <row r="1545" spans="1:19" x14ac:dyDescent="0.35">
      <c r="A1545" t="s">
        <v>1674</v>
      </c>
      <c r="B1545" s="5">
        <v>45909</v>
      </c>
      <c r="C1545" t="s">
        <v>596</v>
      </c>
      <c r="D1545" t="s">
        <v>57</v>
      </c>
      <c r="E1545">
        <v>5</v>
      </c>
      <c r="F1545" s="6">
        <v>30</v>
      </c>
      <c r="G1545" s="7">
        <v>0</v>
      </c>
      <c r="H1545" s="6">
        <v>150</v>
      </c>
      <c r="I1545">
        <v>0</v>
      </c>
      <c r="J1545" s="6">
        <v>0</v>
      </c>
      <c r="K1545">
        <v>5</v>
      </c>
      <c r="L1545" s="6">
        <v>150</v>
      </c>
      <c r="M1545" s="6">
        <v>102.07</v>
      </c>
      <c r="N1545" s="6">
        <v>47.93</v>
      </c>
      <c r="O1545" s="6">
        <v>8.43</v>
      </c>
      <c r="P1545" s="6">
        <v>39.5</v>
      </c>
      <c r="Q1545" t="s">
        <v>59</v>
      </c>
      <c r="R1545" t="s">
        <v>82</v>
      </c>
      <c r="S1545" t="s">
        <v>61</v>
      </c>
    </row>
    <row r="1546" spans="1:19" x14ac:dyDescent="0.35">
      <c r="A1546" t="s">
        <v>1675</v>
      </c>
      <c r="B1546" s="5">
        <v>45998</v>
      </c>
      <c r="C1546" t="s">
        <v>114</v>
      </c>
      <c r="D1546" t="s">
        <v>64</v>
      </c>
      <c r="E1546">
        <v>2</v>
      </c>
      <c r="F1546" s="6">
        <v>420</v>
      </c>
      <c r="G1546" s="7">
        <v>0</v>
      </c>
      <c r="H1546" s="6">
        <v>840</v>
      </c>
      <c r="I1546">
        <v>0</v>
      </c>
      <c r="J1546" s="6">
        <v>0</v>
      </c>
      <c r="K1546">
        <v>2</v>
      </c>
      <c r="L1546" s="6">
        <v>840</v>
      </c>
      <c r="M1546" s="6">
        <v>690.32</v>
      </c>
      <c r="N1546" s="6">
        <v>149.68</v>
      </c>
      <c r="O1546" s="6">
        <v>68.650000000000006</v>
      </c>
      <c r="P1546" s="6">
        <v>81.03</v>
      </c>
      <c r="R1546" t="s">
        <v>66</v>
      </c>
      <c r="S1546" t="s">
        <v>61</v>
      </c>
    </row>
    <row r="1547" spans="1:19" x14ac:dyDescent="0.35">
      <c r="A1547" t="s">
        <v>1676</v>
      </c>
      <c r="B1547" s="5">
        <v>45696</v>
      </c>
      <c r="C1547" t="s">
        <v>117</v>
      </c>
      <c r="D1547" t="s">
        <v>74</v>
      </c>
      <c r="E1547">
        <v>8</v>
      </c>
      <c r="F1547" s="6">
        <v>95</v>
      </c>
      <c r="G1547" s="7">
        <v>10</v>
      </c>
      <c r="H1547" s="6">
        <v>684</v>
      </c>
      <c r="I1547">
        <v>0</v>
      </c>
      <c r="J1547" s="6">
        <v>0</v>
      </c>
      <c r="K1547">
        <v>8</v>
      </c>
      <c r="L1547" s="6">
        <v>684</v>
      </c>
      <c r="M1547" s="6">
        <v>565.98</v>
      </c>
      <c r="N1547" s="6">
        <v>118.02</v>
      </c>
      <c r="O1547" s="6">
        <v>68.400000000000006</v>
      </c>
      <c r="P1547" s="6">
        <v>49.62</v>
      </c>
      <c r="Q1547" t="s">
        <v>81</v>
      </c>
      <c r="R1547" t="s">
        <v>82</v>
      </c>
      <c r="S1547" t="s">
        <v>67</v>
      </c>
    </row>
    <row r="1548" spans="1:19" x14ac:dyDescent="0.35">
      <c r="A1548" t="s">
        <v>1677</v>
      </c>
      <c r="B1548" s="5">
        <v>45805</v>
      </c>
      <c r="C1548" t="s">
        <v>73</v>
      </c>
      <c r="D1548" t="s">
        <v>74</v>
      </c>
      <c r="E1548">
        <v>3</v>
      </c>
      <c r="F1548" s="6">
        <v>280</v>
      </c>
      <c r="G1548" s="7">
        <v>0</v>
      </c>
      <c r="H1548" s="6">
        <v>840</v>
      </c>
      <c r="I1548">
        <v>0</v>
      </c>
      <c r="J1548" s="6">
        <v>0</v>
      </c>
      <c r="K1548">
        <v>3</v>
      </c>
      <c r="L1548" s="6">
        <v>840</v>
      </c>
      <c r="M1548" s="6">
        <v>562.25</v>
      </c>
      <c r="N1548" s="6">
        <v>277.75</v>
      </c>
      <c r="O1548" s="6">
        <v>72.33</v>
      </c>
      <c r="P1548" s="6">
        <v>205.42</v>
      </c>
      <c r="Q1548" t="s">
        <v>65</v>
      </c>
      <c r="R1548" t="s">
        <v>86</v>
      </c>
      <c r="S1548" t="s">
        <v>67</v>
      </c>
    </row>
    <row r="1549" spans="1:19" x14ac:dyDescent="0.35">
      <c r="A1549" t="s">
        <v>1678</v>
      </c>
      <c r="B1549" s="5">
        <v>45896</v>
      </c>
      <c r="C1549" t="s">
        <v>92</v>
      </c>
      <c r="D1549" t="s">
        <v>79</v>
      </c>
      <c r="E1549">
        <v>8</v>
      </c>
      <c r="F1549" s="6">
        <v>85</v>
      </c>
      <c r="G1549" s="7">
        <v>2</v>
      </c>
      <c r="H1549" s="6">
        <v>666.4</v>
      </c>
      <c r="I1549">
        <v>0</v>
      </c>
      <c r="J1549" s="6">
        <v>0</v>
      </c>
      <c r="K1549">
        <v>8</v>
      </c>
      <c r="L1549" s="6">
        <v>666.4</v>
      </c>
      <c r="M1549" s="6">
        <v>552.52</v>
      </c>
      <c r="N1549" s="6">
        <v>113.88</v>
      </c>
      <c r="O1549" s="6">
        <v>52.52</v>
      </c>
      <c r="P1549" s="6">
        <v>61.36</v>
      </c>
      <c r="Q1549" t="s">
        <v>65</v>
      </c>
      <c r="R1549" t="s">
        <v>66</v>
      </c>
      <c r="S1549" t="s">
        <v>67</v>
      </c>
    </row>
    <row r="1550" spans="1:19" x14ac:dyDescent="0.35">
      <c r="A1550" t="s">
        <v>1679</v>
      </c>
      <c r="B1550" s="5">
        <v>45693</v>
      </c>
      <c r="C1550" t="s">
        <v>121</v>
      </c>
      <c r="D1550" t="s">
        <v>70</v>
      </c>
      <c r="E1550">
        <v>2</v>
      </c>
      <c r="F1550" s="6">
        <v>110</v>
      </c>
      <c r="G1550" s="7">
        <v>5</v>
      </c>
      <c r="H1550" s="6">
        <v>209</v>
      </c>
      <c r="I1550">
        <v>0</v>
      </c>
      <c r="J1550" s="6">
        <v>0</v>
      </c>
      <c r="K1550">
        <v>2</v>
      </c>
      <c r="L1550" s="6">
        <v>209</v>
      </c>
      <c r="M1550" s="6">
        <v>156.07</v>
      </c>
      <c r="N1550" s="6">
        <v>52.93</v>
      </c>
      <c r="O1550" s="6">
        <v>14.94</v>
      </c>
      <c r="P1550" s="6">
        <v>37.99</v>
      </c>
      <c r="Q1550" t="s">
        <v>59</v>
      </c>
      <c r="R1550" t="s">
        <v>86</v>
      </c>
      <c r="S1550" t="s">
        <v>76</v>
      </c>
    </row>
    <row r="1551" spans="1:19" x14ac:dyDescent="0.35">
      <c r="A1551" t="s">
        <v>1680</v>
      </c>
      <c r="B1551" s="5">
        <v>45861</v>
      </c>
      <c r="C1551" t="s">
        <v>92</v>
      </c>
      <c r="D1551" t="s">
        <v>79</v>
      </c>
      <c r="E1551">
        <v>3</v>
      </c>
      <c r="F1551" s="6">
        <v>85</v>
      </c>
      <c r="G1551" s="7">
        <v>2</v>
      </c>
      <c r="H1551" s="6">
        <v>249.9</v>
      </c>
      <c r="I1551">
        <v>0</v>
      </c>
      <c r="J1551" s="6">
        <v>0</v>
      </c>
      <c r="K1551">
        <v>3</v>
      </c>
      <c r="L1551" s="6">
        <v>249.9</v>
      </c>
      <c r="M1551" s="6">
        <v>162.16</v>
      </c>
      <c r="N1551" s="6">
        <v>87.74</v>
      </c>
      <c r="O1551" s="6">
        <v>23.8</v>
      </c>
      <c r="P1551" s="6">
        <v>63.94</v>
      </c>
      <c r="Q1551" t="s">
        <v>65</v>
      </c>
      <c r="R1551" t="s">
        <v>82</v>
      </c>
      <c r="S1551" t="s">
        <v>76</v>
      </c>
    </row>
    <row r="1552" spans="1:19" x14ac:dyDescent="0.35">
      <c r="A1552" t="s">
        <v>1681</v>
      </c>
      <c r="B1552" s="5">
        <v>45782</v>
      </c>
      <c r="C1552" t="s">
        <v>69</v>
      </c>
      <c r="D1552" t="s">
        <v>70</v>
      </c>
      <c r="E1552">
        <v>1</v>
      </c>
      <c r="F1552" s="6">
        <v>210</v>
      </c>
      <c r="G1552" s="7">
        <v>0</v>
      </c>
      <c r="H1552" s="6">
        <v>210</v>
      </c>
      <c r="I1552">
        <v>0</v>
      </c>
      <c r="J1552" s="6">
        <v>0</v>
      </c>
      <c r="K1552">
        <v>1</v>
      </c>
      <c r="L1552" s="6">
        <v>210</v>
      </c>
      <c r="M1552" s="6">
        <v>135.86000000000001</v>
      </c>
      <c r="N1552" s="6">
        <v>74.14</v>
      </c>
      <c r="O1552" s="6">
        <v>23.62</v>
      </c>
      <c r="P1552" s="6">
        <v>50.52</v>
      </c>
      <c r="Q1552" t="s">
        <v>75</v>
      </c>
      <c r="R1552" t="s">
        <v>66</v>
      </c>
      <c r="S1552" t="s">
        <v>67</v>
      </c>
    </row>
    <row r="1553" spans="1:19" x14ac:dyDescent="0.35">
      <c r="A1553" t="s">
        <v>1682</v>
      </c>
      <c r="B1553" s="5">
        <v>45872</v>
      </c>
      <c r="C1553" t="s">
        <v>1414</v>
      </c>
      <c r="D1553" t="s">
        <v>70</v>
      </c>
      <c r="E1553">
        <v>8</v>
      </c>
      <c r="F1553" s="6">
        <v>38</v>
      </c>
      <c r="G1553" s="7">
        <v>2</v>
      </c>
      <c r="H1553" s="6">
        <v>297.92</v>
      </c>
      <c r="I1553">
        <v>0</v>
      </c>
      <c r="J1553" s="6">
        <v>0</v>
      </c>
      <c r="K1553">
        <v>8</v>
      </c>
      <c r="L1553" s="6">
        <v>297.92</v>
      </c>
      <c r="M1553" s="6">
        <v>203.66</v>
      </c>
      <c r="N1553" s="6">
        <v>94.26</v>
      </c>
      <c r="O1553" s="6">
        <v>25.44</v>
      </c>
      <c r="P1553" s="6">
        <v>68.819999999999993</v>
      </c>
      <c r="Q1553" t="s">
        <v>81</v>
      </c>
      <c r="R1553" t="s">
        <v>176</v>
      </c>
      <c r="S1553" t="s">
        <v>76</v>
      </c>
    </row>
    <row r="1554" spans="1:19" x14ac:dyDescent="0.35">
      <c r="A1554" t="s">
        <v>1683</v>
      </c>
      <c r="B1554" s="5">
        <v>45889</v>
      </c>
      <c r="C1554" t="s">
        <v>671</v>
      </c>
      <c r="D1554" t="s">
        <v>57</v>
      </c>
      <c r="E1554">
        <v>1</v>
      </c>
      <c r="F1554" s="6">
        <v>40</v>
      </c>
      <c r="G1554" s="7">
        <v>10</v>
      </c>
      <c r="H1554" s="6">
        <v>36</v>
      </c>
      <c r="I1554">
        <v>0</v>
      </c>
      <c r="J1554" s="6">
        <v>0</v>
      </c>
      <c r="K1554">
        <v>1</v>
      </c>
      <c r="L1554" s="6">
        <v>36</v>
      </c>
      <c r="M1554" s="6">
        <v>27.18</v>
      </c>
      <c r="N1554" s="6">
        <v>8.82</v>
      </c>
      <c r="O1554" s="6">
        <v>4.55</v>
      </c>
      <c r="P1554" s="6">
        <v>4.2699999999999996</v>
      </c>
      <c r="Q1554" t="s">
        <v>65</v>
      </c>
      <c r="R1554" t="s">
        <v>82</v>
      </c>
      <c r="S1554" t="s">
        <v>71</v>
      </c>
    </row>
    <row r="1555" spans="1:19" x14ac:dyDescent="0.35">
      <c r="A1555" t="s">
        <v>1684</v>
      </c>
      <c r="B1555" s="5">
        <v>45954</v>
      </c>
      <c r="C1555" t="s">
        <v>109</v>
      </c>
      <c r="D1555" t="s">
        <v>85</v>
      </c>
      <c r="E1555">
        <v>2</v>
      </c>
      <c r="F1555" s="6">
        <v>180</v>
      </c>
      <c r="G1555" s="7">
        <v>0</v>
      </c>
      <c r="H1555" s="6">
        <v>360</v>
      </c>
      <c r="I1555">
        <v>0</v>
      </c>
      <c r="J1555" s="6">
        <v>0</v>
      </c>
      <c r="K1555">
        <v>2</v>
      </c>
      <c r="L1555" s="6">
        <v>360</v>
      </c>
      <c r="M1555" s="6">
        <v>267.35000000000002</v>
      </c>
      <c r="N1555" s="6">
        <v>92.65</v>
      </c>
      <c r="O1555" s="6">
        <v>35.75</v>
      </c>
      <c r="P1555" s="6">
        <v>56.9</v>
      </c>
      <c r="Q1555" t="s">
        <v>81</v>
      </c>
      <c r="R1555" t="s">
        <v>86</v>
      </c>
      <c r="S1555" t="s">
        <v>67</v>
      </c>
    </row>
    <row r="1556" spans="1:19" x14ac:dyDescent="0.35">
      <c r="A1556" t="s">
        <v>1685</v>
      </c>
      <c r="B1556" s="5">
        <v>45765</v>
      </c>
      <c r="C1556" t="s">
        <v>73</v>
      </c>
      <c r="D1556" t="s">
        <v>74</v>
      </c>
      <c r="E1556">
        <v>10</v>
      </c>
      <c r="F1556" s="6">
        <v>280</v>
      </c>
      <c r="G1556" s="7">
        <v>2</v>
      </c>
      <c r="H1556" s="6">
        <v>2744</v>
      </c>
      <c r="I1556">
        <v>0</v>
      </c>
      <c r="J1556" s="6">
        <v>0</v>
      </c>
      <c r="K1556">
        <v>10</v>
      </c>
      <c r="L1556" s="6">
        <v>2744</v>
      </c>
      <c r="M1556" s="6">
        <v>1904.38</v>
      </c>
      <c r="N1556" s="6">
        <v>839.62</v>
      </c>
      <c r="O1556" s="6">
        <v>308.8</v>
      </c>
      <c r="P1556" s="6">
        <v>530.82000000000005</v>
      </c>
      <c r="Q1556" t="s">
        <v>75</v>
      </c>
      <c r="R1556" t="s">
        <v>82</v>
      </c>
      <c r="S1556" t="s">
        <v>61</v>
      </c>
    </row>
    <row r="1557" spans="1:19" x14ac:dyDescent="0.35">
      <c r="A1557" t="s">
        <v>1686</v>
      </c>
      <c r="B1557" s="5">
        <v>45748</v>
      </c>
      <c r="C1557" t="s">
        <v>1071</v>
      </c>
      <c r="D1557" t="s">
        <v>105</v>
      </c>
      <c r="E1557">
        <v>2</v>
      </c>
      <c r="F1557" s="6">
        <v>65</v>
      </c>
      <c r="G1557" s="7">
        <v>0</v>
      </c>
      <c r="H1557" s="6">
        <v>130</v>
      </c>
      <c r="I1557">
        <v>0</v>
      </c>
      <c r="J1557" s="6">
        <v>0</v>
      </c>
      <c r="K1557">
        <v>2</v>
      </c>
      <c r="L1557" s="6">
        <v>130</v>
      </c>
      <c r="M1557" s="6">
        <v>103.37</v>
      </c>
      <c r="N1557" s="6">
        <v>26.63</v>
      </c>
      <c r="O1557" s="6">
        <v>16.59</v>
      </c>
      <c r="P1557" s="6">
        <v>10.039999999999999</v>
      </c>
      <c r="Q1557" t="s">
        <v>75</v>
      </c>
      <c r="R1557" t="s">
        <v>60</v>
      </c>
      <c r="S1557" t="s">
        <v>61</v>
      </c>
    </row>
    <row r="1558" spans="1:19" x14ac:dyDescent="0.35">
      <c r="A1558" t="s">
        <v>1687</v>
      </c>
      <c r="B1558" s="5">
        <v>45869</v>
      </c>
      <c r="C1558" t="s">
        <v>95</v>
      </c>
      <c r="D1558" t="s">
        <v>64</v>
      </c>
      <c r="E1558">
        <v>2</v>
      </c>
      <c r="F1558" s="6">
        <v>52</v>
      </c>
      <c r="G1558" s="7">
        <v>0</v>
      </c>
      <c r="H1558" s="6">
        <v>104</v>
      </c>
      <c r="I1558">
        <v>0</v>
      </c>
      <c r="J1558" s="6">
        <v>0</v>
      </c>
      <c r="K1558">
        <v>2</v>
      </c>
      <c r="L1558" s="6">
        <v>104</v>
      </c>
      <c r="M1558" s="6">
        <v>69.91</v>
      </c>
      <c r="N1558" s="6">
        <v>34.090000000000003</v>
      </c>
      <c r="O1558" s="6">
        <v>9.7899999999999991</v>
      </c>
      <c r="P1558" s="6">
        <v>24.3</v>
      </c>
      <c r="Q1558" t="s">
        <v>59</v>
      </c>
      <c r="R1558" t="s">
        <v>66</v>
      </c>
      <c r="S1558" t="s">
        <v>71</v>
      </c>
    </row>
    <row r="1559" spans="1:19" x14ac:dyDescent="0.35">
      <c r="A1559" t="s">
        <v>1688</v>
      </c>
      <c r="B1559" s="5">
        <v>45864</v>
      </c>
      <c r="C1559" t="s">
        <v>78</v>
      </c>
      <c r="D1559" t="s">
        <v>79</v>
      </c>
      <c r="E1559">
        <v>4</v>
      </c>
      <c r="F1559" s="6">
        <v>120</v>
      </c>
      <c r="G1559" s="7">
        <v>0</v>
      </c>
      <c r="H1559" s="6">
        <v>480</v>
      </c>
      <c r="I1559">
        <v>0</v>
      </c>
      <c r="J1559" s="6">
        <v>0</v>
      </c>
      <c r="K1559">
        <v>4</v>
      </c>
      <c r="L1559" s="6">
        <v>480</v>
      </c>
      <c r="M1559" s="6">
        <v>343.79</v>
      </c>
      <c r="N1559" s="6">
        <v>136.21</v>
      </c>
      <c r="O1559" s="6">
        <v>26.21</v>
      </c>
      <c r="P1559" s="6">
        <v>110</v>
      </c>
      <c r="Q1559" t="s">
        <v>81</v>
      </c>
      <c r="R1559" t="s">
        <v>60</v>
      </c>
      <c r="S1559" t="s">
        <v>71</v>
      </c>
    </row>
    <row r="1560" spans="1:19" x14ac:dyDescent="0.35">
      <c r="A1560" t="s">
        <v>1689</v>
      </c>
      <c r="B1560" s="5">
        <v>45884</v>
      </c>
      <c r="C1560" t="s">
        <v>78</v>
      </c>
      <c r="D1560" t="s">
        <v>79</v>
      </c>
      <c r="E1560">
        <v>1</v>
      </c>
      <c r="F1560" s="6">
        <v>120</v>
      </c>
      <c r="G1560" s="7">
        <v>0</v>
      </c>
      <c r="H1560" s="6">
        <v>120</v>
      </c>
      <c r="I1560">
        <v>0</v>
      </c>
      <c r="J1560" s="6">
        <v>0</v>
      </c>
      <c r="K1560">
        <v>1</v>
      </c>
      <c r="L1560" s="6">
        <v>120</v>
      </c>
      <c r="M1560" s="6">
        <v>95.68</v>
      </c>
      <c r="N1560" s="6">
        <v>24.32</v>
      </c>
      <c r="O1560" s="6">
        <v>9.7799999999999994</v>
      </c>
      <c r="P1560" s="6">
        <v>14.54</v>
      </c>
      <c r="Q1560" t="s">
        <v>81</v>
      </c>
      <c r="R1560" t="s">
        <v>66</v>
      </c>
      <c r="S1560" t="s">
        <v>67</v>
      </c>
    </row>
    <row r="1561" spans="1:19" x14ac:dyDescent="0.35">
      <c r="A1561" t="s">
        <v>1690</v>
      </c>
      <c r="B1561" s="5">
        <v>45726</v>
      </c>
      <c r="C1561" t="s">
        <v>125</v>
      </c>
      <c r="D1561" t="s">
        <v>85</v>
      </c>
      <c r="E1561">
        <v>2</v>
      </c>
      <c r="F1561" s="6">
        <v>125</v>
      </c>
      <c r="G1561" s="7">
        <v>0</v>
      </c>
      <c r="H1561" s="6">
        <v>250</v>
      </c>
      <c r="I1561">
        <v>0</v>
      </c>
      <c r="J1561" s="6">
        <v>0</v>
      </c>
      <c r="K1561">
        <v>2</v>
      </c>
      <c r="L1561" s="6">
        <v>250</v>
      </c>
      <c r="M1561" s="6">
        <v>196.98</v>
      </c>
      <c r="N1561" s="6">
        <v>53.02</v>
      </c>
      <c r="O1561" s="6">
        <v>24.92</v>
      </c>
      <c r="P1561" s="6">
        <v>28.1</v>
      </c>
      <c r="Q1561" t="s">
        <v>81</v>
      </c>
      <c r="R1561" t="s">
        <v>66</v>
      </c>
      <c r="S1561" t="s">
        <v>61</v>
      </c>
    </row>
    <row r="1562" spans="1:19" x14ac:dyDescent="0.35">
      <c r="A1562" t="s">
        <v>1691</v>
      </c>
      <c r="B1562" s="5">
        <v>45915</v>
      </c>
      <c r="C1562" t="s">
        <v>121</v>
      </c>
      <c r="D1562" t="s">
        <v>70</v>
      </c>
      <c r="E1562">
        <v>5</v>
      </c>
      <c r="F1562" s="6">
        <v>110</v>
      </c>
      <c r="G1562" s="7">
        <v>5</v>
      </c>
      <c r="H1562" s="6">
        <v>522.5</v>
      </c>
      <c r="I1562">
        <v>5</v>
      </c>
      <c r="J1562" s="6">
        <v>522.5</v>
      </c>
      <c r="K1562">
        <v>0</v>
      </c>
      <c r="L1562" s="6">
        <v>0</v>
      </c>
      <c r="M1562" s="6">
        <v>0</v>
      </c>
      <c r="N1562" s="6">
        <v>0</v>
      </c>
      <c r="O1562" s="6">
        <v>0</v>
      </c>
      <c r="P1562" s="6">
        <v>0</v>
      </c>
      <c r="Q1562" t="s">
        <v>81</v>
      </c>
      <c r="R1562" t="s">
        <v>86</v>
      </c>
      <c r="S1562" t="s">
        <v>76</v>
      </c>
    </row>
    <row r="1563" spans="1:19" x14ac:dyDescent="0.35">
      <c r="A1563" t="s">
        <v>1692</v>
      </c>
      <c r="B1563" s="5">
        <v>45906</v>
      </c>
      <c r="C1563" t="s">
        <v>271</v>
      </c>
      <c r="D1563" t="s">
        <v>74</v>
      </c>
      <c r="E1563">
        <v>3</v>
      </c>
      <c r="F1563" s="6">
        <v>280</v>
      </c>
      <c r="G1563" s="7">
        <v>0</v>
      </c>
      <c r="H1563" s="6">
        <v>840</v>
      </c>
      <c r="I1563">
        <v>0</v>
      </c>
      <c r="J1563" s="6">
        <v>0</v>
      </c>
      <c r="K1563">
        <v>3</v>
      </c>
      <c r="L1563" s="6">
        <v>840</v>
      </c>
      <c r="M1563" s="6">
        <v>536.95000000000005</v>
      </c>
      <c r="N1563" s="6">
        <v>303.05</v>
      </c>
      <c r="O1563" s="6">
        <v>67.14</v>
      </c>
      <c r="P1563" s="6">
        <v>235.91</v>
      </c>
      <c r="Q1563" t="s">
        <v>59</v>
      </c>
      <c r="R1563" t="s">
        <v>66</v>
      </c>
      <c r="S1563" t="s">
        <v>76</v>
      </c>
    </row>
    <row r="1564" spans="1:19" x14ac:dyDescent="0.35">
      <c r="A1564" t="s">
        <v>1693</v>
      </c>
      <c r="B1564" s="5">
        <v>45974</v>
      </c>
      <c r="C1564" t="s">
        <v>56</v>
      </c>
      <c r="D1564" t="s">
        <v>57</v>
      </c>
      <c r="E1564">
        <v>10</v>
      </c>
      <c r="F1564" s="6">
        <v>40</v>
      </c>
      <c r="G1564" s="7">
        <v>5</v>
      </c>
      <c r="H1564" s="6">
        <v>380</v>
      </c>
      <c r="I1564">
        <v>0</v>
      </c>
      <c r="J1564" s="6">
        <v>0</v>
      </c>
      <c r="K1564">
        <v>10</v>
      </c>
      <c r="L1564" s="6">
        <v>380</v>
      </c>
      <c r="M1564" s="6">
        <v>242.11</v>
      </c>
      <c r="N1564" s="6">
        <v>137.88999999999999</v>
      </c>
      <c r="O1564" s="6">
        <v>38.25</v>
      </c>
      <c r="P1564" s="6">
        <v>99.64</v>
      </c>
      <c r="Q1564" t="s">
        <v>59</v>
      </c>
      <c r="R1564" t="s">
        <v>82</v>
      </c>
      <c r="S1564" t="s">
        <v>76</v>
      </c>
    </row>
    <row r="1565" spans="1:19" x14ac:dyDescent="0.35">
      <c r="A1565" t="s">
        <v>1694</v>
      </c>
      <c r="B1565" s="5">
        <v>45687</v>
      </c>
      <c r="C1565" t="s">
        <v>125</v>
      </c>
      <c r="D1565" t="s">
        <v>85</v>
      </c>
      <c r="E1565">
        <v>2</v>
      </c>
      <c r="F1565" s="6">
        <v>125</v>
      </c>
      <c r="G1565" s="7">
        <v>10</v>
      </c>
      <c r="H1565" s="6">
        <v>225</v>
      </c>
      <c r="I1565">
        <v>0</v>
      </c>
      <c r="J1565" s="6">
        <v>0</v>
      </c>
      <c r="K1565">
        <v>2</v>
      </c>
      <c r="L1565" s="6">
        <v>225</v>
      </c>
      <c r="M1565" s="6">
        <v>184.24</v>
      </c>
      <c r="N1565" s="6">
        <v>40.76</v>
      </c>
      <c r="O1565" s="6">
        <v>17.09</v>
      </c>
      <c r="P1565" s="6">
        <v>23.67</v>
      </c>
      <c r="Q1565" t="s">
        <v>59</v>
      </c>
      <c r="R1565" t="s">
        <v>66</v>
      </c>
      <c r="S1565" t="s">
        <v>61</v>
      </c>
    </row>
    <row r="1566" spans="1:19" x14ac:dyDescent="0.35">
      <c r="A1566" t="s">
        <v>1695</v>
      </c>
      <c r="B1566" s="5">
        <v>45902</v>
      </c>
      <c r="C1566" t="s">
        <v>125</v>
      </c>
      <c r="D1566" t="s">
        <v>85</v>
      </c>
      <c r="E1566">
        <v>4</v>
      </c>
      <c r="F1566" s="6">
        <v>125</v>
      </c>
      <c r="G1566" s="7">
        <v>0</v>
      </c>
      <c r="H1566" s="6">
        <v>500</v>
      </c>
      <c r="I1566">
        <v>0</v>
      </c>
      <c r="J1566" s="6">
        <v>0</v>
      </c>
      <c r="K1566">
        <v>4</v>
      </c>
      <c r="L1566" s="6">
        <v>500</v>
      </c>
      <c r="M1566" s="6">
        <v>347.61</v>
      </c>
      <c r="N1566" s="6">
        <v>152.38999999999999</v>
      </c>
      <c r="O1566" s="6">
        <v>48.21</v>
      </c>
      <c r="P1566" s="6">
        <v>104.18</v>
      </c>
      <c r="Q1566" t="s">
        <v>65</v>
      </c>
      <c r="R1566" t="s">
        <v>60</v>
      </c>
      <c r="S1566" t="s">
        <v>67</v>
      </c>
    </row>
    <row r="1567" spans="1:19" x14ac:dyDescent="0.35">
      <c r="A1567" t="s">
        <v>1696</v>
      </c>
      <c r="B1567" s="5">
        <v>45919</v>
      </c>
      <c r="C1567" t="s">
        <v>73</v>
      </c>
      <c r="D1567" t="s">
        <v>74</v>
      </c>
      <c r="E1567">
        <v>1</v>
      </c>
      <c r="F1567" s="6">
        <v>280</v>
      </c>
      <c r="G1567" s="7">
        <v>10</v>
      </c>
      <c r="H1567" s="6">
        <v>252</v>
      </c>
      <c r="I1567">
        <v>0</v>
      </c>
      <c r="J1567" s="6">
        <v>0</v>
      </c>
      <c r="K1567">
        <v>1</v>
      </c>
      <c r="L1567" s="6">
        <v>252</v>
      </c>
      <c r="M1567" s="6">
        <v>196.49</v>
      </c>
      <c r="N1567" s="6">
        <v>55.51</v>
      </c>
      <c r="O1567" s="6">
        <v>25.22</v>
      </c>
      <c r="P1567" s="6">
        <v>30.29</v>
      </c>
      <c r="Q1567" t="s">
        <v>81</v>
      </c>
      <c r="R1567" t="s">
        <v>82</v>
      </c>
      <c r="S1567" t="s">
        <v>67</v>
      </c>
    </row>
    <row r="1568" spans="1:19" x14ac:dyDescent="0.35">
      <c r="A1568" t="s">
        <v>1697</v>
      </c>
      <c r="B1568" s="5">
        <v>45858</v>
      </c>
      <c r="C1568" t="s">
        <v>90</v>
      </c>
      <c r="D1568" t="s">
        <v>70</v>
      </c>
      <c r="E1568">
        <v>3</v>
      </c>
      <c r="F1568" s="6">
        <v>38</v>
      </c>
      <c r="G1568" s="7">
        <v>2</v>
      </c>
      <c r="H1568" s="6">
        <v>111.72</v>
      </c>
      <c r="I1568">
        <v>0</v>
      </c>
      <c r="J1568" s="6">
        <v>0</v>
      </c>
      <c r="K1568">
        <v>3</v>
      </c>
      <c r="L1568" s="6">
        <v>111.72</v>
      </c>
      <c r="M1568" s="6">
        <v>86.51</v>
      </c>
      <c r="N1568" s="6">
        <v>25.21</v>
      </c>
      <c r="O1568" s="6">
        <v>9.93</v>
      </c>
      <c r="P1568" s="6">
        <v>15.28</v>
      </c>
      <c r="Q1568" t="s">
        <v>75</v>
      </c>
      <c r="R1568" t="s">
        <v>60</v>
      </c>
      <c r="S1568" t="s">
        <v>76</v>
      </c>
    </row>
    <row r="1569" spans="1:19" x14ac:dyDescent="0.35">
      <c r="A1569" t="s">
        <v>1698</v>
      </c>
      <c r="B1569" s="5">
        <v>46007</v>
      </c>
      <c r="C1569" t="s">
        <v>104</v>
      </c>
      <c r="D1569" t="s">
        <v>105</v>
      </c>
      <c r="E1569">
        <v>3</v>
      </c>
      <c r="F1569" s="6">
        <v>65</v>
      </c>
      <c r="G1569" s="7">
        <v>0</v>
      </c>
      <c r="H1569" s="6">
        <v>195</v>
      </c>
      <c r="I1569">
        <v>0</v>
      </c>
      <c r="J1569" s="6">
        <v>0</v>
      </c>
      <c r="K1569">
        <v>3</v>
      </c>
      <c r="L1569" s="6">
        <v>195</v>
      </c>
      <c r="M1569" s="6">
        <v>152.86000000000001</v>
      </c>
      <c r="N1569" s="6">
        <v>42.14</v>
      </c>
      <c r="O1569" s="6">
        <v>23.5</v>
      </c>
      <c r="P1569" s="6">
        <v>18.64</v>
      </c>
      <c r="Q1569" t="s">
        <v>59</v>
      </c>
      <c r="R1569" t="s">
        <v>82</v>
      </c>
      <c r="S1569" t="s">
        <v>71</v>
      </c>
    </row>
    <row r="1570" spans="1:19" x14ac:dyDescent="0.35">
      <c r="A1570" t="s">
        <v>1699</v>
      </c>
      <c r="B1570" s="5">
        <v>45800</v>
      </c>
      <c r="C1570" t="s">
        <v>114</v>
      </c>
      <c r="D1570" t="s">
        <v>64</v>
      </c>
      <c r="E1570">
        <v>6</v>
      </c>
      <c r="F1570" s="6">
        <v>420</v>
      </c>
      <c r="G1570" s="7">
        <v>0</v>
      </c>
      <c r="H1570" s="6">
        <v>2520</v>
      </c>
      <c r="I1570">
        <v>0</v>
      </c>
      <c r="J1570" s="6">
        <v>0</v>
      </c>
      <c r="K1570">
        <v>6</v>
      </c>
      <c r="L1570" s="6">
        <v>2520</v>
      </c>
      <c r="M1570" s="6">
        <v>2033.6</v>
      </c>
      <c r="N1570" s="6">
        <v>486.4</v>
      </c>
      <c r="O1570" s="6">
        <v>138</v>
      </c>
      <c r="P1570" s="6">
        <v>348.4</v>
      </c>
      <c r="Q1570" t="s">
        <v>81</v>
      </c>
      <c r="R1570" t="s">
        <v>82</v>
      </c>
      <c r="S1570" t="s">
        <v>71</v>
      </c>
    </row>
    <row r="1571" spans="1:19" x14ac:dyDescent="0.35">
      <c r="A1571" t="s">
        <v>1700</v>
      </c>
      <c r="B1571" s="5">
        <v>45926</v>
      </c>
      <c r="C1571" t="s">
        <v>107</v>
      </c>
      <c r="D1571" t="s">
        <v>74</v>
      </c>
      <c r="E1571">
        <v>3</v>
      </c>
      <c r="F1571" s="6">
        <v>125</v>
      </c>
      <c r="G1571" s="7">
        <v>0</v>
      </c>
      <c r="H1571" s="6">
        <v>375</v>
      </c>
      <c r="I1571">
        <v>0</v>
      </c>
      <c r="J1571" s="6">
        <v>0</v>
      </c>
      <c r="K1571">
        <v>3</v>
      </c>
      <c r="L1571" s="6">
        <v>375</v>
      </c>
      <c r="M1571" s="6">
        <v>277.83999999999997</v>
      </c>
      <c r="N1571" s="6">
        <v>97.16</v>
      </c>
      <c r="O1571" s="6">
        <v>29.83</v>
      </c>
      <c r="P1571" s="6">
        <v>67.33</v>
      </c>
      <c r="Q1571" t="s">
        <v>59</v>
      </c>
      <c r="R1571" t="s">
        <v>86</v>
      </c>
      <c r="S1571" t="s">
        <v>76</v>
      </c>
    </row>
    <row r="1572" spans="1:19" x14ac:dyDescent="0.35">
      <c r="A1572" t="s">
        <v>1701</v>
      </c>
      <c r="B1572" s="5">
        <v>45753</v>
      </c>
      <c r="C1572" t="s">
        <v>92</v>
      </c>
      <c r="D1572" t="s">
        <v>308</v>
      </c>
      <c r="E1572">
        <v>5</v>
      </c>
      <c r="F1572" s="6">
        <v>85</v>
      </c>
      <c r="G1572" s="7">
        <v>10</v>
      </c>
      <c r="H1572" s="6">
        <v>382.5</v>
      </c>
      <c r="I1572">
        <v>0</v>
      </c>
      <c r="J1572" s="6">
        <v>0</v>
      </c>
      <c r="K1572">
        <v>5</v>
      </c>
      <c r="L1572" s="6">
        <v>382.5</v>
      </c>
      <c r="M1572" s="6">
        <v>306.61</v>
      </c>
      <c r="N1572" s="6">
        <v>75.89</v>
      </c>
      <c r="O1572" s="6">
        <v>25.75</v>
      </c>
      <c r="P1572" s="6">
        <v>50.14</v>
      </c>
      <c r="Q1572" t="s">
        <v>75</v>
      </c>
      <c r="R1572" t="s">
        <v>86</v>
      </c>
      <c r="S1572" t="s">
        <v>71</v>
      </c>
    </row>
    <row r="1573" spans="1:19" x14ac:dyDescent="0.35">
      <c r="A1573" t="s">
        <v>1702</v>
      </c>
      <c r="B1573" s="5">
        <v>45811</v>
      </c>
      <c r="C1573" t="s">
        <v>95</v>
      </c>
      <c r="D1573" t="s">
        <v>64</v>
      </c>
      <c r="E1573">
        <v>8</v>
      </c>
      <c r="F1573" s="6">
        <v>52</v>
      </c>
      <c r="G1573" s="7">
        <v>5</v>
      </c>
      <c r="H1573" s="6">
        <v>395.2</v>
      </c>
      <c r="I1573">
        <v>0</v>
      </c>
      <c r="J1573" s="6">
        <v>0</v>
      </c>
      <c r="K1573">
        <v>8</v>
      </c>
      <c r="L1573" s="6">
        <v>395.2</v>
      </c>
      <c r="M1573" s="6">
        <v>328.63</v>
      </c>
      <c r="N1573" s="6">
        <v>66.569999999999993</v>
      </c>
      <c r="O1573" s="6">
        <v>32.020000000000003</v>
      </c>
      <c r="P1573" s="6">
        <v>34.549999999999997</v>
      </c>
      <c r="Q1573" t="s">
        <v>81</v>
      </c>
      <c r="R1573" t="s">
        <v>82</v>
      </c>
      <c r="S1573" t="s">
        <v>71</v>
      </c>
    </row>
    <row r="1574" spans="1:19" x14ac:dyDescent="0.35">
      <c r="A1574" t="s">
        <v>1703</v>
      </c>
      <c r="B1574" s="5">
        <v>45660</v>
      </c>
      <c r="C1574" t="s">
        <v>56</v>
      </c>
      <c r="D1574" t="s">
        <v>57</v>
      </c>
      <c r="E1574">
        <v>4</v>
      </c>
      <c r="F1574" s="6">
        <v>40</v>
      </c>
      <c r="G1574" s="7">
        <v>0</v>
      </c>
      <c r="H1574" s="6">
        <v>160</v>
      </c>
      <c r="I1574">
        <v>0</v>
      </c>
      <c r="J1574" s="6">
        <v>0</v>
      </c>
      <c r="K1574">
        <v>4</v>
      </c>
      <c r="L1574" s="6">
        <v>160</v>
      </c>
      <c r="M1574" s="6">
        <v>120.41</v>
      </c>
      <c r="N1574" s="6">
        <v>39.590000000000003</v>
      </c>
      <c r="O1574" s="6">
        <v>11.55</v>
      </c>
      <c r="P1574" s="6">
        <v>28.04</v>
      </c>
      <c r="Q1574" t="s">
        <v>81</v>
      </c>
      <c r="R1574" t="s">
        <v>86</v>
      </c>
      <c r="S1574" t="s">
        <v>61</v>
      </c>
    </row>
    <row r="1575" spans="1:19" x14ac:dyDescent="0.35">
      <c r="A1575" t="s">
        <v>1704</v>
      </c>
      <c r="B1575" s="5">
        <v>45684</v>
      </c>
      <c r="C1575" t="s">
        <v>63</v>
      </c>
      <c r="D1575" t="s">
        <v>64</v>
      </c>
      <c r="E1575">
        <v>5</v>
      </c>
      <c r="F1575" s="6">
        <v>145</v>
      </c>
      <c r="G1575" s="7">
        <v>0</v>
      </c>
      <c r="H1575" s="6">
        <v>725</v>
      </c>
      <c r="I1575">
        <v>0</v>
      </c>
      <c r="J1575" s="6">
        <v>0</v>
      </c>
      <c r="K1575">
        <v>5</v>
      </c>
      <c r="L1575" s="6">
        <v>725</v>
      </c>
      <c r="M1575" s="6">
        <v>554.53</v>
      </c>
      <c r="N1575" s="6">
        <v>170.47</v>
      </c>
      <c r="O1575" s="6">
        <v>86.49</v>
      </c>
      <c r="P1575" s="6">
        <v>83.98</v>
      </c>
      <c r="Q1575" t="s">
        <v>59</v>
      </c>
      <c r="R1575" t="s">
        <v>60</v>
      </c>
      <c r="S1575" t="s">
        <v>61</v>
      </c>
    </row>
    <row r="1576" spans="1:19" x14ac:dyDescent="0.35">
      <c r="A1576" t="s">
        <v>1705</v>
      </c>
      <c r="B1576" s="5">
        <v>45678</v>
      </c>
      <c r="C1576" t="s">
        <v>596</v>
      </c>
      <c r="D1576" t="s">
        <v>57</v>
      </c>
      <c r="E1576">
        <v>4</v>
      </c>
      <c r="F1576" s="6">
        <v>30</v>
      </c>
      <c r="G1576" s="7">
        <v>5</v>
      </c>
      <c r="H1576" s="6">
        <v>114</v>
      </c>
      <c r="I1576">
        <v>0</v>
      </c>
      <c r="J1576" s="6">
        <v>0</v>
      </c>
      <c r="K1576">
        <v>4</v>
      </c>
      <c r="L1576" s="6">
        <v>114</v>
      </c>
      <c r="M1576" s="6">
        <v>97.67</v>
      </c>
      <c r="N1576" s="6">
        <v>16.329999999999998</v>
      </c>
      <c r="O1576" s="6">
        <v>13.24</v>
      </c>
      <c r="P1576" s="6">
        <v>3.09</v>
      </c>
      <c r="Q1576" t="s">
        <v>59</v>
      </c>
      <c r="R1576" t="s">
        <v>86</v>
      </c>
      <c r="S1576" t="s">
        <v>67</v>
      </c>
    </row>
    <row r="1577" spans="1:19" x14ac:dyDescent="0.35">
      <c r="A1577" t="s">
        <v>1706</v>
      </c>
      <c r="B1577" s="5">
        <v>45730</v>
      </c>
      <c r="C1577" t="s">
        <v>69</v>
      </c>
      <c r="D1577" t="s">
        <v>70</v>
      </c>
      <c r="E1577">
        <v>4</v>
      </c>
      <c r="F1577" s="6">
        <v>210</v>
      </c>
      <c r="G1577" s="7">
        <v>2</v>
      </c>
      <c r="H1577" s="6">
        <v>823.2</v>
      </c>
      <c r="I1577">
        <v>0</v>
      </c>
      <c r="J1577" s="6">
        <v>0</v>
      </c>
      <c r="K1577">
        <v>4</v>
      </c>
      <c r="L1577" s="6">
        <v>823.2</v>
      </c>
      <c r="M1577" s="6">
        <v>653.22</v>
      </c>
      <c r="N1577" s="6">
        <v>169.98</v>
      </c>
      <c r="O1577" s="6">
        <v>47.52</v>
      </c>
      <c r="P1577" s="6">
        <v>122.46</v>
      </c>
      <c r="Q1577" t="s">
        <v>81</v>
      </c>
      <c r="R1577" t="s">
        <v>66</v>
      </c>
      <c r="S1577" t="s">
        <v>67</v>
      </c>
    </row>
    <row r="1578" spans="1:19" x14ac:dyDescent="0.35">
      <c r="A1578" t="s">
        <v>1707</v>
      </c>
      <c r="B1578" s="5">
        <v>45956</v>
      </c>
      <c r="C1578" t="s">
        <v>97</v>
      </c>
      <c r="D1578" t="s">
        <v>57</v>
      </c>
      <c r="E1578">
        <v>1</v>
      </c>
      <c r="F1578" s="6">
        <v>55</v>
      </c>
      <c r="G1578" s="7">
        <v>0</v>
      </c>
      <c r="H1578" s="6">
        <v>55</v>
      </c>
      <c r="I1578">
        <v>0</v>
      </c>
      <c r="J1578" s="6">
        <v>0</v>
      </c>
      <c r="K1578">
        <v>1</v>
      </c>
      <c r="L1578" s="6">
        <v>55</v>
      </c>
      <c r="M1578" s="6">
        <v>38.35</v>
      </c>
      <c r="N1578" s="6">
        <v>16.649999999999999</v>
      </c>
      <c r="O1578" s="6">
        <v>3.98</v>
      </c>
      <c r="P1578" s="6">
        <v>12.67</v>
      </c>
      <c r="Q1578" t="s">
        <v>65</v>
      </c>
      <c r="R1578" t="s">
        <v>66</v>
      </c>
      <c r="S1578" t="s">
        <v>71</v>
      </c>
    </row>
    <row r="1579" spans="1:19" x14ac:dyDescent="0.35">
      <c r="A1579" t="s">
        <v>1708</v>
      </c>
      <c r="B1579" s="5">
        <v>45915</v>
      </c>
      <c r="C1579" t="s">
        <v>84</v>
      </c>
      <c r="D1579" t="s">
        <v>85</v>
      </c>
      <c r="E1579">
        <v>4</v>
      </c>
      <c r="F1579" s="6">
        <v>48</v>
      </c>
      <c r="G1579" s="7">
        <v>5</v>
      </c>
      <c r="H1579" s="6">
        <v>182.4</v>
      </c>
      <c r="I1579">
        <v>0</v>
      </c>
      <c r="J1579" s="6">
        <v>0</v>
      </c>
      <c r="K1579">
        <v>4</v>
      </c>
      <c r="L1579" s="6">
        <v>182.4</v>
      </c>
      <c r="M1579" s="6">
        <v>131.12</v>
      </c>
      <c r="N1579" s="6">
        <v>51.28</v>
      </c>
      <c r="O1579" s="6">
        <v>15.02</v>
      </c>
      <c r="P1579" s="6">
        <v>36.26</v>
      </c>
      <c r="Q1579" t="s">
        <v>65</v>
      </c>
      <c r="R1579" t="s">
        <v>86</v>
      </c>
      <c r="S1579" t="s">
        <v>61</v>
      </c>
    </row>
    <row r="1580" spans="1:19" x14ac:dyDescent="0.35">
      <c r="A1580" t="s">
        <v>1709</v>
      </c>
      <c r="B1580" s="5">
        <v>45817</v>
      </c>
      <c r="C1580" t="s">
        <v>121</v>
      </c>
      <c r="D1580" t="s">
        <v>70</v>
      </c>
      <c r="E1580">
        <v>2</v>
      </c>
      <c r="F1580" s="6">
        <v>110</v>
      </c>
      <c r="G1580" s="7">
        <v>0</v>
      </c>
      <c r="H1580" s="6">
        <v>220</v>
      </c>
      <c r="I1580">
        <v>0</v>
      </c>
      <c r="J1580" s="6">
        <v>0</v>
      </c>
      <c r="K1580">
        <v>2</v>
      </c>
      <c r="L1580" s="6">
        <v>220</v>
      </c>
      <c r="M1580" s="6">
        <v>145.13999999999999</v>
      </c>
      <c r="N1580" s="6">
        <v>74.86</v>
      </c>
      <c r="O1580" s="6">
        <v>23.2</v>
      </c>
      <c r="P1580" s="6">
        <v>51.66</v>
      </c>
      <c r="Q1580" t="s">
        <v>65</v>
      </c>
      <c r="S1580" t="s">
        <v>76</v>
      </c>
    </row>
    <row r="1581" spans="1:19" x14ac:dyDescent="0.35">
      <c r="A1581" t="s">
        <v>1710</v>
      </c>
      <c r="B1581" s="5">
        <v>45896</v>
      </c>
      <c r="C1581" t="s">
        <v>114</v>
      </c>
      <c r="D1581" t="s">
        <v>64</v>
      </c>
      <c r="E1581">
        <v>8</v>
      </c>
      <c r="F1581" s="6">
        <v>420</v>
      </c>
      <c r="G1581" s="7">
        <v>5</v>
      </c>
      <c r="H1581" s="6">
        <v>3192</v>
      </c>
      <c r="I1581">
        <v>0</v>
      </c>
      <c r="J1581" s="6">
        <v>0</v>
      </c>
      <c r="K1581">
        <v>8</v>
      </c>
      <c r="L1581" s="6">
        <v>3192</v>
      </c>
      <c r="M1581" s="6">
        <v>2626.33</v>
      </c>
      <c r="N1581" s="6">
        <v>565.66999999999996</v>
      </c>
      <c r="O1581" s="6">
        <v>288.62</v>
      </c>
      <c r="P1581" s="6">
        <v>277.05</v>
      </c>
      <c r="Q1581" t="s">
        <v>65</v>
      </c>
      <c r="R1581" t="s">
        <v>176</v>
      </c>
      <c r="S1581" t="s">
        <v>76</v>
      </c>
    </row>
    <row r="1582" spans="1:19" x14ac:dyDescent="0.35">
      <c r="A1582" t="s">
        <v>1711</v>
      </c>
      <c r="B1582" s="5">
        <v>45846</v>
      </c>
      <c r="C1582" t="s">
        <v>95</v>
      </c>
      <c r="D1582" t="s">
        <v>64</v>
      </c>
      <c r="E1582">
        <v>3</v>
      </c>
      <c r="F1582" s="6">
        <v>52</v>
      </c>
      <c r="G1582" s="7">
        <v>2</v>
      </c>
      <c r="H1582" s="6">
        <v>152.88</v>
      </c>
      <c r="I1582">
        <v>0</v>
      </c>
      <c r="J1582" s="6">
        <v>0</v>
      </c>
      <c r="K1582">
        <v>3</v>
      </c>
      <c r="L1582" s="6">
        <v>152.88</v>
      </c>
      <c r="M1582" s="6">
        <v>118.82</v>
      </c>
      <c r="N1582" s="6">
        <v>34.06</v>
      </c>
      <c r="O1582" s="6">
        <v>11.88</v>
      </c>
      <c r="P1582" s="6">
        <v>22.18</v>
      </c>
      <c r="Q1582" t="s">
        <v>59</v>
      </c>
      <c r="R1582" t="s">
        <v>66</v>
      </c>
      <c r="S1582" t="s">
        <v>67</v>
      </c>
    </row>
    <row r="1583" spans="1:19" x14ac:dyDescent="0.35">
      <c r="A1583" t="s">
        <v>1712</v>
      </c>
      <c r="B1583" s="5">
        <v>45911</v>
      </c>
      <c r="C1583" t="s">
        <v>84</v>
      </c>
      <c r="D1583" t="s">
        <v>85</v>
      </c>
      <c r="E1583">
        <v>3</v>
      </c>
      <c r="F1583" s="6">
        <v>48</v>
      </c>
      <c r="G1583" s="7">
        <v>0</v>
      </c>
      <c r="H1583" s="6">
        <v>144</v>
      </c>
      <c r="I1583">
        <v>0</v>
      </c>
      <c r="J1583" s="6">
        <v>0</v>
      </c>
      <c r="K1583">
        <v>3</v>
      </c>
      <c r="L1583" s="6">
        <v>144</v>
      </c>
      <c r="M1583" s="6">
        <v>110.12</v>
      </c>
      <c r="N1583" s="6">
        <v>33.880000000000003</v>
      </c>
      <c r="O1583" s="6">
        <v>11.58</v>
      </c>
      <c r="P1583" s="6">
        <v>22.3</v>
      </c>
      <c r="Q1583" t="s">
        <v>81</v>
      </c>
      <c r="R1583" t="s">
        <v>86</v>
      </c>
      <c r="S1583" t="s">
        <v>76</v>
      </c>
    </row>
    <row r="1584" spans="1:19" x14ac:dyDescent="0.35">
      <c r="A1584" t="s">
        <v>1713</v>
      </c>
      <c r="B1584" s="5">
        <v>45728</v>
      </c>
      <c r="C1584" t="s">
        <v>109</v>
      </c>
      <c r="D1584" t="s">
        <v>85</v>
      </c>
      <c r="E1584">
        <v>1</v>
      </c>
      <c r="F1584" s="6">
        <v>180</v>
      </c>
      <c r="G1584" s="7">
        <v>10</v>
      </c>
      <c r="H1584" s="6">
        <v>162</v>
      </c>
      <c r="I1584">
        <v>0</v>
      </c>
      <c r="J1584" s="6">
        <v>0</v>
      </c>
      <c r="K1584">
        <v>1</v>
      </c>
      <c r="L1584" s="6">
        <v>162</v>
      </c>
      <c r="M1584" s="6">
        <v>106.93</v>
      </c>
      <c r="N1584" s="6">
        <v>55.07</v>
      </c>
      <c r="O1584" s="6">
        <v>9.76</v>
      </c>
      <c r="P1584" s="6">
        <v>45.31</v>
      </c>
      <c r="Q1584" t="s">
        <v>59</v>
      </c>
      <c r="R1584" t="s">
        <v>66</v>
      </c>
      <c r="S1584" t="s">
        <v>71</v>
      </c>
    </row>
    <row r="1585" spans="1:19" x14ac:dyDescent="0.35">
      <c r="A1585" t="s">
        <v>1714</v>
      </c>
      <c r="B1585" s="5">
        <v>45957</v>
      </c>
      <c r="C1585" t="s">
        <v>73</v>
      </c>
      <c r="D1585" t="s">
        <v>74</v>
      </c>
      <c r="E1585">
        <v>2</v>
      </c>
      <c r="F1585" s="6">
        <v>280</v>
      </c>
      <c r="G1585" s="7">
        <v>5</v>
      </c>
      <c r="H1585" s="6">
        <v>532</v>
      </c>
      <c r="I1585">
        <v>0</v>
      </c>
      <c r="J1585" s="6">
        <v>0</v>
      </c>
      <c r="K1585">
        <v>2</v>
      </c>
      <c r="L1585" s="6">
        <v>532</v>
      </c>
      <c r="M1585" s="6">
        <v>408.72</v>
      </c>
      <c r="N1585" s="6">
        <v>123.28</v>
      </c>
      <c r="O1585" s="6">
        <v>35.71</v>
      </c>
      <c r="P1585" s="6">
        <v>87.57</v>
      </c>
      <c r="Q1585" t="s">
        <v>59</v>
      </c>
      <c r="R1585" t="s">
        <v>82</v>
      </c>
      <c r="S1585" t="s">
        <v>61</v>
      </c>
    </row>
    <row r="1586" spans="1:19" x14ac:dyDescent="0.35">
      <c r="A1586" t="s">
        <v>1715</v>
      </c>
      <c r="B1586" s="5">
        <v>45869</v>
      </c>
      <c r="C1586" t="s">
        <v>84</v>
      </c>
      <c r="D1586" t="s">
        <v>85</v>
      </c>
      <c r="E1586">
        <v>3</v>
      </c>
      <c r="F1586" s="6">
        <v>48</v>
      </c>
      <c r="G1586" s="7">
        <v>5</v>
      </c>
      <c r="H1586" s="6">
        <v>136.80000000000001</v>
      </c>
      <c r="I1586">
        <v>0</v>
      </c>
      <c r="J1586" s="6">
        <v>0</v>
      </c>
      <c r="K1586">
        <v>3</v>
      </c>
      <c r="L1586" s="6">
        <v>136.80000000000001</v>
      </c>
      <c r="M1586" s="6">
        <v>108.53</v>
      </c>
      <c r="N1586" s="6">
        <v>28.27</v>
      </c>
      <c r="O1586" s="6">
        <v>8.49</v>
      </c>
      <c r="P1586" s="6">
        <v>19.78</v>
      </c>
      <c r="Q1586" t="s">
        <v>65</v>
      </c>
      <c r="R1586" t="s">
        <v>82</v>
      </c>
      <c r="S1586" t="s">
        <v>61</v>
      </c>
    </row>
    <row r="1587" spans="1:19" x14ac:dyDescent="0.35">
      <c r="A1587" t="s">
        <v>1716</v>
      </c>
      <c r="B1587" s="5">
        <v>45700</v>
      </c>
      <c r="C1587" t="s">
        <v>163</v>
      </c>
      <c r="D1587" t="s">
        <v>79</v>
      </c>
      <c r="E1587">
        <v>4</v>
      </c>
      <c r="F1587" s="6">
        <v>85</v>
      </c>
      <c r="G1587" s="7">
        <v>0</v>
      </c>
      <c r="H1587" s="6">
        <v>340</v>
      </c>
      <c r="I1587">
        <v>0</v>
      </c>
      <c r="J1587" s="6">
        <v>0</v>
      </c>
      <c r="K1587">
        <v>4</v>
      </c>
      <c r="L1587" s="6">
        <v>340</v>
      </c>
      <c r="M1587" s="6">
        <v>272.17</v>
      </c>
      <c r="N1587" s="6">
        <v>67.83</v>
      </c>
      <c r="O1587" s="6">
        <v>22.49</v>
      </c>
      <c r="P1587" s="6">
        <v>45.34</v>
      </c>
      <c r="Q1587" t="s">
        <v>81</v>
      </c>
      <c r="R1587" t="s">
        <v>60</v>
      </c>
      <c r="S1587" t="s">
        <v>61</v>
      </c>
    </row>
    <row r="1588" spans="1:19" x14ac:dyDescent="0.35">
      <c r="A1588" t="s">
        <v>1717</v>
      </c>
      <c r="B1588" s="5">
        <v>45903</v>
      </c>
      <c r="C1588" t="s">
        <v>121</v>
      </c>
      <c r="D1588" t="s">
        <v>70</v>
      </c>
      <c r="E1588">
        <v>2</v>
      </c>
      <c r="F1588" s="6">
        <v>110</v>
      </c>
      <c r="G1588" s="7">
        <v>0</v>
      </c>
      <c r="H1588" s="6">
        <v>220</v>
      </c>
      <c r="I1588">
        <v>0</v>
      </c>
      <c r="J1588" s="6">
        <v>0</v>
      </c>
      <c r="K1588">
        <v>2</v>
      </c>
      <c r="L1588" s="6">
        <v>220</v>
      </c>
      <c r="M1588" s="6">
        <v>170.21</v>
      </c>
      <c r="N1588" s="6">
        <v>49.79</v>
      </c>
      <c r="O1588" s="6">
        <v>12.63</v>
      </c>
      <c r="P1588" s="6">
        <v>37.159999999999997</v>
      </c>
      <c r="Q1588" t="s">
        <v>75</v>
      </c>
      <c r="R1588" t="s">
        <v>60</v>
      </c>
      <c r="S1588" t="s">
        <v>76</v>
      </c>
    </row>
    <row r="1589" spans="1:19" x14ac:dyDescent="0.35">
      <c r="A1589" t="s">
        <v>1718</v>
      </c>
      <c r="B1589" s="5">
        <v>45897</v>
      </c>
      <c r="C1589" t="s">
        <v>107</v>
      </c>
      <c r="D1589" t="s">
        <v>74</v>
      </c>
      <c r="E1589">
        <v>3</v>
      </c>
      <c r="F1589" s="6">
        <v>125</v>
      </c>
      <c r="G1589" s="7">
        <v>0</v>
      </c>
      <c r="H1589" s="6">
        <v>375</v>
      </c>
      <c r="I1589">
        <v>0</v>
      </c>
      <c r="J1589" s="6">
        <v>0</v>
      </c>
      <c r="K1589">
        <v>3</v>
      </c>
      <c r="L1589" s="6">
        <v>375</v>
      </c>
      <c r="M1589" s="6">
        <v>307.86</v>
      </c>
      <c r="N1589" s="6">
        <v>67.14</v>
      </c>
      <c r="O1589" s="6">
        <v>23.92</v>
      </c>
      <c r="P1589" s="6">
        <v>43.22</v>
      </c>
      <c r="Q1589" t="s">
        <v>75</v>
      </c>
      <c r="R1589" t="s">
        <v>66</v>
      </c>
      <c r="S1589" t="s">
        <v>76</v>
      </c>
    </row>
    <row r="1590" spans="1:19" x14ac:dyDescent="0.35">
      <c r="A1590" t="s">
        <v>1719</v>
      </c>
      <c r="B1590" s="5">
        <v>45681</v>
      </c>
      <c r="C1590" t="s">
        <v>95</v>
      </c>
      <c r="D1590" t="s">
        <v>64</v>
      </c>
      <c r="E1590">
        <v>4</v>
      </c>
      <c r="F1590" s="6">
        <v>52</v>
      </c>
      <c r="G1590" s="7">
        <v>0</v>
      </c>
      <c r="H1590" s="6">
        <v>208</v>
      </c>
      <c r="I1590">
        <v>0</v>
      </c>
      <c r="J1590" s="6">
        <v>0</v>
      </c>
      <c r="K1590">
        <v>4</v>
      </c>
      <c r="L1590" s="6">
        <v>208</v>
      </c>
      <c r="M1590" s="6">
        <v>140.01</v>
      </c>
      <c r="N1590" s="6">
        <v>67.989999999999995</v>
      </c>
      <c r="O1590" s="6">
        <v>14.03</v>
      </c>
      <c r="P1590" s="6">
        <v>53.96</v>
      </c>
      <c r="Q1590" t="s">
        <v>59</v>
      </c>
      <c r="R1590" t="s">
        <v>60</v>
      </c>
      <c r="S1590" t="s">
        <v>61</v>
      </c>
    </row>
    <row r="1591" spans="1:19" x14ac:dyDescent="0.35">
      <c r="A1591" t="s">
        <v>1720</v>
      </c>
      <c r="B1591" s="5">
        <v>45854</v>
      </c>
      <c r="C1591" t="s">
        <v>280</v>
      </c>
      <c r="D1591" t="s">
        <v>64</v>
      </c>
      <c r="E1591">
        <v>8</v>
      </c>
      <c r="F1591" s="6">
        <v>310</v>
      </c>
      <c r="G1591" s="7">
        <v>10</v>
      </c>
      <c r="H1591" s="6">
        <v>2232</v>
      </c>
      <c r="I1591">
        <v>0</v>
      </c>
      <c r="J1591" s="6">
        <v>0</v>
      </c>
      <c r="K1591">
        <v>8</v>
      </c>
      <c r="L1591" s="6">
        <v>2232</v>
      </c>
      <c r="M1591" s="6">
        <v>1689.25</v>
      </c>
      <c r="N1591" s="6">
        <v>542.75</v>
      </c>
      <c r="O1591" s="6">
        <v>281.39</v>
      </c>
      <c r="P1591" s="6">
        <v>261.36</v>
      </c>
      <c r="Q1591" t="s">
        <v>59</v>
      </c>
      <c r="R1591" t="s">
        <v>60</v>
      </c>
      <c r="S1591" t="s">
        <v>61</v>
      </c>
    </row>
    <row r="1592" spans="1:19" x14ac:dyDescent="0.35">
      <c r="A1592" t="s">
        <v>1721</v>
      </c>
      <c r="B1592" s="5">
        <v>45857</v>
      </c>
      <c r="C1592" t="s">
        <v>56</v>
      </c>
      <c r="D1592" t="s">
        <v>57</v>
      </c>
      <c r="E1592">
        <v>3</v>
      </c>
      <c r="F1592" s="6">
        <v>40</v>
      </c>
      <c r="G1592" s="7">
        <v>0</v>
      </c>
      <c r="H1592" s="6">
        <v>120</v>
      </c>
      <c r="I1592">
        <v>0</v>
      </c>
      <c r="J1592" s="6">
        <v>0</v>
      </c>
      <c r="K1592">
        <v>3</v>
      </c>
      <c r="L1592" s="6">
        <v>120</v>
      </c>
      <c r="M1592" s="6">
        <v>79.77</v>
      </c>
      <c r="N1592" s="6">
        <v>40.229999999999997</v>
      </c>
      <c r="O1592" s="6">
        <v>8.39</v>
      </c>
      <c r="P1592" s="6">
        <v>31.84</v>
      </c>
      <c r="Q1592" t="s">
        <v>65</v>
      </c>
      <c r="R1592" t="s">
        <v>82</v>
      </c>
      <c r="S1592" t="s">
        <v>76</v>
      </c>
    </row>
    <row r="1593" spans="1:19" x14ac:dyDescent="0.35">
      <c r="A1593" t="s">
        <v>1722</v>
      </c>
      <c r="B1593" s="5">
        <v>45982</v>
      </c>
      <c r="C1593" t="s">
        <v>109</v>
      </c>
      <c r="D1593" t="s">
        <v>85</v>
      </c>
      <c r="E1593">
        <v>1</v>
      </c>
      <c r="F1593" s="6">
        <v>180</v>
      </c>
      <c r="G1593" s="7">
        <v>0</v>
      </c>
      <c r="H1593" s="6">
        <v>180</v>
      </c>
      <c r="I1593">
        <v>0</v>
      </c>
      <c r="J1593" s="6">
        <v>0</v>
      </c>
      <c r="K1593">
        <v>1</v>
      </c>
      <c r="L1593" s="6">
        <v>180</v>
      </c>
      <c r="M1593" s="6">
        <v>146.66999999999999</v>
      </c>
      <c r="N1593" s="6">
        <v>33.33</v>
      </c>
      <c r="O1593" s="6">
        <v>20.55</v>
      </c>
      <c r="P1593" s="6">
        <v>12.78</v>
      </c>
      <c r="Q1593" t="s">
        <v>75</v>
      </c>
      <c r="R1593" t="s">
        <v>86</v>
      </c>
      <c r="S1593" t="s">
        <v>67</v>
      </c>
    </row>
    <row r="1594" spans="1:19" x14ac:dyDescent="0.35">
      <c r="A1594" t="s">
        <v>1723</v>
      </c>
      <c r="B1594" s="5">
        <v>45822</v>
      </c>
      <c r="C1594" t="s">
        <v>104</v>
      </c>
      <c r="D1594" t="s">
        <v>105</v>
      </c>
      <c r="E1594">
        <v>4</v>
      </c>
      <c r="F1594" s="6">
        <v>65</v>
      </c>
      <c r="G1594" s="7">
        <v>2</v>
      </c>
      <c r="H1594" s="6">
        <v>254.8</v>
      </c>
      <c r="I1594">
        <v>0</v>
      </c>
      <c r="J1594" s="6">
        <v>0</v>
      </c>
      <c r="K1594">
        <v>4</v>
      </c>
      <c r="L1594" s="6">
        <v>254.8</v>
      </c>
      <c r="M1594" s="6">
        <v>189.41</v>
      </c>
      <c r="N1594" s="6">
        <v>65.39</v>
      </c>
      <c r="O1594" s="6">
        <v>27.62</v>
      </c>
      <c r="P1594" s="6">
        <v>37.770000000000003</v>
      </c>
      <c r="Q1594" t="s">
        <v>75</v>
      </c>
      <c r="R1594" t="s">
        <v>66</v>
      </c>
      <c r="S1594" t="s">
        <v>67</v>
      </c>
    </row>
    <row r="1595" spans="1:19" x14ac:dyDescent="0.35">
      <c r="A1595" t="s">
        <v>1724</v>
      </c>
      <c r="B1595" s="5">
        <v>45728</v>
      </c>
      <c r="C1595" t="s">
        <v>104</v>
      </c>
      <c r="D1595" t="s">
        <v>105</v>
      </c>
      <c r="E1595">
        <v>3</v>
      </c>
      <c r="F1595" s="6">
        <v>65</v>
      </c>
      <c r="G1595" s="7">
        <v>2</v>
      </c>
      <c r="H1595" s="6">
        <v>191.1</v>
      </c>
      <c r="I1595">
        <v>0</v>
      </c>
      <c r="J1595" s="6">
        <v>0</v>
      </c>
      <c r="K1595">
        <v>3</v>
      </c>
      <c r="L1595" s="6">
        <v>191.1</v>
      </c>
      <c r="M1595" s="6">
        <v>161.38</v>
      </c>
      <c r="N1595" s="6">
        <v>29.72</v>
      </c>
      <c r="O1595" s="6">
        <v>15.05</v>
      </c>
      <c r="P1595" s="6">
        <v>14.67</v>
      </c>
      <c r="Q1595" t="s">
        <v>75</v>
      </c>
      <c r="R1595" t="s">
        <v>60</v>
      </c>
      <c r="S1595" t="s">
        <v>76</v>
      </c>
    </row>
    <row r="1596" spans="1:19" x14ac:dyDescent="0.35">
      <c r="A1596" t="s">
        <v>1725</v>
      </c>
      <c r="B1596" s="5">
        <v>45870</v>
      </c>
      <c r="C1596" t="s">
        <v>109</v>
      </c>
      <c r="D1596" t="s">
        <v>85</v>
      </c>
      <c r="E1596">
        <v>2</v>
      </c>
      <c r="F1596" s="6">
        <v>180</v>
      </c>
      <c r="G1596" s="7">
        <v>0</v>
      </c>
      <c r="H1596" s="6">
        <v>360</v>
      </c>
      <c r="I1596">
        <v>0</v>
      </c>
      <c r="J1596" s="6">
        <v>0</v>
      </c>
      <c r="K1596">
        <v>2</v>
      </c>
      <c r="L1596" s="6">
        <v>360</v>
      </c>
      <c r="M1596" s="6">
        <v>240.34</v>
      </c>
      <c r="N1596" s="6">
        <v>119.66</v>
      </c>
      <c r="O1596" s="6">
        <v>35.69</v>
      </c>
      <c r="P1596" s="6">
        <v>83.97</v>
      </c>
      <c r="Q1596" t="s">
        <v>65</v>
      </c>
      <c r="R1596" t="s">
        <v>82</v>
      </c>
      <c r="S1596" t="s">
        <v>71</v>
      </c>
    </row>
    <row r="1597" spans="1:19" x14ac:dyDescent="0.35">
      <c r="A1597" t="s">
        <v>1726</v>
      </c>
      <c r="B1597" s="5">
        <v>45927</v>
      </c>
      <c r="C1597" t="s">
        <v>73</v>
      </c>
      <c r="D1597" t="s">
        <v>74</v>
      </c>
      <c r="E1597">
        <v>4</v>
      </c>
      <c r="F1597" s="6">
        <v>280</v>
      </c>
      <c r="G1597" s="7">
        <v>0</v>
      </c>
      <c r="H1597" s="6">
        <v>1120</v>
      </c>
      <c r="I1597">
        <v>0</v>
      </c>
      <c r="J1597" s="6">
        <v>0</v>
      </c>
      <c r="K1597">
        <v>4</v>
      </c>
      <c r="L1597" s="6">
        <v>1120</v>
      </c>
      <c r="M1597" s="6">
        <v>699.32</v>
      </c>
      <c r="N1597" s="6">
        <v>420.68</v>
      </c>
      <c r="O1597" s="6">
        <v>117.94</v>
      </c>
      <c r="P1597" s="6">
        <v>302.74</v>
      </c>
      <c r="Q1597" t="s">
        <v>59</v>
      </c>
      <c r="R1597" t="s">
        <v>60</v>
      </c>
    </row>
    <row r="1598" spans="1:19" x14ac:dyDescent="0.35">
      <c r="A1598" t="s">
        <v>1727</v>
      </c>
      <c r="B1598" s="5">
        <v>45786</v>
      </c>
      <c r="C1598" t="s">
        <v>100</v>
      </c>
      <c r="D1598" t="s">
        <v>64</v>
      </c>
      <c r="E1598">
        <v>2</v>
      </c>
      <c r="F1598" s="6">
        <v>310</v>
      </c>
      <c r="G1598" s="7">
        <v>0</v>
      </c>
      <c r="H1598" s="6">
        <v>620</v>
      </c>
      <c r="I1598">
        <v>0</v>
      </c>
      <c r="J1598" s="6">
        <v>0</v>
      </c>
      <c r="K1598">
        <v>2</v>
      </c>
      <c r="L1598" s="6">
        <v>620</v>
      </c>
      <c r="M1598" s="6">
        <v>502.19</v>
      </c>
      <c r="N1598" s="6">
        <v>117.81</v>
      </c>
      <c r="O1598" s="6">
        <v>51.52</v>
      </c>
      <c r="P1598" s="6">
        <v>66.290000000000006</v>
      </c>
      <c r="Q1598" t="s">
        <v>75</v>
      </c>
      <c r="R1598" t="s">
        <v>199</v>
      </c>
      <c r="S1598" t="s">
        <v>76</v>
      </c>
    </row>
    <row r="1599" spans="1:19" x14ac:dyDescent="0.35">
      <c r="A1599" t="s">
        <v>1728</v>
      </c>
      <c r="B1599" s="5">
        <v>45843</v>
      </c>
      <c r="C1599" t="s">
        <v>56</v>
      </c>
      <c r="D1599" t="s">
        <v>57</v>
      </c>
      <c r="E1599">
        <v>2</v>
      </c>
      <c r="F1599" s="6">
        <v>40</v>
      </c>
      <c r="G1599" s="7">
        <v>0</v>
      </c>
      <c r="H1599" s="6">
        <v>80</v>
      </c>
      <c r="I1599">
        <v>0</v>
      </c>
      <c r="J1599" s="6">
        <v>0</v>
      </c>
      <c r="K1599">
        <v>2</v>
      </c>
      <c r="L1599" s="6">
        <v>80</v>
      </c>
      <c r="M1599" s="6">
        <v>57.87</v>
      </c>
      <c r="N1599" s="6">
        <v>22.13</v>
      </c>
      <c r="O1599" s="6">
        <v>8.76</v>
      </c>
      <c r="P1599" s="6">
        <v>13.37</v>
      </c>
      <c r="Q1599" t="s">
        <v>65</v>
      </c>
      <c r="R1599" t="s">
        <v>82</v>
      </c>
      <c r="S1599" t="s">
        <v>76</v>
      </c>
    </row>
    <row r="1600" spans="1:19" x14ac:dyDescent="0.35">
      <c r="A1600" t="s">
        <v>1729</v>
      </c>
      <c r="B1600" s="5">
        <v>45821</v>
      </c>
      <c r="C1600" t="s">
        <v>109</v>
      </c>
      <c r="D1600" t="s">
        <v>85</v>
      </c>
      <c r="E1600">
        <v>1</v>
      </c>
      <c r="F1600" s="6">
        <v>180</v>
      </c>
      <c r="G1600" s="7">
        <v>0</v>
      </c>
      <c r="H1600" s="6">
        <v>180</v>
      </c>
      <c r="I1600">
        <v>0</v>
      </c>
      <c r="J1600" s="6">
        <v>0</v>
      </c>
      <c r="K1600">
        <v>1</v>
      </c>
      <c r="L1600" s="6">
        <v>180</v>
      </c>
      <c r="M1600" s="6">
        <v>144.02000000000001</v>
      </c>
      <c r="N1600" s="6">
        <v>35.979999999999997</v>
      </c>
      <c r="O1600" s="6">
        <v>10.45</v>
      </c>
      <c r="P1600" s="6">
        <v>25.53</v>
      </c>
      <c r="Q1600" t="s">
        <v>75</v>
      </c>
      <c r="R1600" t="s">
        <v>66</v>
      </c>
      <c r="S1600" t="s">
        <v>67</v>
      </c>
    </row>
    <row r="1601" spans="1:19" x14ac:dyDescent="0.35">
      <c r="A1601" t="s">
        <v>1730</v>
      </c>
      <c r="B1601" s="5">
        <v>45881</v>
      </c>
      <c r="C1601" t="s">
        <v>95</v>
      </c>
      <c r="D1601" t="s">
        <v>64</v>
      </c>
      <c r="E1601">
        <v>1</v>
      </c>
      <c r="F1601" s="6">
        <v>52</v>
      </c>
      <c r="G1601" s="7">
        <v>5</v>
      </c>
      <c r="H1601" s="6">
        <v>49.4</v>
      </c>
      <c r="I1601">
        <v>0</v>
      </c>
      <c r="J1601" s="6">
        <v>0</v>
      </c>
      <c r="K1601">
        <v>1</v>
      </c>
      <c r="L1601" s="6">
        <v>49.4</v>
      </c>
      <c r="M1601" s="6">
        <v>42.03</v>
      </c>
      <c r="N1601" s="6">
        <v>7.37</v>
      </c>
      <c r="O1601" s="6">
        <v>4.5</v>
      </c>
      <c r="P1601" s="6">
        <v>2.87</v>
      </c>
      <c r="Q1601" t="s">
        <v>59</v>
      </c>
      <c r="R1601" t="s">
        <v>147</v>
      </c>
      <c r="S1601" t="s">
        <v>67</v>
      </c>
    </row>
    <row r="1602" spans="1:19" x14ac:dyDescent="0.35">
      <c r="A1602" t="s">
        <v>1731</v>
      </c>
      <c r="B1602" s="5">
        <v>45727</v>
      </c>
      <c r="C1602" t="s">
        <v>121</v>
      </c>
      <c r="D1602" t="s">
        <v>683</v>
      </c>
      <c r="E1602">
        <v>3</v>
      </c>
      <c r="F1602" s="6">
        <v>110</v>
      </c>
      <c r="G1602" s="7">
        <v>10</v>
      </c>
      <c r="H1602" s="6">
        <v>297</v>
      </c>
      <c r="I1602">
        <v>0</v>
      </c>
      <c r="J1602" s="6">
        <v>0</v>
      </c>
      <c r="K1602">
        <v>3</v>
      </c>
      <c r="L1602" s="6">
        <v>297</v>
      </c>
      <c r="M1602" s="6">
        <v>198.09</v>
      </c>
      <c r="N1602" s="6">
        <v>98.91</v>
      </c>
      <c r="O1602" s="6">
        <v>15.41</v>
      </c>
      <c r="P1602" s="6">
        <v>83.5</v>
      </c>
      <c r="Q1602" t="s">
        <v>65</v>
      </c>
      <c r="R1602" t="s">
        <v>60</v>
      </c>
      <c r="S1602" t="s">
        <v>71</v>
      </c>
    </row>
    <row r="1603" spans="1:19" x14ac:dyDescent="0.35">
      <c r="A1603" t="s">
        <v>1732</v>
      </c>
      <c r="B1603" s="5">
        <v>45980</v>
      </c>
      <c r="C1603" t="s">
        <v>69</v>
      </c>
      <c r="D1603" t="s">
        <v>70</v>
      </c>
      <c r="E1603">
        <v>1</v>
      </c>
      <c r="F1603" s="6">
        <v>210</v>
      </c>
      <c r="G1603" s="7">
        <v>0</v>
      </c>
      <c r="H1603" s="6">
        <v>210</v>
      </c>
      <c r="I1603">
        <v>0</v>
      </c>
      <c r="J1603" s="6">
        <v>0</v>
      </c>
      <c r="K1603">
        <v>1</v>
      </c>
      <c r="L1603" s="6">
        <v>210</v>
      </c>
      <c r="M1603" s="6">
        <v>151.24</v>
      </c>
      <c r="N1603" s="6">
        <v>58.76</v>
      </c>
      <c r="O1603" s="6">
        <v>21.53</v>
      </c>
      <c r="P1603" s="6">
        <v>37.229999999999997</v>
      </c>
      <c r="Q1603" t="s">
        <v>81</v>
      </c>
      <c r="R1603" t="s">
        <v>82</v>
      </c>
      <c r="S1603" t="s">
        <v>76</v>
      </c>
    </row>
    <row r="1604" spans="1:19" x14ac:dyDescent="0.35">
      <c r="A1604" t="s">
        <v>1733</v>
      </c>
      <c r="B1604" s="5">
        <v>45836</v>
      </c>
      <c r="C1604" t="s">
        <v>92</v>
      </c>
      <c r="D1604" t="s">
        <v>79</v>
      </c>
      <c r="E1604">
        <v>3</v>
      </c>
      <c r="F1604" s="6">
        <v>85</v>
      </c>
      <c r="G1604" s="7">
        <v>0</v>
      </c>
      <c r="H1604" s="6">
        <v>255</v>
      </c>
      <c r="I1604">
        <v>0</v>
      </c>
      <c r="J1604" s="6">
        <v>0</v>
      </c>
      <c r="K1604">
        <v>3</v>
      </c>
      <c r="L1604" s="6">
        <v>255</v>
      </c>
      <c r="M1604" s="6">
        <v>172.78</v>
      </c>
      <c r="N1604" s="6">
        <v>82.22</v>
      </c>
      <c r="O1604" s="6">
        <v>32.56</v>
      </c>
      <c r="P1604" s="6">
        <v>49.66</v>
      </c>
      <c r="Q1604" t="s">
        <v>65</v>
      </c>
      <c r="R1604" t="s">
        <v>86</v>
      </c>
      <c r="S1604" t="s">
        <v>67</v>
      </c>
    </row>
    <row r="1605" spans="1:19" x14ac:dyDescent="0.35">
      <c r="A1605" t="s">
        <v>1734</v>
      </c>
      <c r="B1605" s="5">
        <v>45664</v>
      </c>
      <c r="C1605" t="s">
        <v>165</v>
      </c>
      <c r="D1605" t="s">
        <v>64</v>
      </c>
      <c r="E1605">
        <v>1</v>
      </c>
      <c r="F1605" s="6">
        <v>420</v>
      </c>
      <c r="G1605" s="7">
        <v>0</v>
      </c>
      <c r="H1605" s="6">
        <v>420</v>
      </c>
      <c r="I1605">
        <v>0</v>
      </c>
      <c r="J1605" s="6">
        <v>0</v>
      </c>
      <c r="K1605">
        <v>1</v>
      </c>
      <c r="L1605" s="6">
        <v>420</v>
      </c>
      <c r="M1605" s="6">
        <v>314.58999999999997</v>
      </c>
      <c r="N1605" s="6">
        <v>105.41</v>
      </c>
      <c r="O1605" s="6">
        <v>47.96</v>
      </c>
      <c r="P1605" s="6">
        <v>57.45</v>
      </c>
      <c r="Q1605" t="s">
        <v>65</v>
      </c>
      <c r="R1605" t="s">
        <v>66</v>
      </c>
      <c r="S1605" t="s">
        <v>76</v>
      </c>
    </row>
    <row r="1606" spans="1:19" x14ac:dyDescent="0.35">
      <c r="A1606" t="s">
        <v>1735</v>
      </c>
      <c r="B1606" s="5">
        <v>45803</v>
      </c>
      <c r="C1606" t="s">
        <v>264</v>
      </c>
      <c r="D1606" t="s">
        <v>85</v>
      </c>
      <c r="E1606">
        <v>2</v>
      </c>
      <c r="F1606" s="6">
        <v>20</v>
      </c>
      <c r="G1606" s="7">
        <v>0</v>
      </c>
      <c r="H1606" s="6">
        <v>40</v>
      </c>
      <c r="I1606">
        <v>0</v>
      </c>
      <c r="J1606" s="6">
        <v>0</v>
      </c>
      <c r="K1606">
        <v>2</v>
      </c>
      <c r="L1606" s="6">
        <v>40</v>
      </c>
      <c r="M1606" s="6">
        <v>32.479999999999997</v>
      </c>
      <c r="N1606" s="6">
        <v>7.52</v>
      </c>
      <c r="O1606" s="6">
        <v>3.5</v>
      </c>
      <c r="P1606" s="6">
        <v>4.0199999999999996</v>
      </c>
      <c r="Q1606" t="s">
        <v>81</v>
      </c>
      <c r="R1606" t="s">
        <v>366</v>
      </c>
      <c r="S1606" t="s">
        <v>61</v>
      </c>
    </row>
    <row r="1607" spans="1:19" x14ac:dyDescent="0.35">
      <c r="A1607" t="s">
        <v>1736</v>
      </c>
      <c r="B1607" s="5">
        <v>45688</v>
      </c>
      <c r="C1607" t="s">
        <v>92</v>
      </c>
      <c r="D1607" t="s">
        <v>79</v>
      </c>
      <c r="E1607">
        <v>1</v>
      </c>
      <c r="F1607" s="6">
        <v>85</v>
      </c>
      <c r="G1607" s="7">
        <v>10</v>
      </c>
      <c r="H1607" s="6">
        <v>76.5</v>
      </c>
      <c r="I1607">
        <v>0</v>
      </c>
      <c r="J1607" s="6">
        <v>0</v>
      </c>
      <c r="K1607">
        <v>1</v>
      </c>
      <c r="L1607" s="6">
        <v>76.5</v>
      </c>
      <c r="M1607" s="6">
        <v>54.77</v>
      </c>
      <c r="N1607" s="6">
        <v>21.73</v>
      </c>
      <c r="O1607" s="6">
        <v>7.08</v>
      </c>
      <c r="P1607" s="6">
        <v>14.65</v>
      </c>
      <c r="Q1607" t="s">
        <v>59</v>
      </c>
      <c r="R1607" t="s">
        <v>60</v>
      </c>
      <c r="S1607" t="s">
        <v>71</v>
      </c>
    </row>
    <row r="1608" spans="1:19" x14ac:dyDescent="0.35">
      <c r="A1608" t="s">
        <v>1737</v>
      </c>
      <c r="B1608" s="5">
        <v>45869</v>
      </c>
      <c r="C1608" t="s">
        <v>97</v>
      </c>
      <c r="D1608" t="s">
        <v>57</v>
      </c>
      <c r="E1608">
        <v>3</v>
      </c>
      <c r="F1608" s="6">
        <v>55</v>
      </c>
      <c r="G1608" s="7">
        <v>0</v>
      </c>
      <c r="H1608" s="6">
        <v>165</v>
      </c>
      <c r="I1608">
        <v>0</v>
      </c>
      <c r="J1608" s="6">
        <v>0</v>
      </c>
      <c r="K1608">
        <v>3</v>
      </c>
      <c r="L1608" s="6">
        <v>165</v>
      </c>
      <c r="M1608" s="6">
        <v>140.53</v>
      </c>
      <c r="N1608" s="6">
        <v>24.47</v>
      </c>
      <c r="O1608" s="6">
        <v>15.56</v>
      </c>
      <c r="P1608" s="6">
        <v>8.91</v>
      </c>
      <c r="Q1608" t="s">
        <v>65</v>
      </c>
      <c r="R1608" t="s">
        <v>66</v>
      </c>
      <c r="S1608" t="s">
        <v>76</v>
      </c>
    </row>
    <row r="1609" spans="1:19" x14ac:dyDescent="0.35">
      <c r="A1609" t="s">
        <v>1738</v>
      </c>
      <c r="B1609" s="5">
        <v>45930</v>
      </c>
      <c r="C1609" t="s">
        <v>100</v>
      </c>
      <c r="D1609" t="s">
        <v>64</v>
      </c>
      <c r="E1609">
        <v>1</v>
      </c>
      <c r="F1609" s="6">
        <v>310</v>
      </c>
      <c r="G1609" s="7">
        <v>5</v>
      </c>
      <c r="H1609" s="6">
        <v>294.5</v>
      </c>
      <c r="I1609">
        <v>0</v>
      </c>
      <c r="J1609" s="6">
        <v>0</v>
      </c>
      <c r="K1609">
        <v>1</v>
      </c>
      <c r="L1609" s="6">
        <v>294.5</v>
      </c>
      <c r="M1609" s="6">
        <v>239.4</v>
      </c>
      <c r="N1609" s="6">
        <v>55.1</v>
      </c>
      <c r="O1609" s="6">
        <v>26.24</v>
      </c>
      <c r="P1609" s="6">
        <v>28.86</v>
      </c>
      <c r="Q1609" t="s">
        <v>81</v>
      </c>
      <c r="R1609" t="s">
        <v>60</v>
      </c>
      <c r="S1609" t="s">
        <v>71</v>
      </c>
    </row>
    <row r="1610" spans="1:19" x14ac:dyDescent="0.35">
      <c r="A1610" t="s">
        <v>1739</v>
      </c>
      <c r="B1610" s="5">
        <v>45968</v>
      </c>
      <c r="C1610" t="s">
        <v>97</v>
      </c>
      <c r="D1610" t="s">
        <v>57</v>
      </c>
      <c r="E1610">
        <v>2</v>
      </c>
      <c r="F1610" s="6">
        <v>55</v>
      </c>
      <c r="G1610" s="7">
        <v>15</v>
      </c>
      <c r="H1610" s="6">
        <v>93.5</v>
      </c>
      <c r="I1610">
        <v>0</v>
      </c>
      <c r="J1610" s="6">
        <v>0</v>
      </c>
      <c r="K1610">
        <v>2</v>
      </c>
      <c r="L1610" s="6">
        <v>93.5</v>
      </c>
      <c r="M1610" s="6">
        <v>75.55</v>
      </c>
      <c r="N1610" s="6">
        <v>17.95</v>
      </c>
      <c r="O1610" s="6">
        <v>8.5500000000000007</v>
      </c>
      <c r="P1610" s="6">
        <v>9.4</v>
      </c>
      <c r="Q1610" t="s">
        <v>65</v>
      </c>
      <c r="R1610" t="s">
        <v>82</v>
      </c>
      <c r="S1610" t="s">
        <v>61</v>
      </c>
    </row>
    <row r="1611" spans="1:19" x14ac:dyDescent="0.35">
      <c r="A1611" t="s">
        <v>1740</v>
      </c>
      <c r="B1611" s="5">
        <v>45672</v>
      </c>
      <c r="C1611" t="s">
        <v>78</v>
      </c>
      <c r="D1611" t="s">
        <v>79</v>
      </c>
      <c r="E1611">
        <v>2</v>
      </c>
      <c r="F1611" s="6">
        <v>120</v>
      </c>
      <c r="G1611" s="7">
        <v>10</v>
      </c>
      <c r="H1611" s="6">
        <v>216</v>
      </c>
      <c r="I1611">
        <v>0</v>
      </c>
      <c r="J1611" s="6">
        <v>0</v>
      </c>
      <c r="K1611">
        <v>2</v>
      </c>
      <c r="L1611" s="6">
        <v>216</v>
      </c>
      <c r="M1611" s="6">
        <v>154.41</v>
      </c>
      <c r="N1611" s="6">
        <v>61.59</v>
      </c>
      <c r="O1611" s="6">
        <v>16.649999999999999</v>
      </c>
      <c r="P1611" s="6">
        <v>44.94</v>
      </c>
      <c r="Q1611" t="s">
        <v>59</v>
      </c>
      <c r="R1611" t="s">
        <v>82</v>
      </c>
      <c r="S1611" t="s">
        <v>76</v>
      </c>
    </row>
    <row r="1612" spans="1:19" x14ac:dyDescent="0.35">
      <c r="A1612" t="s">
        <v>1741</v>
      </c>
      <c r="B1612" s="5">
        <v>45977</v>
      </c>
      <c r="C1612" t="s">
        <v>84</v>
      </c>
      <c r="D1612" t="s">
        <v>85</v>
      </c>
      <c r="E1612">
        <v>5</v>
      </c>
      <c r="F1612" s="6">
        <v>48</v>
      </c>
      <c r="G1612" s="7">
        <v>10</v>
      </c>
      <c r="H1612" s="6">
        <v>216</v>
      </c>
      <c r="I1612">
        <v>0</v>
      </c>
      <c r="J1612" s="6">
        <v>0</v>
      </c>
      <c r="K1612">
        <v>5</v>
      </c>
      <c r="L1612" s="6">
        <v>216</v>
      </c>
      <c r="M1612" s="6">
        <v>164.83</v>
      </c>
      <c r="N1612" s="6">
        <v>51.17</v>
      </c>
      <c r="O1612" s="6">
        <v>24.85</v>
      </c>
      <c r="P1612" s="6">
        <v>26.32</v>
      </c>
      <c r="Q1612" t="s">
        <v>65</v>
      </c>
      <c r="R1612" t="s">
        <v>82</v>
      </c>
      <c r="S1612" t="s">
        <v>61</v>
      </c>
    </row>
    <row r="1613" spans="1:19" x14ac:dyDescent="0.35">
      <c r="A1613" t="s">
        <v>1742</v>
      </c>
      <c r="B1613" s="5">
        <v>45717</v>
      </c>
      <c r="C1613" t="s">
        <v>117</v>
      </c>
      <c r="D1613" t="s">
        <v>74</v>
      </c>
      <c r="E1613">
        <v>8</v>
      </c>
      <c r="F1613" s="6">
        <v>95</v>
      </c>
      <c r="G1613" s="7">
        <v>15</v>
      </c>
      <c r="H1613" s="6">
        <v>646</v>
      </c>
      <c r="I1613">
        <v>0</v>
      </c>
      <c r="J1613" s="6">
        <v>0</v>
      </c>
      <c r="K1613">
        <v>8</v>
      </c>
      <c r="L1613" s="6">
        <v>646</v>
      </c>
      <c r="M1613" s="6">
        <v>418.59</v>
      </c>
      <c r="N1613" s="6">
        <v>227.41</v>
      </c>
      <c r="O1613" s="6">
        <v>58.13</v>
      </c>
      <c r="P1613" s="6">
        <v>169.28</v>
      </c>
      <c r="Q1613" t="s">
        <v>59</v>
      </c>
      <c r="R1613" t="s">
        <v>60</v>
      </c>
      <c r="S1613" t="s">
        <v>76</v>
      </c>
    </row>
    <row r="1614" spans="1:19" x14ac:dyDescent="0.35">
      <c r="A1614" t="s">
        <v>1743</v>
      </c>
      <c r="B1614" s="5">
        <v>45719</v>
      </c>
      <c r="C1614" t="s">
        <v>109</v>
      </c>
      <c r="D1614" t="s">
        <v>85</v>
      </c>
      <c r="E1614">
        <v>8</v>
      </c>
      <c r="F1614" s="6">
        <v>180</v>
      </c>
      <c r="G1614" s="7">
        <v>2</v>
      </c>
      <c r="H1614" s="6">
        <v>1411.2</v>
      </c>
      <c r="I1614">
        <v>0</v>
      </c>
      <c r="J1614" s="6">
        <v>0</v>
      </c>
      <c r="K1614">
        <v>8</v>
      </c>
      <c r="L1614" s="6">
        <v>1411.2</v>
      </c>
      <c r="M1614" s="6">
        <v>1093.5999999999999</v>
      </c>
      <c r="N1614" s="6">
        <v>317.60000000000002</v>
      </c>
      <c r="O1614" s="6">
        <v>174.21</v>
      </c>
      <c r="P1614" s="6">
        <v>143.38999999999999</v>
      </c>
      <c r="Q1614" t="s">
        <v>59</v>
      </c>
      <c r="R1614" t="s">
        <v>86</v>
      </c>
      <c r="S1614" t="s">
        <v>61</v>
      </c>
    </row>
    <row r="1615" spans="1:19" x14ac:dyDescent="0.35">
      <c r="A1615" t="s">
        <v>1744</v>
      </c>
      <c r="B1615" s="5">
        <v>45721</v>
      </c>
      <c r="C1615" t="s">
        <v>121</v>
      </c>
      <c r="D1615" t="s">
        <v>70</v>
      </c>
      <c r="E1615">
        <v>3</v>
      </c>
      <c r="F1615" s="6">
        <v>110</v>
      </c>
      <c r="G1615" s="7">
        <v>0</v>
      </c>
      <c r="H1615" s="6">
        <v>330</v>
      </c>
      <c r="I1615">
        <v>0</v>
      </c>
      <c r="J1615" s="6">
        <v>0</v>
      </c>
      <c r="K1615">
        <v>3</v>
      </c>
      <c r="L1615" s="6">
        <v>330</v>
      </c>
      <c r="M1615" s="6">
        <v>254.65</v>
      </c>
      <c r="N1615" s="6">
        <v>75.349999999999994</v>
      </c>
      <c r="O1615" s="6">
        <v>28.44</v>
      </c>
      <c r="P1615" s="6">
        <v>46.91</v>
      </c>
      <c r="Q1615" t="s">
        <v>59</v>
      </c>
      <c r="R1615" t="s">
        <v>60</v>
      </c>
      <c r="S1615" t="s">
        <v>61</v>
      </c>
    </row>
    <row r="1616" spans="1:19" x14ac:dyDescent="0.35">
      <c r="A1616" t="s">
        <v>1745</v>
      </c>
      <c r="B1616" s="5">
        <v>45877</v>
      </c>
      <c r="C1616" t="s">
        <v>834</v>
      </c>
      <c r="D1616" t="s">
        <v>79</v>
      </c>
      <c r="E1616">
        <v>1</v>
      </c>
      <c r="F1616" s="6">
        <v>120</v>
      </c>
      <c r="G1616" s="7">
        <v>0</v>
      </c>
      <c r="H1616" s="6">
        <v>120</v>
      </c>
      <c r="I1616">
        <v>0</v>
      </c>
      <c r="J1616" s="6">
        <v>0</v>
      </c>
      <c r="K1616">
        <v>1</v>
      </c>
      <c r="L1616" s="6">
        <v>120</v>
      </c>
      <c r="M1616" s="6">
        <v>84.96</v>
      </c>
      <c r="N1616" s="6">
        <v>35.04</v>
      </c>
      <c r="O1616" s="6">
        <v>6.62</v>
      </c>
      <c r="P1616" s="6">
        <v>28.42</v>
      </c>
      <c r="Q1616" t="s">
        <v>75</v>
      </c>
      <c r="R1616" t="s">
        <v>60</v>
      </c>
      <c r="S1616" t="s">
        <v>61</v>
      </c>
    </row>
    <row r="1617" spans="1:19" x14ac:dyDescent="0.35">
      <c r="A1617" t="s">
        <v>1746</v>
      </c>
      <c r="B1617" s="5">
        <v>45780</v>
      </c>
      <c r="C1617" t="s">
        <v>109</v>
      </c>
      <c r="D1617" t="s">
        <v>85</v>
      </c>
      <c r="E1617">
        <v>1</v>
      </c>
      <c r="F1617" s="6">
        <v>180</v>
      </c>
      <c r="G1617" s="7">
        <v>0</v>
      </c>
      <c r="H1617" s="6">
        <v>180</v>
      </c>
      <c r="I1617">
        <v>0</v>
      </c>
      <c r="J1617" s="6">
        <v>0</v>
      </c>
      <c r="K1617">
        <v>1</v>
      </c>
      <c r="L1617" s="6">
        <v>180</v>
      </c>
      <c r="M1617" s="6">
        <v>147.43</v>
      </c>
      <c r="N1617" s="6">
        <v>32.57</v>
      </c>
      <c r="O1617" s="6">
        <v>17.28</v>
      </c>
      <c r="P1617" s="6">
        <v>15.29</v>
      </c>
      <c r="Q1617" t="s">
        <v>75</v>
      </c>
      <c r="R1617" t="s">
        <v>86</v>
      </c>
      <c r="S1617" t="s">
        <v>71</v>
      </c>
    </row>
    <row r="1618" spans="1:19" x14ac:dyDescent="0.35">
      <c r="A1618" t="s">
        <v>1747</v>
      </c>
      <c r="B1618" s="5">
        <v>45834</v>
      </c>
      <c r="C1618" t="s">
        <v>109</v>
      </c>
      <c r="D1618" t="s">
        <v>85</v>
      </c>
      <c r="E1618">
        <v>1</v>
      </c>
      <c r="F1618" s="6">
        <v>180</v>
      </c>
      <c r="G1618" s="7">
        <v>0</v>
      </c>
      <c r="H1618" s="6">
        <v>180</v>
      </c>
      <c r="I1618">
        <v>0</v>
      </c>
      <c r="J1618" s="6">
        <v>0</v>
      </c>
      <c r="K1618">
        <v>1</v>
      </c>
      <c r="L1618" s="6">
        <v>180</v>
      </c>
      <c r="M1618" s="6">
        <v>130.77000000000001</v>
      </c>
      <c r="N1618" s="6">
        <v>49.23</v>
      </c>
      <c r="O1618" s="6">
        <v>10.73</v>
      </c>
      <c r="P1618" s="6">
        <v>38.5</v>
      </c>
      <c r="Q1618" t="s">
        <v>81</v>
      </c>
      <c r="R1618" t="s">
        <v>60</v>
      </c>
      <c r="S1618" t="s">
        <v>61</v>
      </c>
    </row>
    <row r="1619" spans="1:19" x14ac:dyDescent="0.35">
      <c r="A1619" t="s">
        <v>1748</v>
      </c>
      <c r="B1619" s="5">
        <v>45959</v>
      </c>
      <c r="C1619" t="s">
        <v>293</v>
      </c>
      <c r="D1619" t="s">
        <v>85</v>
      </c>
      <c r="E1619">
        <v>10</v>
      </c>
      <c r="F1619" s="6">
        <v>180</v>
      </c>
      <c r="G1619" s="7">
        <v>0</v>
      </c>
      <c r="H1619" s="6">
        <v>1800</v>
      </c>
      <c r="I1619">
        <v>0</v>
      </c>
      <c r="J1619" s="6">
        <v>0</v>
      </c>
      <c r="K1619">
        <v>10</v>
      </c>
      <c r="L1619" s="6">
        <v>1800</v>
      </c>
      <c r="M1619" s="6">
        <v>1127.94</v>
      </c>
      <c r="N1619" s="6">
        <v>672.06</v>
      </c>
      <c r="O1619" s="6">
        <v>118.72</v>
      </c>
      <c r="P1619" s="6">
        <v>553.34</v>
      </c>
      <c r="Q1619" t="s">
        <v>81</v>
      </c>
      <c r="R1619" t="s">
        <v>60</v>
      </c>
      <c r="S1619" t="s">
        <v>76</v>
      </c>
    </row>
    <row r="1620" spans="1:19" x14ac:dyDescent="0.35">
      <c r="A1620" t="s">
        <v>1749</v>
      </c>
      <c r="B1620" s="5">
        <v>45877</v>
      </c>
      <c r="C1620" t="s">
        <v>95</v>
      </c>
      <c r="D1620" t="s">
        <v>64</v>
      </c>
      <c r="E1620">
        <v>10</v>
      </c>
      <c r="F1620" s="6">
        <v>52</v>
      </c>
      <c r="G1620" s="7">
        <v>10</v>
      </c>
      <c r="H1620" s="6">
        <v>468</v>
      </c>
      <c r="I1620">
        <v>0</v>
      </c>
      <c r="J1620" s="6">
        <v>0</v>
      </c>
      <c r="K1620">
        <v>10</v>
      </c>
      <c r="L1620" s="6">
        <v>468</v>
      </c>
      <c r="M1620" s="6">
        <v>396.36</v>
      </c>
      <c r="N1620" s="6">
        <v>71.64</v>
      </c>
      <c r="O1620" s="6">
        <v>55.9</v>
      </c>
      <c r="P1620" s="6">
        <v>15.74</v>
      </c>
      <c r="Q1620" t="s">
        <v>75</v>
      </c>
      <c r="R1620" t="s">
        <v>66</v>
      </c>
      <c r="S1620" t="s">
        <v>61</v>
      </c>
    </row>
    <row r="1621" spans="1:19" x14ac:dyDescent="0.35">
      <c r="A1621" t="s">
        <v>1750</v>
      </c>
      <c r="B1621" s="5">
        <v>45868</v>
      </c>
      <c r="C1621" t="s">
        <v>109</v>
      </c>
      <c r="D1621" t="s">
        <v>85</v>
      </c>
      <c r="E1621">
        <v>1</v>
      </c>
      <c r="F1621" s="6">
        <v>180</v>
      </c>
      <c r="G1621" s="7">
        <v>2</v>
      </c>
      <c r="H1621" s="6">
        <v>176.4</v>
      </c>
      <c r="I1621">
        <v>0</v>
      </c>
      <c r="J1621" s="6">
        <v>0</v>
      </c>
      <c r="K1621">
        <v>1</v>
      </c>
      <c r="L1621" s="6">
        <v>176.4</v>
      </c>
      <c r="M1621" s="6">
        <v>111.59</v>
      </c>
      <c r="N1621" s="6">
        <v>64.81</v>
      </c>
      <c r="O1621" s="6">
        <v>21.82</v>
      </c>
      <c r="P1621" s="6">
        <v>42.99</v>
      </c>
      <c r="Q1621" t="s">
        <v>65</v>
      </c>
      <c r="R1621" t="s">
        <v>60</v>
      </c>
      <c r="S1621" t="s">
        <v>71</v>
      </c>
    </row>
    <row r="1622" spans="1:19" x14ac:dyDescent="0.35">
      <c r="A1622" t="s">
        <v>1751</v>
      </c>
      <c r="B1622" s="5">
        <v>45837</v>
      </c>
      <c r="C1622" t="s">
        <v>88</v>
      </c>
      <c r="D1622" t="s">
        <v>57</v>
      </c>
      <c r="E1622">
        <v>6</v>
      </c>
      <c r="F1622" s="6">
        <v>30</v>
      </c>
      <c r="G1622" s="7">
        <v>0</v>
      </c>
      <c r="H1622" s="6">
        <v>180</v>
      </c>
      <c r="I1622">
        <v>0</v>
      </c>
      <c r="J1622" s="6">
        <v>0</v>
      </c>
      <c r="K1622">
        <v>6</v>
      </c>
      <c r="L1622" s="6">
        <v>180</v>
      </c>
      <c r="M1622" s="6">
        <v>126.96</v>
      </c>
      <c r="N1622" s="6">
        <v>53.04</v>
      </c>
      <c r="O1622" s="6">
        <v>10.7</v>
      </c>
      <c r="P1622" s="6">
        <v>42.34</v>
      </c>
      <c r="Q1622" t="s">
        <v>65</v>
      </c>
      <c r="R1622" t="s">
        <v>60</v>
      </c>
      <c r="S1622" t="s">
        <v>71</v>
      </c>
    </row>
    <row r="1623" spans="1:19" x14ac:dyDescent="0.35">
      <c r="A1623" t="s">
        <v>1752</v>
      </c>
      <c r="B1623" s="5">
        <v>45809</v>
      </c>
      <c r="C1623" t="s">
        <v>121</v>
      </c>
      <c r="D1623" t="s">
        <v>70</v>
      </c>
      <c r="E1623">
        <v>3</v>
      </c>
      <c r="F1623" s="6">
        <v>110</v>
      </c>
      <c r="G1623" s="7">
        <v>0</v>
      </c>
      <c r="H1623" s="6">
        <v>330</v>
      </c>
      <c r="I1623">
        <v>0</v>
      </c>
      <c r="J1623" s="6">
        <v>0</v>
      </c>
      <c r="K1623">
        <v>3</v>
      </c>
      <c r="L1623" s="6">
        <v>330</v>
      </c>
      <c r="M1623" s="6">
        <v>213.33</v>
      </c>
      <c r="N1623" s="6">
        <v>116.67</v>
      </c>
      <c r="O1623" s="6">
        <v>41.32</v>
      </c>
      <c r="P1623" s="6">
        <v>75.349999999999994</v>
      </c>
      <c r="Q1623" t="s">
        <v>81</v>
      </c>
      <c r="R1623" t="s">
        <v>86</v>
      </c>
      <c r="S1623" t="s">
        <v>61</v>
      </c>
    </row>
    <row r="1624" spans="1:19" x14ac:dyDescent="0.35">
      <c r="A1624" t="s">
        <v>1753</v>
      </c>
      <c r="B1624" s="5">
        <v>45907</v>
      </c>
      <c r="C1624" t="s">
        <v>90</v>
      </c>
      <c r="D1624" t="s">
        <v>70</v>
      </c>
      <c r="E1624">
        <v>3</v>
      </c>
      <c r="F1624" s="6">
        <v>38</v>
      </c>
      <c r="G1624" s="7">
        <v>2</v>
      </c>
      <c r="H1624" s="6">
        <v>111.72</v>
      </c>
      <c r="I1624">
        <v>0</v>
      </c>
      <c r="J1624" s="6">
        <v>0</v>
      </c>
      <c r="K1624">
        <v>3</v>
      </c>
      <c r="L1624" s="6">
        <v>111.72</v>
      </c>
      <c r="M1624" s="6">
        <v>85.78</v>
      </c>
      <c r="N1624" s="6">
        <v>25.94</v>
      </c>
      <c r="O1624" s="6">
        <v>12.84</v>
      </c>
      <c r="P1624" s="6">
        <v>13.1</v>
      </c>
      <c r="Q1624" t="s">
        <v>81</v>
      </c>
      <c r="R1624" t="s">
        <v>82</v>
      </c>
      <c r="S1624" t="s">
        <v>71</v>
      </c>
    </row>
    <row r="1625" spans="1:19" x14ac:dyDescent="0.35">
      <c r="A1625" t="s">
        <v>1754</v>
      </c>
      <c r="B1625" s="5">
        <v>45724</v>
      </c>
      <c r="C1625" t="s">
        <v>117</v>
      </c>
      <c r="D1625" t="s">
        <v>74</v>
      </c>
      <c r="E1625">
        <v>5</v>
      </c>
      <c r="F1625" s="6">
        <v>95</v>
      </c>
      <c r="G1625" s="7">
        <v>2</v>
      </c>
      <c r="H1625" s="6">
        <v>465.5</v>
      </c>
      <c r="I1625">
        <v>0</v>
      </c>
      <c r="J1625" s="6">
        <v>0</v>
      </c>
      <c r="K1625">
        <v>5</v>
      </c>
      <c r="L1625" s="6">
        <v>465.5</v>
      </c>
      <c r="M1625" s="6">
        <v>399.74</v>
      </c>
      <c r="N1625" s="6">
        <v>65.760000000000005</v>
      </c>
      <c r="O1625" s="6">
        <v>31.31</v>
      </c>
      <c r="P1625" s="6">
        <v>34.450000000000003</v>
      </c>
      <c r="Q1625" t="s">
        <v>65</v>
      </c>
      <c r="R1625" t="s">
        <v>82</v>
      </c>
      <c r="S1625" t="s">
        <v>67</v>
      </c>
    </row>
    <row r="1626" spans="1:19" x14ac:dyDescent="0.35">
      <c r="A1626" t="s">
        <v>1755</v>
      </c>
      <c r="B1626" s="5">
        <v>45849</v>
      </c>
      <c r="C1626" t="s">
        <v>69</v>
      </c>
      <c r="D1626" t="s">
        <v>70</v>
      </c>
      <c r="E1626">
        <v>8</v>
      </c>
      <c r="F1626" s="6">
        <v>210</v>
      </c>
      <c r="G1626" s="7">
        <v>2</v>
      </c>
      <c r="H1626" s="6">
        <v>1646.4</v>
      </c>
      <c r="I1626">
        <v>0</v>
      </c>
      <c r="J1626" s="6">
        <v>0</v>
      </c>
      <c r="K1626">
        <v>8</v>
      </c>
      <c r="L1626" s="6">
        <v>1646.4</v>
      </c>
      <c r="M1626" s="6">
        <v>1355.47</v>
      </c>
      <c r="N1626" s="6">
        <v>290.93</v>
      </c>
      <c r="O1626" s="6">
        <v>136.88999999999999</v>
      </c>
      <c r="P1626" s="6">
        <v>154.04</v>
      </c>
      <c r="Q1626" t="s">
        <v>75</v>
      </c>
      <c r="R1626" t="s">
        <v>82</v>
      </c>
      <c r="S1626" t="s">
        <v>76</v>
      </c>
    </row>
    <row r="1627" spans="1:19" x14ac:dyDescent="0.35">
      <c r="A1627" t="s">
        <v>1756</v>
      </c>
      <c r="B1627" s="5">
        <v>45739</v>
      </c>
      <c r="C1627" t="s">
        <v>84</v>
      </c>
      <c r="D1627" t="s">
        <v>85</v>
      </c>
      <c r="E1627">
        <v>4</v>
      </c>
      <c r="F1627" s="6">
        <v>48</v>
      </c>
      <c r="G1627" s="7">
        <v>2</v>
      </c>
      <c r="H1627" s="6">
        <v>188.16</v>
      </c>
      <c r="I1627">
        <v>0</v>
      </c>
      <c r="J1627" s="6">
        <v>0</v>
      </c>
      <c r="K1627">
        <v>4</v>
      </c>
      <c r="L1627" s="6">
        <v>188.16</v>
      </c>
      <c r="M1627" s="6">
        <v>145.16999999999999</v>
      </c>
      <c r="N1627" s="6">
        <v>42.99</v>
      </c>
      <c r="O1627" s="6">
        <v>15.92</v>
      </c>
      <c r="P1627" s="6">
        <v>27.07</v>
      </c>
      <c r="Q1627" t="s">
        <v>65</v>
      </c>
      <c r="R1627" t="s">
        <v>82</v>
      </c>
      <c r="S1627" t="s">
        <v>71</v>
      </c>
    </row>
    <row r="1628" spans="1:19" x14ac:dyDescent="0.35">
      <c r="A1628" t="s">
        <v>1757</v>
      </c>
      <c r="B1628" s="5">
        <v>46012</v>
      </c>
      <c r="C1628" t="s">
        <v>114</v>
      </c>
      <c r="D1628" t="s">
        <v>64</v>
      </c>
      <c r="E1628">
        <v>4</v>
      </c>
      <c r="F1628" s="6">
        <v>420</v>
      </c>
      <c r="G1628" s="7">
        <v>0</v>
      </c>
      <c r="H1628" s="6">
        <v>1680</v>
      </c>
      <c r="I1628">
        <v>0</v>
      </c>
      <c r="J1628" s="6">
        <v>0</v>
      </c>
      <c r="K1628">
        <v>4</v>
      </c>
      <c r="L1628" s="6">
        <v>1680</v>
      </c>
      <c r="M1628" s="6">
        <v>1233.3499999999999</v>
      </c>
      <c r="N1628" s="6">
        <v>446.65</v>
      </c>
      <c r="O1628" s="6">
        <v>127.44</v>
      </c>
      <c r="P1628" s="6">
        <v>319.20999999999998</v>
      </c>
      <c r="Q1628" t="s">
        <v>65</v>
      </c>
      <c r="R1628" t="s">
        <v>66</v>
      </c>
      <c r="S1628" t="s">
        <v>61</v>
      </c>
    </row>
    <row r="1629" spans="1:19" x14ac:dyDescent="0.35">
      <c r="A1629" t="s">
        <v>1758</v>
      </c>
      <c r="B1629" s="5">
        <v>45889</v>
      </c>
      <c r="C1629" t="s">
        <v>78</v>
      </c>
      <c r="D1629" t="s">
        <v>79</v>
      </c>
      <c r="E1629">
        <v>4</v>
      </c>
      <c r="F1629" s="6">
        <v>120</v>
      </c>
      <c r="G1629" s="7">
        <v>5</v>
      </c>
      <c r="H1629" s="6">
        <v>456</v>
      </c>
      <c r="I1629">
        <v>0</v>
      </c>
      <c r="J1629" s="6">
        <v>0</v>
      </c>
      <c r="K1629">
        <v>4</v>
      </c>
      <c r="L1629" s="6">
        <v>456</v>
      </c>
      <c r="M1629" s="6">
        <v>329.53</v>
      </c>
      <c r="N1629" s="6">
        <v>126.47</v>
      </c>
      <c r="O1629" s="6">
        <v>57.59</v>
      </c>
      <c r="P1629" s="6">
        <v>68.88</v>
      </c>
      <c r="Q1629" t="s">
        <v>75</v>
      </c>
      <c r="R1629" t="s">
        <v>86</v>
      </c>
      <c r="S1629" t="s">
        <v>76</v>
      </c>
    </row>
    <row r="1630" spans="1:19" x14ac:dyDescent="0.35">
      <c r="A1630" t="s">
        <v>1759</v>
      </c>
      <c r="B1630" s="5">
        <v>45724</v>
      </c>
      <c r="C1630" t="s">
        <v>114</v>
      </c>
      <c r="D1630" t="s">
        <v>64</v>
      </c>
      <c r="E1630">
        <v>1</v>
      </c>
      <c r="F1630" s="6">
        <v>420</v>
      </c>
      <c r="G1630" s="7">
        <v>2</v>
      </c>
      <c r="H1630" s="6">
        <v>411.6</v>
      </c>
      <c r="I1630">
        <v>0</v>
      </c>
      <c r="J1630" s="6">
        <v>0</v>
      </c>
      <c r="K1630">
        <v>1</v>
      </c>
      <c r="L1630" s="6">
        <v>411.6</v>
      </c>
      <c r="M1630" s="6">
        <v>352.13</v>
      </c>
      <c r="N1630" s="6">
        <v>59.47</v>
      </c>
      <c r="O1630" s="6">
        <v>51.13</v>
      </c>
      <c r="P1630" s="6">
        <v>8.34</v>
      </c>
      <c r="Q1630" t="s">
        <v>81</v>
      </c>
      <c r="R1630" t="s">
        <v>82</v>
      </c>
      <c r="S1630" t="s">
        <v>71</v>
      </c>
    </row>
    <row r="1631" spans="1:19" x14ac:dyDescent="0.35">
      <c r="A1631" t="s">
        <v>1760</v>
      </c>
      <c r="B1631" s="5">
        <v>45961</v>
      </c>
      <c r="C1631" t="s">
        <v>92</v>
      </c>
      <c r="D1631" t="s">
        <v>79</v>
      </c>
      <c r="E1631">
        <v>3</v>
      </c>
      <c r="F1631" s="6">
        <v>85</v>
      </c>
      <c r="G1631" s="7">
        <v>0</v>
      </c>
      <c r="H1631" s="6">
        <v>255</v>
      </c>
      <c r="I1631">
        <v>0</v>
      </c>
      <c r="J1631" s="6">
        <v>0</v>
      </c>
      <c r="K1631">
        <v>3</v>
      </c>
      <c r="L1631" s="6">
        <v>255</v>
      </c>
      <c r="M1631" s="6">
        <v>160.09</v>
      </c>
      <c r="N1631" s="6">
        <v>94.91</v>
      </c>
      <c r="O1631" s="6">
        <v>18.37</v>
      </c>
      <c r="P1631" s="6">
        <v>76.540000000000006</v>
      </c>
      <c r="Q1631" t="s">
        <v>81</v>
      </c>
      <c r="R1631" t="s">
        <v>60</v>
      </c>
      <c r="S1631" t="s">
        <v>67</v>
      </c>
    </row>
    <row r="1632" spans="1:19" x14ac:dyDescent="0.35">
      <c r="A1632" t="s">
        <v>1761</v>
      </c>
      <c r="B1632" s="5">
        <v>45685</v>
      </c>
      <c r="C1632" t="s">
        <v>63</v>
      </c>
      <c r="D1632" t="s">
        <v>64</v>
      </c>
      <c r="E1632">
        <v>4</v>
      </c>
      <c r="F1632" s="6">
        <v>145</v>
      </c>
      <c r="G1632" s="7">
        <v>15</v>
      </c>
      <c r="H1632" s="6">
        <v>493</v>
      </c>
      <c r="I1632">
        <v>0</v>
      </c>
      <c r="J1632" s="6">
        <v>0</v>
      </c>
      <c r="K1632">
        <v>4</v>
      </c>
      <c r="L1632" s="6">
        <v>493</v>
      </c>
      <c r="M1632" s="6">
        <v>333.24</v>
      </c>
      <c r="N1632" s="6">
        <v>159.76</v>
      </c>
      <c r="O1632" s="6">
        <v>28.11</v>
      </c>
      <c r="P1632" s="6">
        <v>131.65</v>
      </c>
      <c r="Q1632" t="s">
        <v>65</v>
      </c>
      <c r="R1632" t="s">
        <v>66</v>
      </c>
      <c r="S1632" t="s">
        <v>67</v>
      </c>
    </row>
    <row r="1633" spans="1:19" x14ac:dyDescent="0.35">
      <c r="A1633" t="s">
        <v>1762</v>
      </c>
      <c r="B1633" s="5">
        <v>45960</v>
      </c>
      <c r="C1633" t="s">
        <v>427</v>
      </c>
      <c r="D1633" t="s">
        <v>74</v>
      </c>
      <c r="E1633">
        <v>3</v>
      </c>
      <c r="F1633" s="6">
        <v>125</v>
      </c>
      <c r="G1633" s="7">
        <v>10</v>
      </c>
      <c r="H1633" s="6">
        <v>337.5</v>
      </c>
      <c r="I1633">
        <v>0</v>
      </c>
      <c r="J1633" s="6">
        <v>0</v>
      </c>
      <c r="K1633">
        <v>3</v>
      </c>
      <c r="L1633" s="6">
        <v>337.5</v>
      </c>
      <c r="M1633" s="6">
        <v>285.75</v>
      </c>
      <c r="N1633" s="6">
        <v>51.75</v>
      </c>
      <c r="O1633" s="6">
        <v>24.21</v>
      </c>
      <c r="P1633" s="6">
        <v>27.54</v>
      </c>
      <c r="Q1633" t="s">
        <v>81</v>
      </c>
      <c r="R1633" t="s">
        <v>82</v>
      </c>
      <c r="S1633" t="s">
        <v>71</v>
      </c>
    </row>
    <row r="1634" spans="1:19" x14ac:dyDescent="0.35">
      <c r="A1634" t="s">
        <v>1763</v>
      </c>
      <c r="B1634" s="5">
        <v>45991</v>
      </c>
      <c r="C1634" t="s">
        <v>95</v>
      </c>
      <c r="D1634" t="s">
        <v>128</v>
      </c>
      <c r="E1634">
        <v>5</v>
      </c>
      <c r="F1634" s="6">
        <v>52</v>
      </c>
      <c r="G1634" s="7">
        <v>10</v>
      </c>
      <c r="H1634" s="6">
        <v>234</v>
      </c>
      <c r="I1634">
        <v>0</v>
      </c>
      <c r="J1634" s="6">
        <v>0</v>
      </c>
      <c r="K1634">
        <v>5</v>
      </c>
      <c r="L1634" s="6">
        <v>234</v>
      </c>
      <c r="M1634" s="6">
        <v>160.41</v>
      </c>
      <c r="N1634" s="6">
        <v>73.59</v>
      </c>
      <c r="O1634" s="6">
        <v>20.76</v>
      </c>
      <c r="P1634" s="6">
        <v>52.83</v>
      </c>
      <c r="Q1634" t="s">
        <v>65</v>
      </c>
      <c r="R1634" t="s">
        <v>66</v>
      </c>
      <c r="S1634" t="s">
        <v>76</v>
      </c>
    </row>
    <row r="1635" spans="1:19" x14ac:dyDescent="0.35">
      <c r="A1635" t="s">
        <v>1764</v>
      </c>
      <c r="B1635" s="5">
        <v>45991</v>
      </c>
      <c r="C1635" t="s">
        <v>121</v>
      </c>
      <c r="D1635" t="s">
        <v>70</v>
      </c>
      <c r="E1635">
        <v>2</v>
      </c>
      <c r="F1635" s="6">
        <v>110</v>
      </c>
      <c r="G1635" s="7">
        <v>15</v>
      </c>
      <c r="H1635" s="6">
        <v>187</v>
      </c>
      <c r="I1635">
        <v>0</v>
      </c>
      <c r="J1635" s="6">
        <v>0</v>
      </c>
      <c r="K1635">
        <v>2</v>
      </c>
      <c r="L1635" s="6">
        <v>187</v>
      </c>
      <c r="M1635" s="6">
        <v>147.13</v>
      </c>
      <c r="N1635" s="6">
        <v>39.869999999999997</v>
      </c>
      <c r="O1635" s="6">
        <v>12.23</v>
      </c>
      <c r="P1635" s="6">
        <v>27.64</v>
      </c>
      <c r="Q1635" t="s">
        <v>65</v>
      </c>
      <c r="R1635" t="s">
        <v>66</v>
      </c>
      <c r="S1635" t="s">
        <v>76</v>
      </c>
    </row>
    <row r="1636" spans="1:19" x14ac:dyDescent="0.35">
      <c r="A1636" t="s">
        <v>1765</v>
      </c>
      <c r="B1636" s="5">
        <v>46022</v>
      </c>
      <c r="C1636" t="s">
        <v>95</v>
      </c>
      <c r="D1636" t="s">
        <v>64</v>
      </c>
      <c r="E1636">
        <v>6</v>
      </c>
      <c r="F1636" s="6">
        <v>52</v>
      </c>
      <c r="G1636" s="7">
        <v>15</v>
      </c>
      <c r="H1636" s="6">
        <v>265.2</v>
      </c>
      <c r="I1636">
        <v>0</v>
      </c>
      <c r="J1636" s="6">
        <v>0</v>
      </c>
      <c r="K1636">
        <v>6</v>
      </c>
      <c r="L1636" s="6">
        <v>265.2</v>
      </c>
      <c r="M1636" s="6">
        <v>174.87</v>
      </c>
      <c r="N1636" s="6">
        <v>90.33</v>
      </c>
      <c r="O1636" s="6">
        <v>20.260000000000002</v>
      </c>
      <c r="P1636" s="6">
        <v>70.069999999999993</v>
      </c>
      <c r="Q1636" t="s">
        <v>65</v>
      </c>
      <c r="R1636" t="s">
        <v>82</v>
      </c>
      <c r="S1636" t="s">
        <v>71</v>
      </c>
    </row>
    <row r="1637" spans="1:19" x14ac:dyDescent="0.35">
      <c r="A1637" t="s">
        <v>1766</v>
      </c>
      <c r="B1637" s="5">
        <v>45692</v>
      </c>
      <c r="C1637" t="s">
        <v>104</v>
      </c>
      <c r="D1637" t="s">
        <v>105</v>
      </c>
      <c r="E1637">
        <v>1</v>
      </c>
      <c r="F1637" s="6">
        <v>65</v>
      </c>
      <c r="G1637" s="7">
        <v>5</v>
      </c>
      <c r="H1637" s="6">
        <v>61.75</v>
      </c>
      <c r="I1637">
        <v>0</v>
      </c>
      <c r="J1637" s="6">
        <v>0</v>
      </c>
      <c r="K1637">
        <v>1</v>
      </c>
      <c r="L1637" s="6">
        <v>61.75</v>
      </c>
      <c r="M1637" s="6">
        <v>48.85</v>
      </c>
      <c r="N1637" s="6">
        <v>12.9</v>
      </c>
      <c r="O1637" s="6">
        <v>5</v>
      </c>
      <c r="P1637" s="6">
        <v>7.9</v>
      </c>
      <c r="Q1637" t="s">
        <v>59</v>
      </c>
      <c r="R1637" t="s">
        <v>60</v>
      </c>
      <c r="S1637" t="s">
        <v>67</v>
      </c>
    </row>
    <row r="1638" spans="1:19" x14ac:dyDescent="0.35">
      <c r="A1638" t="s">
        <v>1767</v>
      </c>
      <c r="B1638" s="5">
        <v>45795</v>
      </c>
      <c r="C1638" t="s">
        <v>90</v>
      </c>
      <c r="D1638" t="s">
        <v>70</v>
      </c>
      <c r="E1638">
        <v>1</v>
      </c>
      <c r="F1638" s="6">
        <v>38</v>
      </c>
      <c r="G1638" s="7">
        <v>0</v>
      </c>
      <c r="H1638" s="6">
        <v>38</v>
      </c>
      <c r="I1638">
        <v>0</v>
      </c>
      <c r="J1638" s="6">
        <v>0</v>
      </c>
      <c r="K1638">
        <v>1</v>
      </c>
      <c r="L1638" s="6">
        <v>38</v>
      </c>
      <c r="M1638" s="6">
        <v>26.7</v>
      </c>
      <c r="N1638" s="6">
        <v>11.3</v>
      </c>
      <c r="O1638" s="6">
        <v>3.36</v>
      </c>
      <c r="P1638" s="6">
        <v>7.94</v>
      </c>
      <c r="Q1638" t="s">
        <v>75</v>
      </c>
      <c r="R1638" t="s">
        <v>86</v>
      </c>
      <c r="S1638" t="s">
        <v>67</v>
      </c>
    </row>
    <row r="1639" spans="1:19" x14ac:dyDescent="0.35">
      <c r="A1639" t="s">
        <v>1768</v>
      </c>
      <c r="B1639" s="5">
        <v>45723</v>
      </c>
      <c r="C1639" t="s">
        <v>121</v>
      </c>
      <c r="D1639" t="s">
        <v>70</v>
      </c>
      <c r="E1639">
        <v>3</v>
      </c>
      <c r="F1639" s="6">
        <v>110</v>
      </c>
      <c r="G1639" s="7">
        <v>15</v>
      </c>
      <c r="H1639" s="6">
        <v>280.5</v>
      </c>
      <c r="I1639">
        <v>0</v>
      </c>
      <c r="J1639" s="6">
        <v>0</v>
      </c>
      <c r="K1639">
        <v>3</v>
      </c>
      <c r="L1639" s="6">
        <v>280.5</v>
      </c>
      <c r="M1639" s="6">
        <v>187.78</v>
      </c>
      <c r="N1639" s="6">
        <v>92.72</v>
      </c>
      <c r="O1639" s="6">
        <v>15</v>
      </c>
      <c r="P1639" s="6">
        <v>77.72</v>
      </c>
      <c r="Q1639" t="s">
        <v>59</v>
      </c>
      <c r="R1639" t="s">
        <v>66</v>
      </c>
      <c r="S1639" t="s">
        <v>76</v>
      </c>
    </row>
    <row r="1640" spans="1:19" x14ac:dyDescent="0.35">
      <c r="A1640" t="s">
        <v>1769</v>
      </c>
      <c r="B1640" s="5">
        <v>45678</v>
      </c>
      <c r="C1640" t="s">
        <v>427</v>
      </c>
      <c r="D1640" t="s">
        <v>74</v>
      </c>
      <c r="E1640">
        <v>2</v>
      </c>
      <c r="F1640" s="6">
        <v>125</v>
      </c>
      <c r="G1640" s="7">
        <v>0</v>
      </c>
      <c r="H1640" s="6">
        <v>250</v>
      </c>
      <c r="I1640">
        <v>0</v>
      </c>
      <c r="J1640" s="6">
        <v>0</v>
      </c>
      <c r="K1640">
        <v>2</v>
      </c>
      <c r="L1640" s="6">
        <v>250</v>
      </c>
      <c r="M1640" s="6">
        <v>207.01</v>
      </c>
      <c r="N1640" s="6">
        <v>42.99</v>
      </c>
      <c r="O1640" s="6">
        <v>31</v>
      </c>
      <c r="P1640" s="6">
        <v>11.99</v>
      </c>
      <c r="Q1640" t="s">
        <v>81</v>
      </c>
      <c r="R1640" t="s">
        <v>86</v>
      </c>
      <c r="S1640" t="s">
        <v>71</v>
      </c>
    </row>
    <row r="1641" spans="1:19" x14ac:dyDescent="0.35">
      <c r="A1641" t="s">
        <v>1770</v>
      </c>
      <c r="B1641" s="5">
        <v>45764</v>
      </c>
      <c r="C1641" t="s">
        <v>88</v>
      </c>
      <c r="D1641" t="s">
        <v>57</v>
      </c>
      <c r="E1641">
        <v>3</v>
      </c>
      <c r="F1641" s="6">
        <v>30</v>
      </c>
      <c r="G1641" s="7">
        <v>0</v>
      </c>
      <c r="H1641" s="6">
        <v>90</v>
      </c>
      <c r="I1641">
        <v>0</v>
      </c>
      <c r="J1641" s="6">
        <v>0</v>
      </c>
      <c r="K1641">
        <v>3</v>
      </c>
      <c r="L1641" s="6">
        <v>90</v>
      </c>
      <c r="M1641" s="6">
        <v>69.92</v>
      </c>
      <c r="N1641" s="6">
        <v>20.079999999999998</v>
      </c>
      <c r="O1641" s="6">
        <v>11.25</v>
      </c>
      <c r="P1641" s="6">
        <v>8.83</v>
      </c>
      <c r="Q1641" t="s">
        <v>75</v>
      </c>
      <c r="R1641" t="s">
        <v>86</v>
      </c>
      <c r="S1641" t="s">
        <v>76</v>
      </c>
    </row>
    <row r="1642" spans="1:19" x14ac:dyDescent="0.35">
      <c r="A1642" t="s">
        <v>1771</v>
      </c>
      <c r="B1642" s="5">
        <v>45907</v>
      </c>
      <c r="C1642" t="s">
        <v>90</v>
      </c>
      <c r="D1642" t="s">
        <v>70</v>
      </c>
      <c r="E1642">
        <v>2</v>
      </c>
      <c r="F1642" s="6">
        <v>38</v>
      </c>
      <c r="G1642" s="7">
        <v>0</v>
      </c>
      <c r="H1642" s="6">
        <v>76</v>
      </c>
      <c r="I1642">
        <v>0</v>
      </c>
      <c r="J1642" s="6">
        <v>0</v>
      </c>
      <c r="K1642">
        <v>2</v>
      </c>
      <c r="L1642" s="6">
        <v>76</v>
      </c>
      <c r="M1642" s="6">
        <v>48.79</v>
      </c>
      <c r="N1642" s="6">
        <v>27.21</v>
      </c>
      <c r="O1642" s="6">
        <v>8.2200000000000006</v>
      </c>
      <c r="P1642" s="6">
        <v>18.989999999999998</v>
      </c>
      <c r="Q1642" t="s">
        <v>75</v>
      </c>
      <c r="R1642" t="s">
        <v>86</v>
      </c>
      <c r="S1642" t="s">
        <v>76</v>
      </c>
    </row>
    <row r="1643" spans="1:19" x14ac:dyDescent="0.35">
      <c r="A1643" t="s">
        <v>1772</v>
      </c>
      <c r="B1643" s="5">
        <v>45967</v>
      </c>
      <c r="C1643" t="s">
        <v>117</v>
      </c>
      <c r="D1643" t="s">
        <v>74</v>
      </c>
      <c r="E1643">
        <v>5</v>
      </c>
      <c r="F1643" s="6">
        <v>95</v>
      </c>
      <c r="G1643" s="7">
        <v>0</v>
      </c>
      <c r="H1643" s="6">
        <v>475</v>
      </c>
      <c r="I1643">
        <v>1</v>
      </c>
      <c r="J1643" s="6">
        <v>95</v>
      </c>
      <c r="K1643">
        <v>4</v>
      </c>
      <c r="L1643" s="6">
        <v>380</v>
      </c>
      <c r="M1643" s="6">
        <v>239.73</v>
      </c>
      <c r="N1643" s="6">
        <v>140.27000000000001</v>
      </c>
      <c r="O1643" s="6">
        <v>21.52</v>
      </c>
      <c r="P1643" s="6">
        <v>118.75</v>
      </c>
      <c r="Q1643" t="s">
        <v>81</v>
      </c>
      <c r="R1643" t="s">
        <v>60</v>
      </c>
      <c r="S1643" t="s">
        <v>71</v>
      </c>
    </row>
    <row r="1644" spans="1:19" x14ac:dyDescent="0.35">
      <c r="A1644" t="s">
        <v>1773</v>
      </c>
      <c r="B1644" s="5">
        <v>45664</v>
      </c>
      <c r="C1644" t="s">
        <v>109</v>
      </c>
      <c r="D1644" t="s">
        <v>85</v>
      </c>
      <c r="E1644">
        <v>1</v>
      </c>
      <c r="F1644" s="6">
        <v>180</v>
      </c>
      <c r="G1644" s="7">
        <v>10</v>
      </c>
      <c r="H1644" s="6">
        <v>162</v>
      </c>
      <c r="I1644">
        <v>0</v>
      </c>
      <c r="J1644" s="6">
        <v>0</v>
      </c>
      <c r="K1644">
        <v>1</v>
      </c>
      <c r="L1644" s="6">
        <v>162</v>
      </c>
      <c r="M1644" s="6">
        <v>105.89</v>
      </c>
      <c r="N1644" s="6">
        <v>56.11</v>
      </c>
      <c r="O1644" s="6">
        <v>15.79</v>
      </c>
      <c r="P1644" s="6">
        <v>40.32</v>
      </c>
      <c r="Q1644" t="s">
        <v>59</v>
      </c>
      <c r="R1644" t="s">
        <v>82</v>
      </c>
      <c r="S1644" t="s">
        <v>67</v>
      </c>
    </row>
    <row r="1645" spans="1:19" x14ac:dyDescent="0.35">
      <c r="A1645" t="s">
        <v>1774</v>
      </c>
      <c r="B1645" s="5">
        <v>45776</v>
      </c>
      <c r="C1645" t="s">
        <v>90</v>
      </c>
      <c r="D1645" t="s">
        <v>70</v>
      </c>
      <c r="E1645">
        <v>3</v>
      </c>
      <c r="F1645" s="6">
        <v>38</v>
      </c>
      <c r="G1645" s="7">
        <v>10</v>
      </c>
      <c r="H1645" s="6">
        <v>102.6</v>
      </c>
      <c r="I1645">
        <v>0</v>
      </c>
      <c r="J1645" s="6">
        <v>0</v>
      </c>
      <c r="K1645">
        <v>3</v>
      </c>
      <c r="L1645" s="6">
        <v>102.6</v>
      </c>
      <c r="M1645" s="6">
        <v>65.05</v>
      </c>
      <c r="N1645" s="6">
        <v>37.549999999999997</v>
      </c>
      <c r="O1645" s="6">
        <v>9.74</v>
      </c>
      <c r="P1645" s="6">
        <v>27.81</v>
      </c>
      <c r="Q1645" t="s">
        <v>59</v>
      </c>
      <c r="R1645" t="s">
        <v>66</v>
      </c>
      <c r="S1645" t="s">
        <v>76</v>
      </c>
    </row>
    <row r="1646" spans="1:19" x14ac:dyDescent="0.35">
      <c r="A1646" t="s">
        <v>1775</v>
      </c>
      <c r="B1646" s="5">
        <v>45730</v>
      </c>
      <c r="C1646" t="s">
        <v>125</v>
      </c>
      <c r="D1646" t="s">
        <v>110</v>
      </c>
      <c r="E1646">
        <v>4</v>
      </c>
      <c r="F1646" s="6">
        <v>125</v>
      </c>
      <c r="G1646" s="7">
        <v>2</v>
      </c>
      <c r="H1646" s="6">
        <v>490</v>
      </c>
      <c r="I1646">
        <v>0</v>
      </c>
      <c r="J1646" s="6">
        <v>0</v>
      </c>
      <c r="K1646">
        <v>4</v>
      </c>
      <c r="L1646" s="6">
        <v>490</v>
      </c>
      <c r="M1646" s="6">
        <v>416.83</v>
      </c>
      <c r="N1646" s="6">
        <v>73.17</v>
      </c>
      <c r="O1646" s="6">
        <v>38.270000000000003</v>
      </c>
      <c r="P1646" s="6">
        <v>34.9</v>
      </c>
      <c r="Q1646" t="s">
        <v>75</v>
      </c>
      <c r="R1646" t="s">
        <v>86</v>
      </c>
      <c r="S1646" t="s">
        <v>71</v>
      </c>
    </row>
    <row r="1647" spans="1:19" x14ac:dyDescent="0.35">
      <c r="A1647" t="s">
        <v>1776</v>
      </c>
      <c r="B1647" s="5">
        <v>45892</v>
      </c>
      <c r="C1647" t="s">
        <v>90</v>
      </c>
      <c r="D1647" t="s">
        <v>70</v>
      </c>
      <c r="E1647">
        <v>3</v>
      </c>
      <c r="F1647" s="6">
        <v>38</v>
      </c>
      <c r="G1647" s="7">
        <v>5</v>
      </c>
      <c r="H1647" s="6">
        <v>108.3</v>
      </c>
      <c r="I1647">
        <v>0</v>
      </c>
      <c r="J1647" s="6">
        <v>0</v>
      </c>
      <c r="K1647">
        <v>3</v>
      </c>
      <c r="L1647" s="6">
        <v>108.3</v>
      </c>
      <c r="M1647" s="6">
        <v>73.27</v>
      </c>
      <c r="N1647" s="6">
        <v>35.03</v>
      </c>
      <c r="O1647" s="6">
        <v>13.69</v>
      </c>
      <c r="P1647" s="6">
        <v>21.34</v>
      </c>
      <c r="Q1647" t="s">
        <v>59</v>
      </c>
      <c r="R1647" t="s">
        <v>66</v>
      </c>
      <c r="S1647" t="s">
        <v>71</v>
      </c>
    </row>
    <row r="1648" spans="1:19" x14ac:dyDescent="0.35">
      <c r="A1648" t="s">
        <v>1777</v>
      </c>
      <c r="B1648" s="5">
        <v>45788</v>
      </c>
      <c r="C1648" t="s">
        <v>73</v>
      </c>
      <c r="D1648" t="s">
        <v>74</v>
      </c>
      <c r="E1648">
        <v>3</v>
      </c>
      <c r="F1648" s="6">
        <v>280</v>
      </c>
      <c r="G1648" s="7">
        <v>2</v>
      </c>
      <c r="H1648" s="6">
        <v>823.2</v>
      </c>
      <c r="I1648">
        <v>0</v>
      </c>
      <c r="J1648" s="6">
        <v>0</v>
      </c>
      <c r="K1648">
        <v>3</v>
      </c>
      <c r="L1648" s="6">
        <v>823.2</v>
      </c>
      <c r="M1648" s="6">
        <v>678.31</v>
      </c>
      <c r="N1648" s="6">
        <v>144.88999999999999</v>
      </c>
      <c r="O1648" s="6">
        <v>74.63</v>
      </c>
      <c r="P1648" s="6">
        <v>70.260000000000005</v>
      </c>
      <c r="Q1648" t="s">
        <v>59</v>
      </c>
      <c r="R1648" t="s">
        <v>66</v>
      </c>
      <c r="S1648" t="s">
        <v>67</v>
      </c>
    </row>
    <row r="1649" spans="1:19" x14ac:dyDescent="0.35">
      <c r="A1649" t="s">
        <v>1778</v>
      </c>
      <c r="B1649" s="5">
        <v>45815</v>
      </c>
      <c r="C1649" t="s">
        <v>107</v>
      </c>
      <c r="D1649" t="s">
        <v>74</v>
      </c>
      <c r="E1649">
        <v>1</v>
      </c>
      <c r="F1649" s="6">
        <v>125</v>
      </c>
      <c r="G1649" s="7">
        <v>0</v>
      </c>
      <c r="H1649" s="6">
        <v>125</v>
      </c>
      <c r="I1649">
        <v>0</v>
      </c>
      <c r="J1649" s="6">
        <v>0</v>
      </c>
      <c r="K1649">
        <v>1</v>
      </c>
      <c r="L1649" s="6">
        <v>125</v>
      </c>
      <c r="M1649" s="6">
        <v>92.53</v>
      </c>
      <c r="N1649" s="6">
        <v>32.47</v>
      </c>
      <c r="O1649" s="6">
        <v>11.67</v>
      </c>
      <c r="P1649" s="6">
        <v>20.8</v>
      </c>
      <c r="Q1649" t="s">
        <v>59</v>
      </c>
      <c r="R1649" t="s">
        <v>60</v>
      </c>
      <c r="S1649" t="s">
        <v>71</v>
      </c>
    </row>
    <row r="1650" spans="1:19" x14ac:dyDescent="0.35">
      <c r="A1650" t="s">
        <v>1779</v>
      </c>
      <c r="B1650" s="5">
        <v>45899</v>
      </c>
      <c r="C1650" t="s">
        <v>90</v>
      </c>
      <c r="D1650" t="s">
        <v>70</v>
      </c>
      <c r="E1650">
        <v>1</v>
      </c>
      <c r="F1650" s="6">
        <v>38</v>
      </c>
      <c r="G1650" s="7">
        <v>0</v>
      </c>
      <c r="H1650" s="6">
        <v>38</v>
      </c>
      <c r="I1650">
        <v>0</v>
      </c>
      <c r="J1650" s="6">
        <v>0</v>
      </c>
      <c r="K1650">
        <v>1</v>
      </c>
      <c r="L1650" s="6">
        <v>38</v>
      </c>
      <c r="M1650" s="6">
        <v>31.26</v>
      </c>
      <c r="N1650" s="6">
        <v>6.74</v>
      </c>
      <c r="O1650" s="6">
        <v>2.14</v>
      </c>
      <c r="P1650" s="6">
        <v>4.5999999999999996</v>
      </c>
      <c r="Q1650" t="s">
        <v>81</v>
      </c>
      <c r="R1650" t="s">
        <v>60</v>
      </c>
      <c r="S1650" t="s">
        <v>61</v>
      </c>
    </row>
    <row r="1651" spans="1:19" x14ac:dyDescent="0.35">
      <c r="A1651" t="s">
        <v>1780</v>
      </c>
      <c r="B1651" s="5">
        <v>45795</v>
      </c>
      <c r="C1651" t="s">
        <v>97</v>
      </c>
      <c r="D1651" t="s">
        <v>57</v>
      </c>
      <c r="E1651">
        <v>4</v>
      </c>
      <c r="F1651" s="6">
        <v>55</v>
      </c>
      <c r="G1651" s="7">
        <v>5</v>
      </c>
      <c r="H1651" s="6">
        <v>209</v>
      </c>
      <c r="I1651">
        <v>0</v>
      </c>
      <c r="J1651" s="6">
        <v>0</v>
      </c>
      <c r="K1651">
        <v>4</v>
      </c>
      <c r="L1651" s="6">
        <v>209</v>
      </c>
      <c r="M1651" s="6">
        <v>147.66</v>
      </c>
      <c r="N1651" s="6">
        <v>61.34</v>
      </c>
      <c r="O1651" s="6">
        <v>26.87</v>
      </c>
      <c r="P1651" s="6">
        <v>34.47</v>
      </c>
      <c r="Q1651" t="s">
        <v>81</v>
      </c>
      <c r="R1651" t="s">
        <v>82</v>
      </c>
      <c r="S1651" t="s">
        <v>67</v>
      </c>
    </row>
    <row r="1652" spans="1:19" x14ac:dyDescent="0.35">
      <c r="A1652" t="s">
        <v>1781</v>
      </c>
      <c r="B1652" s="5">
        <v>45966</v>
      </c>
      <c r="C1652" t="s">
        <v>92</v>
      </c>
      <c r="D1652" t="s">
        <v>79</v>
      </c>
      <c r="E1652">
        <v>2</v>
      </c>
      <c r="F1652" s="6">
        <v>85</v>
      </c>
      <c r="G1652" s="7">
        <v>2</v>
      </c>
      <c r="H1652" s="6">
        <v>166.6</v>
      </c>
      <c r="I1652">
        <v>0</v>
      </c>
      <c r="J1652" s="6">
        <v>0</v>
      </c>
      <c r="K1652">
        <v>2</v>
      </c>
      <c r="L1652" s="6">
        <v>166.6</v>
      </c>
      <c r="M1652" s="6">
        <v>113.31</v>
      </c>
      <c r="N1652" s="6">
        <v>53.29</v>
      </c>
      <c r="O1652" s="6">
        <v>19.66</v>
      </c>
      <c r="P1652" s="6">
        <v>33.630000000000003</v>
      </c>
      <c r="Q1652" t="s">
        <v>81</v>
      </c>
      <c r="R1652" t="s">
        <v>82</v>
      </c>
      <c r="S1652" t="s">
        <v>71</v>
      </c>
    </row>
    <row r="1653" spans="1:19" x14ac:dyDescent="0.35">
      <c r="A1653" t="s">
        <v>1782</v>
      </c>
      <c r="B1653" s="5">
        <v>45733</v>
      </c>
      <c r="C1653" t="s">
        <v>97</v>
      </c>
      <c r="D1653" t="s">
        <v>57</v>
      </c>
      <c r="E1653">
        <v>1</v>
      </c>
      <c r="F1653" s="6">
        <v>55</v>
      </c>
      <c r="G1653" s="7">
        <v>0</v>
      </c>
      <c r="H1653" s="6">
        <v>55</v>
      </c>
      <c r="I1653">
        <v>0</v>
      </c>
      <c r="J1653" s="6">
        <v>0</v>
      </c>
      <c r="K1653">
        <v>1</v>
      </c>
      <c r="L1653" s="6">
        <v>55</v>
      </c>
      <c r="M1653" s="6">
        <v>42.64</v>
      </c>
      <c r="N1653" s="6">
        <v>12.36</v>
      </c>
      <c r="O1653" s="6">
        <v>4.4400000000000004</v>
      </c>
      <c r="P1653" s="6">
        <v>7.92</v>
      </c>
      <c r="Q1653" t="s">
        <v>59</v>
      </c>
      <c r="R1653" t="s">
        <v>66</v>
      </c>
      <c r="S1653" t="s">
        <v>67</v>
      </c>
    </row>
    <row r="1654" spans="1:19" x14ac:dyDescent="0.35">
      <c r="A1654" t="s">
        <v>1783</v>
      </c>
      <c r="B1654" s="5">
        <v>45782</v>
      </c>
      <c r="C1654" t="s">
        <v>92</v>
      </c>
      <c r="D1654" t="s">
        <v>308</v>
      </c>
      <c r="E1654">
        <v>1</v>
      </c>
      <c r="F1654" s="6">
        <v>85</v>
      </c>
      <c r="G1654" s="7">
        <v>0</v>
      </c>
      <c r="H1654" s="6">
        <v>85</v>
      </c>
      <c r="I1654">
        <v>0</v>
      </c>
      <c r="J1654" s="6">
        <v>0</v>
      </c>
      <c r="K1654">
        <v>1</v>
      </c>
      <c r="L1654" s="6">
        <v>85</v>
      </c>
      <c r="M1654" s="6">
        <v>60.83</v>
      </c>
      <c r="N1654" s="6">
        <v>24.17</v>
      </c>
      <c r="O1654" s="6">
        <v>7.22</v>
      </c>
      <c r="P1654" s="6">
        <v>16.95</v>
      </c>
      <c r="Q1654" t="s">
        <v>65</v>
      </c>
      <c r="R1654" t="s">
        <v>86</v>
      </c>
      <c r="S1654" t="s">
        <v>67</v>
      </c>
    </row>
    <row r="1655" spans="1:19" x14ac:dyDescent="0.35">
      <c r="A1655" t="s">
        <v>1784</v>
      </c>
      <c r="B1655" s="5">
        <v>45733</v>
      </c>
      <c r="C1655" t="s">
        <v>56</v>
      </c>
      <c r="D1655" t="s">
        <v>57</v>
      </c>
      <c r="E1655" t="s">
        <v>115</v>
      </c>
      <c r="F1655" s="6">
        <v>40</v>
      </c>
      <c r="G1655" s="7">
        <v>0</v>
      </c>
      <c r="H1655" s="6">
        <v>160</v>
      </c>
      <c r="I1655">
        <v>0</v>
      </c>
      <c r="J1655" s="6">
        <v>0</v>
      </c>
      <c r="K1655">
        <v>4</v>
      </c>
      <c r="L1655" s="6">
        <v>160</v>
      </c>
      <c r="M1655" s="6">
        <v>112.2</v>
      </c>
      <c r="N1655" s="6">
        <v>47.8</v>
      </c>
      <c r="O1655" s="6">
        <v>10.71</v>
      </c>
      <c r="P1655" s="6">
        <v>37.090000000000003</v>
      </c>
      <c r="Q1655" t="s">
        <v>59</v>
      </c>
      <c r="R1655" t="s">
        <v>86</v>
      </c>
      <c r="S1655" t="s">
        <v>76</v>
      </c>
    </row>
    <row r="1656" spans="1:19" x14ac:dyDescent="0.35">
      <c r="A1656" t="s">
        <v>1785</v>
      </c>
      <c r="B1656" s="5">
        <v>45883</v>
      </c>
      <c r="C1656" t="s">
        <v>109</v>
      </c>
      <c r="D1656" t="s">
        <v>85</v>
      </c>
      <c r="E1656">
        <v>8</v>
      </c>
      <c r="F1656" s="6">
        <v>180</v>
      </c>
      <c r="G1656" s="7">
        <v>0</v>
      </c>
      <c r="H1656" s="6">
        <v>1440</v>
      </c>
      <c r="I1656">
        <v>0</v>
      </c>
      <c r="J1656" s="6">
        <v>0</v>
      </c>
      <c r="K1656">
        <v>8</v>
      </c>
      <c r="L1656" s="6">
        <v>1440</v>
      </c>
      <c r="M1656" s="6">
        <v>904.69</v>
      </c>
      <c r="N1656" s="6">
        <v>535.30999999999995</v>
      </c>
      <c r="O1656" s="6">
        <v>94.42</v>
      </c>
      <c r="P1656" s="6">
        <v>440.89</v>
      </c>
      <c r="Q1656" t="s">
        <v>75</v>
      </c>
      <c r="R1656" t="s">
        <v>86</v>
      </c>
      <c r="S1656" t="s">
        <v>76</v>
      </c>
    </row>
    <row r="1657" spans="1:19" x14ac:dyDescent="0.35">
      <c r="A1657" t="s">
        <v>1786</v>
      </c>
      <c r="B1657" s="5">
        <v>45873</v>
      </c>
      <c r="C1657" t="s">
        <v>109</v>
      </c>
      <c r="D1657" t="s">
        <v>85</v>
      </c>
      <c r="E1657">
        <v>8</v>
      </c>
      <c r="F1657" s="6">
        <v>180</v>
      </c>
      <c r="G1657" s="7">
        <v>0</v>
      </c>
      <c r="H1657" s="6">
        <v>1440</v>
      </c>
      <c r="I1657">
        <v>0</v>
      </c>
      <c r="J1657" s="6">
        <v>0</v>
      </c>
      <c r="K1657">
        <v>8</v>
      </c>
      <c r="L1657" s="6">
        <v>1440</v>
      </c>
      <c r="M1657" s="6">
        <v>1148.08</v>
      </c>
      <c r="N1657" s="6">
        <v>291.92</v>
      </c>
      <c r="O1657" s="6">
        <v>171.33</v>
      </c>
      <c r="P1657" s="6">
        <v>120.59</v>
      </c>
      <c r="Q1657" t="s">
        <v>65</v>
      </c>
      <c r="R1657" t="s">
        <v>66</v>
      </c>
      <c r="S1657" t="s">
        <v>76</v>
      </c>
    </row>
    <row r="1658" spans="1:19" x14ac:dyDescent="0.35">
      <c r="A1658" t="s">
        <v>1787</v>
      </c>
      <c r="B1658" s="5">
        <v>45778</v>
      </c>
      <c r="C1658" t="s">
        <v>362</v>
      </c>
      <c r="D1658" t="s">
        <v>64</v>
      </c>
      <c r="E1658">
        <v>2</v>
      </c>
      <c r="F1658" s="6">
        <v>52</v>
      </c>
      <c r="G1658" s="7">
        <v>0</v>
      </c>
      <c r="H1658" s="6">
        <v>104</v>
      </c>
      <c r="I1658">
        <v>0</v>
      </c>
      <c r="J1658" s="6">
        <v>0</v>
      </c>
      <c r="K1658">
        <v>2</v>
      </c>
      <c r="L1658" s="6">
        <v>104</v>
      </c>
      <c r="M1658" s="6">
        <v>81.73</v>
      </c>
      <c r="N1658" s="6">
        <v>22.27</v>
      </c>
      <c r="O1658" s="6">
        <v>12.31</v>
      </c>
      <c r="P1658" s="6">
        <v>9.9600000000000009</v>
      </c>
      <c r="Q1658" t="s">
        <v>81</v>
      </c>
      <c r="R1658" t="s">
        <v>86</v>
      </c>
      <c r="S1658" t="s">
        <v>67</v>
      </c>
    </row>
    <row r="1659" spans="1:19" x14ac:dyDescent="0.35">
      <c r="A1659" t="s">
        <v>1788</v>
      </c>
      <c r="B1659" s="5">
        <v>45899</v>
      </c>
      <c r="C1659" t="s">
        <v>104</v>
      </c>
      <c r="D1659" t="s">
        <v>105</v>
      </c>
      <c r="E1659">
        <v>3</v>
      </c>
      <c r="F1659" s="6">
        <v>65</v>
      </c>
      <c r="G1659" s="7">
        <v>15</v>
      </c>
      <c r="H1659" s="6">
        <v>165.75</v>
      </c>
      <c r="I1659">
        <v>0</v>
      </c>
      <c r="J1659" s="6">
        <v>0</v>
      </c>
      <c r="K1659">
        <v>3</v>
      </c>
      <c r="L1659" s="6">
        <v>165.75</v>
      </c>
      <c r="M1659" s="6">
        <v>137.72999999999999</v>
      </c>
      <c r="N1659" s="6">
        <v>28.02</v>
      </c>
      <c r="O1659" s="6">
        <v>12.15</v>
      </c>
      <c r="P1659" s="6">
        <v>15.87</v>
      </c>
      <c r="Q1659" t="s">
        <v>59</v>
      </c>
      <c r="R1659" t="s">
        <v>86</v>
      </c>
      <c r="S1659" t="s">
        <v>76</v>
      </c>
    </row>
    <row r="1660" spans="1:19" x14ac:dyDescent="0.35">
      <c r="A1660" t="s">
        <v>1789</v>
      </c>
      <c r="B1660" s="5">
        <v>45678</v>
      </c>
      <c r="C1660" t="s">
        <v>121</v>
      </c>
      <c r="D1660" t="s">
        <v>70</v>
      </c>
      <c r="E1660">
        <v>2</v>
      </c>
      <c r="F1660" s="6">
        <v>110</v>
      </c>
      <c r="G1660" s="7">
        <v>0</v>
      </c>
      <c r="H1660" s="6">
        <v>220</v>
      </c>
      <c r="I1660">
        <v>0</v>
      </c>
      <c r="J1660" s="6">
        <v>0</v>
      </c>
      <c r="K1660">
        <v>2</v>
      </c>
      <c r="L1660" s="6">
        <v>220</v>
      </c>
      <c r="M1660" s="6">
        <v>187.68</v>
      </c>
      <c r="N1660" s="6">
        <v>32.32</v>
      </c>
      <c r="O1660" s="6">
        <v>17.149999999999999</v>
      </c>
      <c r="P1660" s="6">
        <v>15.17</v>
      </c>
      <c r="Q1660" t="s">
        <v>81</v>
      </c>
      <c r="R1660" t="s">
        <v>66</v>
      </c>
      <c r="S1660" t="s">
        <v>67</v>
      </c>
    </row>
    <row r="1661" spans="1:19" x14ac:dyDescent="0.35">
      <c r="A1661" t="s">
        <v>1790</v>
      </c>
      <c r="B1661" s="5">
        <v>45878</v>
      </c>
      <c r="C1661" t="s">
        <v>109</v>
      </c>
      <c r="D1661" t="s">
        <v>85</v>
      </c>
      <c r="E1661">
        <v>3</v>
      </c>
      <c r="F1661" s="6">
        <v>180</v>
      </c>
      <c r="G1661" s="7">
        <v>5</v>
      </c>
      <c r="H1661" s="6">
        <v>513</v>
      </c>
      <c r="I1661">
        <v>0</v>
      </c>
      <c r="J1661" s="6">
        <v>0</v>
      </c>
      <c r="K1661">
        <v>3</v>
      </c>
      <c r="L1661" s="6">
        <v>513</v>
      </c>
      <c r="M1661" s="6">
        <v>393.88</v>
      </c>
      <c r="N1661" s="6">
        <v>119.12</v>
      </c>
      <c r="O1661" s="6">
        <v>47.85</v>
      </c>
      <c r="P1661" s="6">
        <v>71.27</v>
      </c>
      <c r="Q1661" t="s">
        <v>59</v>
      </c>
      <c r="R1661" t="s">
        <v>82</v>
      </c>
      <c r="S1661" t="s">
        <v>61</v>
      </c>
    </row>
    <row r="1662" spans="1:19" x14ac:dyDescent="0.35">
      <c r="A1662" t="s">
        <v>1791</v>
      </c>
      <c r="B1662" s="5">
        <v>45702</v>
      </c>
      <c r="C1662" t="s">
        <v>117</v>
      </c>
      <c r="D1662" t="s">
        <v>74</v>
      </c>
      <c r="E1662">
        <v>1</v>
      </c>
      <c r="F1662" s="6">
        <v>95</v>
      </c>
      <c r="G1662" s="7">
        <v>0</v>
      </c>
      <c r="H1662" s="6">
        <v>95</v>
      </c>
      <c r="I1662">
        <v>0</v>
      </c>
      <c r="J1662" s="6">
        <v>0</v>
      </c>
      <c r="K1662">
        <v>1</v>
      </c>
      <c r="L1662" s="6">
        <v>95</v>
      </c>
      <c r="M1662" s="6">
        <v>61.16</v>
      </c>
      <c r="N1662" s="6">
        <v>33.840000000000003</v>
      </c>
      <c r="O1662" s="6">
        <v>5.71</v>
      </c>
      <c r="P1662" s="6">
        <v>28.13</v>
      </c>
      <c r="Q1662" t="s">
        <v>81</v>
      </c>
      <c r="R1662" t="s">
        <v>86</v>
      </c>
      <c r="S1662" t="s">
        <v>61</v>
      </c>
    </row>
    <row r="1663" spans="1:19" x14ac:dyDescent="0.35">
      <c r="A1663" t="s">
        <v>1792</v>
      </c>
      <c r="B1663" s="5">
        <v>45724</v>
      </c>
      <c r="C1663" t="s">
        <v>84</v>
      </c>
      <c r="D1663" t="s">
        <v>85</v>
      </c>
      <c r="E1663">
        <v>2</v>
      </c>
      <c r="F1663" s="6">
        <v>48</v>
      </c>
      <c r="G1663" s="7">
        <v>2</v>
      </c>
      <c r="H1663" s="6">
        <v>94.08</v>
      </c>
      <c r="I1663">
        <v>0</v>
      </c>
      <c r="J1663" s="6">
        <v>0</v>
      </c>
      <c r="K1663">
        <v>2</v>
      </c>
      <c r="L1663" s="6">
        <v>94.08</v>
      </c>
      <c r="M1663" s="6">
        <v>68.430000000000007</v>
      </c>
      <c r="N1663" s="6">
        <v>25.65</v>
      </c>
      <c r="O1663" s="6">
        <v>5.08</v>
      </c>
      <c r="P1663" s="6">
        <v>20.57</v>
      </c>
      <c r="R1663" t="s">
        <v>66</v>
      </c>
      <c r="S1663" t="s">
        <v>76</v>
      </c>
    </row>
    <row r="1664" spans="1:19" x14ac:dyDescent="0.35">
      <c r="A1664" t="s">
        <v>1793</v>
      </c>
      <c r="B1664" s="5">
        <v>45850</v>
      </c>
      <c r="C1664" t="s">
        <v>78</v>
      </c>
      <c r="D1664" t="s">
        <v>79</v>
      </c>
      <c r="E1664">
        <v>5</v>
      </c>
      <c r="F1664" s="6">
        <v>120</v>
      </c>
      <c r="G1664" s="7">
        <v>0</v>
      </c>
      <c r="H1664" s="6">
        <v>600</v>
      </c>
      <c r="I1664">
        <v>0</v>
      </c>
      <c r="J1664" s="6">
        <v>0</v>
      </c>
      <c r="K1664">
        <v>5</v>
      </c>
      <c r="L1664" s="6">
        <v>600</v>
      </c>
      <c r="M1664" s="6">
        <v>469.85</v>
      </c>
      <c r="N1664" s="6">
        <v>130.15</v>
      </c>
      <c r="O1664" s="6">
        <v>31.86</v>
      </c>
      <c r="P1664" s="6">
        <v>98.29</v>
      </c>
      <c r="Q1664" t="s">
        <v>75</v>
      </c>
      <c r="R1664" t="s">
        <v>66</v>
      </c>
      <c r="S1664" t="s">
        <v>71</v>
      </c>
    </row>
    <row r="1665" spans="1:19" x14ac:dyDescent="0.35">
      <c r="A1665" t="s">
        <v>1794</v>
      </c>
      <c r="B1665" s="5">
        <v>45887</v>
      </c>
      <c r="C1665" t="s">
        <v>90</v>
      </c>
      <c r="D1665" t="s">
        <v>70</v>
      </c>
      <c r="E1665">
        <v>6</v>
      </c>
      <c r="F1665" s="6">
        <v>38</v>
      </c>
      <c r="G1665" s="7">
        <v>0</v>
      </c>
      <c r="H1665" s="6">
        <v>228</v>
      </c>
      <c r="I1665">
        <v>0</v>
      </c>
      <c r="J1665" s="6">
        <v>0</v>
      </c>
      <c r="K1665">
        <v>6</v>
      </c>
      <c r="L1665" s="6">
        <v>228</v>
      </c>
      <c r="M1665" s="6">
        <v>162.85</v>
      </c>
      <c r="N1665" s="6">
        <v>65.150000000000006</v>
      </c>
      <c r="O1665" s="6">
        <v>26.59</v>
      </c>
      <c r="P1665" s="6">
        <v>38.56</v>
      </c>
      <c r="Q1665" t="s">
        <v>65</v>
      </c>
      <c r="R1665" t="s">
        <v>66</v>
      </c>
      <c r="S1665" t="s">
        <v>67</v>
      </c>
    </row>
    <row r="1666" spans="1:19" x14ac:dyDescent="0.35">
      <c r="A1666" t="s">
        <v>1795</v>
      </c>
      <c r="B1666" s="5">
        <v>46013</v>
      </c>
      <c r="C1666" t="s">
        <v>88</v>
      </c>
      <c r="D1666" t="s">
        <v>57</v>
      </c>
      <c r="E1666">
        <v>10</v>
      </c>
      <c r="F1666" s="6">
        <v>30</v>
      </c>
      <c r="G1666" s="7">
        <v>5</v>
      </c>
      <c r="H1666" s="6">
        <v>285</v>
      </c>
      <c r="I1666">
        <v>0</v>
      </c>
      <c r="J1666" s="6">
        <v>0</v>
      </c>
      <c r="K1666">
        <v>10</v>
      </c>
      <c r="L1666" s="6">
        <v>285</v>
      </c>
      <c r="M1666" s="6">
        <v>214.66</v>
      </c>
      <c r="N1666" s="6">
        <v>70.34</v>
      </c>
      <c r="O1666" s="6">
        <v>18.760000000000002</v>
      </c>
      <c r="P1666" s="6">
        <v>51.58</v>
      </c>
      <c r="Q1666" t="s">
        <v>81</v>
      </c>
      <c r="R1666" t="s">
        <v>82</v>
      </c>
      <c r="S1666" t="s">
        <v>71</v>
      </c>
    </row>
    <row r="1667" spans="1:19" x14ac:dyDescent="0.35">
      <c r="A1667" t="s">
        <v>1796</v>
      </c>
      <c r="B1667" s="5">
        <v>45918</v>
      </c>
      <c r="C1667" t="s">
        <v>100</v>
      </c>
      <c r="D1667" t="s">
        <v>64</v>
      </c>
      <c r="E1667">
        <v>2</v>
      </c>
      <c r="F1667" s="6">
        <v>310</v>
      </c>
      <c r="G1667" s="7">
        <v>10</v>
      </c>
      <c r="H1667" s="6">
        <v>558</v>
      </c>
      <c r="I1667">
        <v>1</v>
      </c>
      <c r="J1667" s="6">
        <v>279</v>
      </c>
      <c r="K1667">
        <v>1</v>
      </c>
      <c r="L1667" s="6">
        <v>279</v>
      </c>
      <c r="M1667" s="6">
        <v>216.12</v>
      </c>
      <c r="N1667" s="6">
        <v>62.88</v>
      </c>
      <c r="O1667" s="6">
        <v>29.04</v>
      </c>
      <c r="P1667" s="6">
        <v>33.840000000000003</v>
      </c>
      <c r="Q1667" t="s">
        <v>59</v>
      </c>
      <c r="R1667" t="s">
        <v>82</v>
      </c>
      <c r="S1667" t="s">
        <v>61</v>
      </c>
    </row>
    <row r="1668" spans="1:19" x14ac:dyDescent="0.35">
      <c r="A1668" t="s">
        <v>1797</v>
      </c>
      <c r="B1668" s="5">
        <v>45725</v>
      </c>
      <c r="C1668" t="s">
        <v>264</v>
      </c>
      <c r="D1668" t="s">
        <v>85</v>
      </c>
      <c r="E1668">
        <v>2</v>
      </c>
      <c r="F1668" s="6">
        <v>20</v>
      </c>
      <c r="G1668" s="7">
        <v>0</v>
      </c>
      <c r="H1668" s="6">
        <v>40</v>
      </c>
      <c r="I1668">
        <v>0</v>
      </c>
      <c r="J1668" s="6">
        <v>0</v>
      </c>
      <c r="K1668">
        <v>2</v>
      </c>
      <c r="L1668" s="6">
        <v>40</v>
      </c>
      <c r="M1668" s="6">
        <v>28.46</v>
      </c>
      <c r="N1668" s="6">
        <v>11.54</v>
      </c>
      <c r="O1668" s="6">
        <v>3.19</v>
      </c>
      <c r="P1668" s="6">
        <v>8.35</v>
      </c>
      <c r="Q1668" t="s">
        <v>65</v>
      </c>
      <c r="R1668" t="s">
        <v>66</v>
      </c>
      <c r="S1668" t="s">
        <v>61</v>
      </c>
    </row>
    <row r="1669" spans="1:19" x14ac:dyDescent="0.35">
      <c r="A1669" t="s">
        <v>1798</v>
      </c>
      <c r="B1669" s="5">
        <v>46018</v>
      </c>
      <c r="C1669" t="s">
        <v>117</v>
      </c>
      <c r="D1669" t="s">
        <v>74</v>
      </c>
      <c r="E1669">
        <v>5</v>
      </c>
      <c r="F1669" s="6">
        <v>95</v>
      </c>
      <c r="G1669" s="7">
        <v>5</v>
      </c>
      <c r="H1669" s="6">
        <v>451.25</v>
      </c>
      <c r="I1669">
        <v>0</v>
      </c>
      <c r="J1669" s="6">
        <v>0</v>
      </c>
      <c r="K1669">
        <v>5</v>
      </c>
      <c r="L1669" s="6">
        <v>451.25</v>
      </c>
      <c r="M1669" s="6">
        <v>331.38</v>
      </c>
      <c r="N1669" s="6">
        <v>119.87</v>
      </c>
      <c r="O1669" s="6">
        <v>31.48</v>
      </c>
      <c r="P1669" s="6">
        <v>88.39</v>
      </c>
      <c r="Q1669" t="s">
        <v>81</v>
      </c>
      <c r="R1669" t="s">
        <v>366</v>
      </c>
      <c r="S1669" t="s">
        <v>61</v>
      </c>
    </row>
    <row r="1670" spans="1:19" x14ac:dyDescent="0.35">
      <c r="A1670" t="s">
        <v>1799</v>
      </c>
      <c r="B1670" s="5">
        <v>45947</v>
      </c>
      <c r="C1670" t="s">
        <v>73</v>
      </c>
      <c r="D1670" t="s">
        <v>74</v>
      </c>
      <c r="E1670">
        <v>5</v>
      </c>
      <c r="F1670" s="6">
        <v>280</v>
      </c>
      <c r="G1670" s="7">
        <v>0</v>
      </c>
      <c r="H1670" s="6">
        <v>1400</v>
      </c>
      <c r="I1670">
        <v>0</v>
      </c>
      <c r="J1670" s="6">
        <v>0</v>
      </c>
      <c r="K1670">
        <v>5</v>
      </c>
      <c r="L1670" s="6">
        <v>1400</v>
      </c>
      <c r="M1670" s="6">
        <v>1141.21</v>
      </c>
      <c r="N1670" s="6">
        <v>258.79000000000002</v>
      </c>
      <c r="O1670" s="6">
        <v>107.6</v>
      </c>
      <c r="P1670" s="6">
        <v>151.19</v>
      </c>
      <c r="Q1670" t="s">
        <v>81</v>
      </c>
      <c r="R1670" t="s">
        <v>86</v>
      </c>
      <c r="S1670" t="s">
        <v>71</v>
      </c>
    </row>
    <row r="1671" spans="1:19" x14ac:dyDescent="0.35">
      <c r="A1671" t="s">
        <v>1800</v>
      </c>
      <c r="B1671" s="5">
        <v>45977</v>
      </c>
      <c r="C1671" t="s">
        <v>84</v>
      </c>
      <c r="D1671" t="s">
        <v>85</v>
      </c>
      <c r="E1671">
        <v>2</v>
      </c>
      <c r="F1671" s="6">
        <v>48</v>
      </c>
      <c r="G1671" s="7">
        <v>0</v>
      </c>
      <c r="H1671" s="6">
        <v>96</v>
      </c>
      <c r="I1671">
        <v>0</v>
      </c>
      <c r="J1671" s="6">
        <v>0</v>
      </c>
      <c r="K1671">
        <v>2</v>
      </c>
      <c r="L1671" s="6">
        <v>96</v>
      </c>
      <c r="M1671" s="6">
        <v>66.63</v>
      </c>
      <c r="N1671" s="6">
        <v>29.37</v>
      </c>
      <c r="O1671" s="6">
        <v>6.22</v>
      </c>
      <c r="P1671" s="6">
        <v>23.15</v>
      </c>
      <c r="Q1671" t="s">
        <v>75</v>
      </c>
      <c r="R1671" t="s">
        <v>82</v>
      </c>
      <c r="S1671" t="s">
        <v>71</v>
      </c>
    </row>
    <row r="1672" spans="1:19" x14ac:dyDescent="0.35">
      <c r="A1672" t="s">
        <v>1801</v>
      </c>
      <c r="B1672" s="5">
        <v>45707</v>
      </c>
      <c r="C1672" t="s">
        <v>671</v>
      </c>
      <c r="D1672" t="s">
        <v>57</v>
      </c>
      <c r="E1672">
        <v>2</v>
      </c>
      <c r="F1672" s="6">
        <v>40</v>
      </c>
      <c r="G1672" s="7">
        <v>10</v>
      </c>
      <c r="H1672" s="6">
        <v>72</v>
      </c>
      <c r="I1672">
        <v>0</v>
      </c>
      <c r="J1672" s="6">
        <v>0</v>
      </c>
      <c r="K1672">
        <v>2</v>
      </c>
      <c r="L1672" s="6">
        <v>72</v>
      </c>
      <c r="M1672" s="6">
        <v>45.59</v>
      </c>
      <c r="N1672" s="6">
        <v>26.41</v>
      </c>
      <c r="O1672" s="6">
        <v>6.76</v>
      </c>
      <c r="P1672" s="6">
        <v>19.649999999999999</v>
      </c>
      <c r="Q1672" t="s">
        <v>65</v>
      </c>
      <c r="R1672" t="s">
        <v>60</v>
      </c>
      <c r="S1672" t="s">
        <v>67</v>
      </c>
    </row>
    <row r="1673" spans="1:19" x14ac:dyDescent="0.35">
      <c r="A1673" t="s">
        <v>1802</v>
      </c>
      <c r="B1673" s="5">
        <v>45755</v>
      </c>
      <c r="C1673" t="s">
        <v>84</v>
      </c>
      <c r="D1673" t="s">
        <v>85</v>
      </c>
      <c r="E1673">
        <v>2</v>
      </c>
      <c r="F1673" s="6">
        <v>48</v>
      </c>
      <c r="G1673" s="7">
        <v>0</v>
      </c>
      <c r="H1673" s="6">
        <v>96</v>
      </c>
      <c r="I1673">
        <v>0</v>
      </c>
      <c r="J1673" s="6">
        <v>0</v>
      </c>
      <c r="K1673">
        <v>2</v>
      </c>
      <c r="L1673" s="6">
        <v>96</v>
      </c>
      <c r="M1673" s="6">
        <v>73.569999999999993</v>
      </c>
      <c r="N1673" s="6">
        <v>22.43</v>
      </c>
      <c r="O1673" s="6">
        <v>8.33</v>
      </c>
      <c r="P1673" s="6">
        <v>14.1</v>
      </c>
      <c r="Q1673" t="s">
        <v>59</v>
      </c>
      <c r="R1673" t="s">
        <v>66</v>
      </c>
      <c r="S1673" t="s">
        <v>76</v>
      </c>
    </row>
    <row r="1674" spans="1:19" x14ac:dyDescent="0.35">
      <c r="A1674" t="s">
        <v>1803</v>
      </c>
      <c r="B1674" s="5">
        <v>45914</v>
      </c>
      <c r="C1674" t="s">
        <v>109</v>
      </c>
      <c r="D1674" t="s">
        <v>85</v>
      </c>
      <c r="E1674">
        <v>1</v>
      </c>
      <c r="F1674" s="6">
        <v>180</v>
      </c>
      <c r="G1674" s="7">
        <v>5</v>
      </c>
      <c r="H1674" s="6">
        <v>171</v>
      </c>
      <c r="I1674">
        <v>0</v>
      </c>
      <c r="J1674" s="6">
        <v>0</v>
      </c>
      <c r="K1674">
        <v>1</v>
      </c>
      <c r="L1674" s="6">
        <v>171</v>
      </c>
      <c r="M1674" s="6">
        <v>111.01</v>
      </c>
      <c r="N1674" s="6">
        <v>59.99</v>
      </c>
      <c r="O1674" s="6">
        <v>9.06</v>
      </c>
      <c r="P1674" s="6">
        <v>50.93</v>
      </c>
      <c r="Q1674" t="s">
        <v>75</v>
      </c>
      <c r="R1674" t="s">
        <v>82</v>
      </c>
      <c r="S1674" t="s">
        <v>67</v>
      </c>
    </row>
    <row r="1675" spans="1:19" x14ac:dyDescent="0.35">
      <c r="A1675" t="s">
        <v>1804</v>
      </c>
      <c r="B1675" s="5">
        <v>45926</v>
      </c>
      <c r="C1675" t="s">
        <v>100</v>
      </c>
      <c r="D1675" t="s">
        <v>64</v>
      </c>
      <c r="E1675">
        <v>4</v>
      </c>
      <c r="F1675" s="6">
        <v>310</v>
      </c>
      <c r="G1675" s="7">
        <v>0</v>
      </c>
      <c r="H1675" s="6">
        <v>1240</v>
      </c>
      <c r="I1675">
        <v>0</v>
      </c>
      <c r="J1675" s="6">
        <v>0</v>
      </c>
      <c r="K1675">
        <v>4</v>
      </c>
      <c r="L1675" s="6">
        <v>1240</v>
      </c>
      <c r="M1675" s="6">
        <v>977.78</v>
      </c>
      <c r="N1675" s="6">
        <v>262.22000000000003</v>
      </c>
      <c r="O1675" s="6">
        <v>92.97</v>
      </c>
      <c r="P1675" s="6">
        <v>169.25</v>
      </c>
      <c r="Q1675" t="s">
        <v>65</v>
      </c>
      <c r="R1675" t="s">
        <v>66</v>
      </c>
      <c r="S1675" t="s">
        <v>71</v>
      </c>
    </row>
    <row r="1676" spans="1:19" x14ac:dyDescent="0.35">
      <c r="A1676" t="s">
        <v>1805</v>
      </c>
      <c r="B1676" s="5">
        <v>45959</v>
      </c>
      <c r="C1676" t="s">
        <v>63</v>
      </c>
      <c r="D1676" t="s">
        <v>64</v>
      </c>
      <c r="E1676">
        <v>4</v>
      </c>
      <c r="F1676" s="6">
        <v>145</v>
      </c>
      <c r="G1676" s="7">
        <v>0</v>
      </c>
      <c r="H1676" s="6">
        <v>580</v>
      </c>
      <c r="I1676">
        <v>0</v>
      </c>
      <c r="J1676" s="6">
        <v>0</v>
      </c>
      <c r="K1676">
        <v>4</v>
      </c>
      <c r="L1676" s="6">
        <v>580</v>
      </c>
      <c r="M1676" s="6">
        <v>466.91</v>
      </c>
      <c r="N1676" s="6">
        <v>113.09</v>
      </c>
      <c r="O1676" s="6">
        <v>38.51</v>
      </c>
      <c r="P1676" s="6">
        <v>74.58</v>
      </c>
      <c r="Q1676" t="s">
        <v>75</v>
      </c>
      <c r="R1676" t="s">
        <v>82</v>
      </c>
      <c r="S1676" t="s">
        <v>71</v>
      </c>
    </row>
    <row r="1677" spans="1:19" x14ac:dyDescent="0.35">
      <c r="A1677" t="s">
        <v>1806</v>
      </c>
      <c r="B1677" s="5">
        <v>45748</v>
      </c>
      <c r="C1677" t="s">
        <v>88</v>
      </c>
      <c r="D1677" t="s">
        <v>57</v>
      </c>
      <c r="E1677">
        <v>8</v>
      </c>
      <c r="F1677" s="6">
        <v>30</v>
      </c>
      <c r="G1677" s="7">
        <v>0</v>
      </c>
      <c r="H1677" s="6">
        <v>240</v>
      </c>
      <c r="I1677">
        <v>0</v>
      </c>
      <c r="J1677" s="6">
        <v>0</v>
      </c>
      <c r="K1677">
        <v>8</v>
      </c>
      <c r="L1677" s="6">
        <v>240</v>
      </c>
      <c r="M1677" s="6">
        <v>178.79</v>
      </c>
      <c r="N1677" s="6">
        <v>61.21</v>
      </c>
      <c r="O1677" s="6">
        <v>30.43</v>
      </c>
      <c r="P1677" s="6">
        <v>30.78</v>
      </c>
      <c r="Q1677" t="s">
        <v>65</v>
      </c>
      <c r="R1677" t="s">
        <v>82</v>
      </c>
      <c r="S1677" t="s">
        <v>71</v>
      </c>
    </row>
    <row r="1678" spans="1:19" x14ac:dyDescent="0.35">
      <c r="A1678" t="s">
        <v>1807</v>
      </c>
      <c r="B1678" s="5">
        <v>45793</v>
      </c>
      <c r="C1678" t="s">
        <v>97</v>
      </c>
      <c r="D1678" t="s">
        <v>57</v>
      </c>
      <c r="E1678">
        <v>2</v>
      </c>
      <c r="F1678" s="6">
        <v>55</v>
      </c>
      <c r="G1678" s="7">
        <v>5</v>
      </c>
      <c r="H1678" s="6">
        <v>104.5</v>
      </c>
      <c r="I1678">
        <v>0</v>
      </c>
      <c r="J1678" s="6">
        <v>0</v>
      </c>
      <c r="K1678">
        <v>2</v>
      </c>
      <c r="L1678" s="6">
        <v>104.5</v>
      </c>
      <c r="M1678" s="6">
        <v>69.98</v>
      </c>
      <c r="N1678" s="6">
        <v>34.520000000000003</v>
      </c>
      <c r="O1678" s="6">
        <v>5.29</v>
      </c>
      <c r="P1678" s="6">
        <v>29.23</v>
      </c>
      <c r="Q1678" t="s">
        <v>65</v>
      </c>
      <c r="R1678" t="s">
        <v>60</v>
      </c>
      <c r="S1678" t="s">
        <v>67</v>
      </c>
    </row>
    <row r="1679" spans="1:19" x14ac:dyDescent="0.35">
      <c r="A1679" t="s">
        <v>1808</v>
      </c>
      <c r="B1679" s="5">
        <v>45817</v>
      </c>
      <c r="C1679" t="s">
        <v>78</v>
      </c>
      <c r="D1679" t="s">
        <v>79</v>
      </c>
      <c r="E1679">
        <v>3</v>
      </c>
      <c r="F1679" s="6">
        <v>120</v>
      </c>
      <c r="G1679" s="7">
        <v>5</v>
      </c>
      <c r="H1679" s="6">
        <v>342</v>
      </c>
      <c r="I1679">
        <v>0</v>
      </c>
      <c r="J1679" s="6">
        <v>0</v>
      </c>
      <c r="K1679">
        <v>3</v>
      </c>
      <c r="L1679" s="6">
        <v>342</v>
      </c>
      <c r="M1679" s="6">
        <v>227.5</v>
      </c>
      <c r="N1679" s="6">
        <v>114.5</v>
      </c>
      <c r="O1679" s="6">
        <v>33.409999999999997</v>
      </c>
      <c r="P1679" s="6">
        <v>81.09</v>
      </c>
      <c r="Q1679" t="s">
        <v>75</v>
      </c>
      <c r="R1679" t="s">
        <v>60</v>
      </c>
      <c r="S1679" t="s">
        <v>71</v>
      </c>
    </row>
    <row r="1680" spans="1:19" x14ac:dyDescent="0.35">
      <c r="A1680" t="s">
        <v>1809</v>
      </c>
      <c r="B1680" s="5">
        <v>45692</v>
      </c>
      <c r="C1680" t="s">
        <v>56</v>
      </c>
      <c r="D1680" t="s">
        <v>57</v>
      </c>
      <c r="E1680">
        <v>4</v>
      </c>
      <c r="F1680" s="6">
        <v>40</v>
      </c>
      <c r="G1680" s="7">
        <v>0</v>
      </c>
      <c r="H1680" s="6">
        <v>160</v>
      </c>
      <c r="I1680">
        <v>0</v>
      </c>
      <c r="J1680" s="6">
        <v>0</v>
      </c>
      <c r="K1680">
        <v>4</v>
      </c>
      <c r="L1680" s="6">
        <v>160</v>
      </c>
      <c r="M1680" s="6">
        <v>119.39</v>
      </c>
      <c r="N1680" s="6">
        <v>40.61</v>
      </c>
      <c r="O1680" s="6">
        <v>15.61</v>
      </c>
      <c r="P1680" s="6">
        <v>25</v>
      </c>
      <c r="Q1680" t="s">
        <v>75</v>
      </c>
      <c r="R1680" t="s">
        <v>82</v>
      </c>
      <c r="S1680" t="s">
        <v>76</v>
      </c>
    </row>
    <row r="1681" spans="1:19" x14ac:dyDescent="0.35">
      <c r="A1681" t="s">
        <v>1810</v>
      </c>
      <c r="B1681" s="5">
        <v>45874</v>
      </c>
      <c r="C1681" t="s">
        <v>73</v>
      </c>
      <c r="D1681" t="s">
        <v>74</v>
      </c>
      <c r="E1681">
        <v>5</v>
      </c>
      <c r="F1681" s="6">
        <v>280</v>
      </c>
      <c r="G1681" s="7">
        <v>2</v>
      </c>
      <c r="H1681" s="6">
        <v>1372</v>
      </c>
      <c r="I1681">
        <v>0</v>
      </c>
      <c r="J1681" s="6">
        <v>0</v>
      </c>
      <c r="K1681">
        <v>5</v>
      </c>
      <c r="L1681" s="6">
        <v>1372</v>
      </c>
      <c r="M1681" s="6">
        <v>1041.99</v>
      </c>
      <c r="N1681" s="6">
        <v>330.01</v>
      </c>
      <c r="O1681" s="6">
        <v>161.18</v>
      </c>
      <c r="P1681" s="6">
        <v>168.83</v>
      </c>
      <c r="Q1681" t="s">
        <v>81</v>
      </c>
      <c r="R1681" t="s">
        <v>147</v>
      </c>
      <c r="S1681" t="s">
        <v>61</v>
      </c>
    </row>
    <row r="1682" spans="1:19" x14ac:dyDescent="0.35">
      <c r="A1682" t="s">
        <v>1811</v>
      </c>
      <c r="B1682" s="5">
        <v>45774</v>
      </c>
      <c r="C1682" t="s">
        <v>121</v>
      </c>
      <c r="D1682" t="s">
        <v>683</v>
      </c>
      <c r="E1682">
        <v>3</v>
      </c>
      <c r="F1682" s="6">
        <v>110</v>
      </c>
      <c r="G1682" s="7">
        <v>15</v>
      </c>
      <c r="H1682" s="6">
        <v>280.5</v>
      </c>
      <c r="I1682">
        <v>0</v>
      </c>
      <c r="J1682" s="6">
        <v>0</v>
      </c>
      <c r="K1682">
        <v>3</v>
      </c>
      <c r="L1682" s="6">
        <v>280.5</v>
      </c>
      <c r="M1682" s="6">
        <v>200.08</v>
      </c>
      <c r="N1682" s="6">
        <v>80.42</v>
      </c>
      <c r="O1682" s="6">
        <v>25.33</v>
      </c>
      <c r="P1682" s="6">
        <v>55.09</v>
      </c>
      <c r="Q1682" t="s">
        <v>75</v>
      </c>
      <c r="R1682" t="s">
        <v>86</v>
      </c>
      <c r="S1682" t="s">
        <v>61</v>
      </c>
    </row>
    <row r="1683" spans="1:19" x14ac:dyDescent="0.35">
      <c r="A1683" t="s">
        <v>1812</v>
      </c>
      <c r="B1683" s="5">
        <v>45724</v>
      </c>
      <c r="C1683" t="s">
        <v>78</v>
      </c>
      <c r="D1683" t="s">
        <v>79</v>
      </c>
      <c r="E1683">
        <v>2</v>
      </c>
      <c r="F1683" s="6">
        <v>120</v>
      </c>
      <c r="G1683" s="7">
        <v>10</v>
      </c>
      <c r="H1683" s="6">
        <v>216</v>
      </c>
      <c r="I1683">
        <v>2</v>
      </c>
      <c r="J1683" s="6">
        <v>216</v>
      </c>
      <c r="K1683">
        <v>0</v>
      </c>
      <c r="L1683" s="6">
        <v>0</v>
      </c>
      <c r="M1683" s="6">
        <v>0</v>
      </c>
      <c r="N1683" s="6">
        <v>0</v>
      </c>
      <c r="O1683" s="6">
        <v>0</v>
      </c>
      <c r="P1683" s="6">
        <v>0</v>
      </c>
      <c r="Q1683" t="s">
        <v>65</v>
      </c>
      <c r="R1683" t="s">
        <v>66</v>
      </c>
      <c r="S1683" t="s">
        <v>61</v>
      </c>
    </row>
    <row r="1684" spans="1:19" x14ac:dyDescent="0.35">
      <c r="A1684" t="s">
        <v>1813</v>
      </c>
      <c r="B1684" s="5">
        <v>45954</v>
      </c>
      <c r="C1684" t="s">
        <v>121</v>
      </c>
      <c r="D1684" t="s">
        <v>70</v>
      </c>
      <c r="E1684">
        <v>2</v>
      </c>
      <c r="F1684" s="6">
        <v>110</v>
      </c>
      <c r="G1684" s="7">
        <v>0</v>
      </c>
      <c r="H1684" s="6">
        <v>220</v>
      </c>
      <c r="I1684">
        <v>0</v>
      </c>
      <c r="J1684" s="6">
        <v>0</v>
      </c>
      <c r="K1684">
        <v>2</v>
      </c>
      <c r="L1684" s="6">
        <v>220</v>
      </c>
      <c r="M1684" s="6">
        <v>186.27</v>
      </c>
      <c r="N1684" s="6">
        <v>33.729999999999997</v>
      </c>
      <c r="O1684" s="6">
        <v>22.64</v>
      </c>
      <c r="P1684" s="6">
        <v>11.09</v>
      </c>
      <c r="Q1684" t="s">
        <v>75</v>
      </c>
      <c r="R1684" t="s">
        <v>60</v>
      </c>
      <c r="S1684" t="s">
        <v>67</v>
      </c>
    </row>
    <row r="1685" spans="1:19" x14ac:dyDescent="0.35">
      <c r="A1685" t="s">
        <v>1814</v>
      </c>
      <c r="B1685" s="5">
        <v>45851</v>
      </c>
      <c r="C1685" t="s">
        <v>63</v>
      </c>
      <c r="D1685" t="s">
        <v>64</v>
      </c>
      <c r="E1685">
        <v>2</v>
      </c>
      <c r="F1685" s="6">
        <v>145</v>
      </c>
      <c r="G1685" s="7">
        <v>10</v>
      </c>
      <c r="H1685" s="6">
        <v>261</v>
      </c>
      <c r="I1685">
        <v>0</v>
      </c>
      <c r="J1685" s="6">
        <v>0</v>
      </c>
      <c r="K1685">
        <v>2</v>
      </c>
      <c r="L1685" s="6">
        <v>261</v>
      </c>
      <c r="M1685" s="6">
        <v>167.74</v>
      </c>
      <c r="N1685" s="6">
        <v>93.26</v>
      </c>
      <c r="O1685" s="6">
        <v>27.85</v>
      </c>
      <c r="P1685" s="6">
        <v>65.41</v>
      </c>
      <c r="Q1685" t="s">
        <v>65</v>
      </c>
      <c r="R1685" t="s">
        <v>60</v>
      </c>
      <c r="S1685" t="s">
        <v>67</v>
      </c>
    </row>
    <row r="1686" spans="1:19" x14ac:dyDescent="0.35">
      <c r="A1686" t="s">
        <v>1815</v>
      </c>
      <c r="B1686" s="5">
        <v>45717</v>
      </c>
      <c r="C1686" t="s">
        <v>88</v>
      </c>
      <c r="D1686" t="s">
        <v>57</v>
      </c>
      <c r="E1686">
        <v>1</v>
      </c>
      <c r="F1686" s="6">
        <v>30</v>
      </c>
      <c r="G1686" s="7">
        <v>2</v>
      </c>
      <c r="H1686" s="6">
        <v>29.4</v>
      </c>
      <c r="I1686">
        <v>0</v>
      </c>
      <c r="J1686" s="6">
        <v>0</v>
      </c>
      <c r="K1686">
        <v>1</v>
      </c>
      <c r="L1686" s="6">
        <v>29.4</v>
      </c>
      <c r="M1686" s="6">
        <v>22.14</v>
      </c>
      <c r="N1686" s="6">
        <v>7.26</v>
      </c>
      <c r="O1686" s="6">
        <v>3.66</v>
      </c>
      <c r="P1686" s="6">
        <v>3.6</v>
      </c>
      <c r="Q1686" t="s">
        <v>81</v>
      </c>
      <c r="R1686" t="s">
        <v>60</v>
      </c>
      <c r="S1686" t="s">
        <v>61</v>
      </c>
    </row>
    <row r="1687" spans="1:19" x14ac:dyDescent="0.35">
      <c r="A1687" t="s">
        <v>1816</v>
      </c>
      <c r="B1687" s="5">
        <v>45880</v>
      </c>
      <c r="C1687" t="s">
        <v>109</v>
      </c>
      <c r="D1687" t="s">
        <v>85</v>
      </c>
      <c r="E1687">
        <v>3</v>
      </c>
      <c r="F1687" s="6">
        <v>180</v>
      </c>
      <c r="G1687" s="7">
        <v>10</v>
      </c>
      <c r="H1687" s="6">
        <v>486</v>
      </c>
      <c r="I1687">
        <v>0</v>
      </c>
      <c r="J1687" s="6">
        <v>0</v>
      </c>
      <c r="K1687">
        <v>3</v>
      </c>
      <c r="L1687" s="6">
        <v>486</v>
      </c>
      <c r="M1687" s="6">
        <v>388.52</v>
      </c>
      <c r="N1687" s="6">
        <v>97.48</v>
      </c>
      <c r="O1687" s="6">
        <v>26.1</v>
      </c>
      <c r="P1687" s="6">
        <v>71.38</v>
      </c>
      <c r="Q1687" t="s">
        <v>59</v>
      </c>
      <c r="R1687" t="s">
        <v>82</v>
      </c>
      <c r="S1687" t="s">
        <v>61</v>
      </c>
    </row>
    <row r="1688" spans="1:19" x14ac:dyDescent="0.35">
      <c r="A1688" t="s">
        <v>1817</v>
      </c>
      <c r="B1688" s="5">
        <v>45833</v>
      </c>
      <c r="C1688" t="s">
        <v>92</v>
      </c>
      <c r="D1688" t="s">
        <v>79</v>
      </c>
      <c r="E1688">
        <v>8</v>
      </c>
      <c r="F1688" s="6">
        <v>85</v>
      </c>
      <c r="G1688" s="7">
        <v>15</v>
      </c>
      <c r="H1688" s="6">
        <v>578</v>
      </c>
      <c r="I1688">
        <v>0</v>
      </c>
      <c r="J1688" s="6">
        <v>0</v>
      </c>
      <c r="K1688">
        <v>8</v>
      </c>
      <c r="L1688" s="6">
        <v>578</v>
      </c>
      <c r="M1688" s="6">
        <v>363.79</v>
      </c>
      <c r="N1688" s="6">
        <v>214.21</v>
      </c>
      <c r="O1688" s="6">
        <v>75.02</v>
      </c>
      <c r="P1688" s="6">
        <v>139.19</v>
      </c>
      <c r="Q1688" t="s">
        <v>81</v>
      </c>
      <c r="R1688" t="s">
        <v>66</v>
      </c>
      <c r="S1688" t="s">
        <v>67</v>
      </c>
    </row>
    <row r="1689" spans="1:19" x14ac:dyDescent="0.35">
      <c r="A1689" t="s">
        <v>1818</v>
      </c>
      <c r="B1689" s="5">
        <v>45798</v>
      </c>
      <c r="C1689" t="s">
        <v>56</v>
      </c>
      <c r="D1689" t="s">
        <v>57</v>
      </c>
      <c r="E1689">
        <v>6</v>
      </c>
      <c r="F1689" s="6">
        <v>40</v>
      </c>
      <c r="G1689" s="7">
        <v>5</v>
      </c>
      <c r="H1689" s="6">
        <v>228</v>
      </c>
      <c r="I1689">
        <v>0</v>
      </c>
      <c r="J1689" s="6">
        <v>0</v>
      </c>
      <c r="K1689">
        <v>6</v>
      </c>
      <c r="L1689" s="6">
        <v>228</v>
      </c>
      <c r="M1689" s="6">
        <v>156.79</v>
      </c>
      <c r="N1689" s="6">
        <v>71.209999999999994</v>
      </c>
      <c r="O1689" s="6">
        <v>12.92</v>
      </c>
      <c r="P1689" s="6">
        <v>58.29</v>
      </c>
      <c r="Q1689" t="s">
        <v>75</v>
      </c>
      <c r="R1689" t="s">
        <v>86</v>
      </c>
      <c r="S1689" t="s">
        <v>67</v>
      </c>
    </row>
    <row r="1690" spans="1:19" x14ac:dyDescent="0.35">
      <c r="A1690" t="s">
        <v>1819</v>
      </c>
      <c r="B1690" s="5">
        <v>45888</v>
      </c>
      <c r="C1690" t="s">
        <v>84</v>
      </c>
      <c r="D1690" t="s">
        <v>85</v>
      </c>
      <c r="E1690">
        <v>10</v>
      </c>
      <c r="F1690" s="6">
        <v>48</v>
      </c>
      <c r="G1690" s="7">
        <v>0</v>
      </c>
      <c r="H1690" s="6">
        <v>480</v>
      </c>
      <c r="I1690">
        <v>0</v>
      </c>
      <c r="J1690" s="6">
        <v>0</v>
      </c>
      <c r="K1690">
        <v>10</v>
      </c>
      <c r="L1690" s="6">
        <v>480</v>
      </c>
      <c r="M1690" s="6">
        <v>397.23</v>
      </c>
      <c r="N1690" s="6">
        <v>82.77</v>
      </c>
      <c r="O1690" s="6">
        <v>38.64</v>
      </c>
      <c r="P1690" s="6">
        <v>44.13</v>
      </c>
      <c r="Q1690" t="s">
        <v>81</v>
      </c>
      <c r="R1690" t="s">
        <v>82</v>
      </c>
      <c r="S1690" t="s">
        <v>67</v>
      </c>
    </row>
    <row r="1691" spans="1:19" x14ac:dyDescent="0.35">
      <c r="A1691" t="s">
        <v>1820</v>
      </c>
      <c r="B1691" s="5">
        <v>45705</v>
      </c>
      <c r="C1691" t="s">
        <v>109</v>
      </c>
      <c r="D1691" t="s">
        <v>85</v>
      </c>
      <c r="E1691">
        <v>6</v>
      </c>
      <c r="F1691" s="6">
        <v>180</v>
      </c>
      <c r="G1691" s="7">
        <v>0</v>
      </c>
      <c r="H1691" s="6">
        <v>1080</v>
      </c>
      <c r="I1691">
        <v>0</v>
      </c>
      <c r="J1691" s="6">
        <v>0</v>
      </c>
      <c r="K1691">
        <v>6</v>
      </c>
      <c r="L1691" s="6">
        <v>1080</v>
      </c>
      <c r="M1691" s="6">
        <v>900.07</v>
      </c>
      <c r="N1691" s="6">
        <v>179.93</v>
      </c>
      <c r="O1691" s="6">
        <v>112.63</v>
      </c>
      <c r="P1691" s="6">
        <v>67.3</v>
      </c>
      <c r="Q1691" t="s">
        <v>59</v>
      </c>
      <c r="R1691" t="s">
        <v>66</v>
      </c>
      <c r="S1691" t="s">
        <v>76</v>
      </c>
    </row>
    <row r="1692" spans="1:19" x14ac:dyDescent="0.35">
      <c r="A1692" t="s">
        <v>1821</v>
      </c>
      <c r="B1692" s="5">
        <v>46018</v>
      </c>
      <c r="C1692" t="s">
        <v>121</v>
      </c>
      <c r="D1692" t="s">
        <v>70</v>
      </c>
      <c r="E1692">
        <v>1</v>
      </c>
      <c r="F1692" s="6">
        <v>110</v>
      </c>
      <c r="G1692" s="7">
        <v>0</v>
      </c>
      <c r="H1692" s="6">
        <v>110</v>
      </c>
      <c r="I1692">
        <v>0</v>
      </c>
      <c r="J1692" s="6">
        <v>0</v>
      </c>
      <c r="K1692">
        <v>1</v>
      </c>
      <c r="L1692" s="6">
        <v>110</v>
      </c>
      <c r="M1692" s="6">
        <v>82.41</v>
      </c>
      <c r="N1692" s="6">
        <v>27.59</v>
      </c>
      <c r="O1692" s="6">
        <v>7.4</v>
      </c>
      <c r="P1692" s="6">
        <v>20.190000000000001</v>
      </c>
      <c r="Q1692" t="s">
        <v>59</v>
      </c>
      <c r="R1692" t="s">
        <v>60</v>
      </c>
      <c r="S1692" t="s">
        <v>67</v>
      </c>
    </row>
    <row r="1693" spans="1:19" x14ac:dyDescent="0.35">
      <c r="A1693" t="s">
        <v>1822</v>
      </c>
      <c r="B1693" s="5">
        <v>45774</v>
      </c>
      <c r="C1693" t="s">
        <v>90</v>
      </c>
      <c r="D1693" t="s">
        <v>70</v>
      </c>
      <c r="E1693">
        <v>3</v>
      </c>
      <c r="F1693" s="6">
        <v>38</v>
      </c>
      <c r="G1693" s="7">
        <v>0</v>
      </c>
      <c r="H1693" s="6">
        <v>114</v>
      </c>
      <c r="I1693">
        <v>0</v>
      </c>
      <c r="J1693" s="6">
        <v>0</v>
      </c>
      <c r="K1693">
        <v>3</v>
      </c>
      <c r="L1693" s="6">
        <v>114</v>
      </c>
      <c r="M1693" s="6">
        <v>81.540000000000006</v>
      </c>
      <c r="N1693" s="6">
        <v>32.46</v>
      </c>
      <c r="O1693" s="6">
        <v>12.43</v>
      </c>
      <c r="P1693" s="6">
        <v>20.03</v>
      </c>
      <c r="Q1693" t="s">
        <v>81</v>
      </c>
      <c r="R1693" t="s">
        <v>86</v>
      </c>
      <c r="S1693" t="s">
        <v>76</v>
      </c>
    </row>
    <row r="1694" spans="1:19" x14ac:dyDescent="0.35">
      <c r="A1694" t="s">
        <v>1823</v>
      </c>
      <c r="B1694" s="5">
        <v>45929</v>
      </c>
      <c r="C1694" t="s">
        <v>56</v>
      </c>
      <c r="D1694" t="s">
        <v>57</v>
      </c>
      <c r="E1694">
        <v>8</v>
      </c>
      <c r="F1694" s="6">
        <v>40</v>
      </c>
      <c r="G1694" s="7">
        <v>0</v>
      </c>
      <c r="H1694" s="6">
        <v>320</v>
      </c>
      <c r="I1694">
        <v>0</v>
      </c>
      <c r="J1694" s="6">
        <v>0</v>
      </c>
      <c r="K1694">
        <v>8</v>
      </c>
      <c r="L1694" s="6">
        <v>320</v>
      </c>
      <c r="M1694" s="6">
        <v>217.83</v>
      </c>
      <c r="N1694" s="6">
        <v>102.17</v>
      </c>
      <c r="O1694" s="6">
        <v>26.14</v>
      </c>
      <c r="P1694" s="6">
        <v>76.03</v>
      </c>
      <c r="Q1694" t="s">
        <v>59</v>
      </c>
      <c r="R1694" t="s">
        <v>60</v>
      </c>
      <c r="S1694" t="s">
        <v>76</v>
      </c>
    </row>
    <row r="1695" spans="1:19" x14ac:dyDescent="0.35">
      <c r="A1695" t="s">
        <v>1824</v>
      </c>
      <c r="B1695" s="5">
        <v>45909</v>
      </c>
      <c r="C1695" t="s">
        <v>92</v>
      </c>
      <c r="D1695" t="s">
        <v>79</v>
      </c>
      <c r="E1695">
        <v>3</v>
      </c>
      <c r="F1695" s="6">
        <v>85</v>
      </c>
      <c r="G1695" s="7">
        <v>0</v>
      </c>
      <c r="H1695" s="6">
        <v>255</v>
      </c>
      <c r="I1695">
        <v>0</v>
      </c>
      <c r="J1695" s="6">
        <v>0</v>
      </c>
      <c r="K1695">
        <v>3</v>
      </c>
      <c r="L1695" s="6">
        <v>255</v>
      </c>
      <c r="M1695" s="6">
        <v>205.88</v>
      </c>
      <c r="N1695" s="6">
        <v>49.12</v>
      </c>
      <c r="O1695" s="6">
        <v>22.58</v>
      </c>
      <c r="P1695" s="6">
        <v>26.54</v>
      </c>
      <c r="Q1695" t="s">
        <v>81</v>
      </c>
      <c r="R1695" t="s">
        <v>86</v>
      </c>
      <c r="S1695" t="s">
        <v>61</v>
      </c>
    </row>
    <row r="1696" spans="1:19" x14ac:dyDescent="0.35">
      <c r="A1696" t="s">
        <v>1825</v>
      </c>
      <c r="B1696" s="5">
        <v>45954</v>
      </c>
      <c r="C1696" t="s">
        <v>73</v>
      </c>
      <c r="D1696" t="s">
        <v>74</v>
      </c>
      <c r="E1696">
        <v>2</v>
      </c>
      <c r="F1696" s="6">
        <v>280</v>
      </c>
      <c r="G1696" s="7">
        <v>5</v>
      </c>
      <c r="H1696" s="6">
        <v>532</v>
      </c>
      <c r="I1696">
        <v>0</v>
      </c>
      <c r="J1696" s="6">
        <v>0</v>
      </c>
      <c r="K1696">
        <v>2</v>
      </c>
      <c r="L1696" s="6">
        <v>532</v>
      </c>
      <c r="M1696" s="6">
        <v>453.92</v>
      </c>
      <c r="N1696" s="6">
        <v>78.08</v>
      </c>
      <c r="O1696" s="6">
        <v>43.85</v>
      </c>
      <c r="P1696" s="6">
        <v>34.229999999999997</v>
      </c>
      <c r="Q1696" t="s">
        <v>75</v>
      </c>
      <c r="R1696" t="s">
        <v>86</v>
      </c>
      <c r="S1696" t="s">
        <v>76</v>
      </c>
    </row>
    <row r="1697" spans="1:19" x14ac:dyDescent="0.35">
      <c r="A1697" t="s">
        <v>1826</v>
      </c>
      <c r="B1697" s="5">
        <v>45775</v>
      </c>
      <c r="C1697" t="s">
        <v>109</v>
      </c>
      <c r="D1697" t="s">
        <v>85</v>
      </c>
      <c r="E1697">
        <v>2</v>
      </c>
      <c r="F1697" s="6">
        <v>180</v>
      </c>
      <c r="G1697" s="7">
        <v>0</v>
      </c>
      <c r="H1697" s="6">
        <v>360</v>
      </c>
      <c r="I1697">
        <v>0</v>
      </c>
      <c r="J1697" s="6">
        <v>0</v>
      </c>
      <c r="K1697">
        <v>2</v>
      </c>
      <c r="L1697" s="6">
        <v>360</v>
      </c>
      <c r="M1697" s="6">
        <v>302.72000000000003</v>
      </c>
      <c r="N1697" s="6">
        <v>57.28</v>
      </c>
      <c r="O1697" s="6">
        <v>31.16</v>
      </c>
      <c r="P1697" s="6">
        <v>26.12</v>
      </c>
      <c r="Q1697" t="s">
        <v>81</v>
      </c>
      <c r="R1697" t="s">
        <v>60</v>
      </c>
      <c r="S1697" t="s">
        <v>76</v>
      </c>
    </row>
    <row r="1698" spans="1:19" x14ac:dyDescent="0.35">
      <c r="A1698" t="s">
        <v>1827</v>
      </c>
      <c r="B1698" s="5">
        <v>45759</v>
      </c>
      <c r="C1698" t="s">
        <v>63</v>
      </c>
      <c r="D1698" t="s">
        <v>64</v>
      </c>
      <c r="E1698">
        <v>2</v>
      </c>
      <c r="F1698" s="6">
        <v>145</v>
      </c>
      <c r="G1698" s="7">
        <v>0</v>
      </c>
      <c r="H1698" s="6">
        <v>290</v>
      </c>
      <c r="I1698">
        <v>0</v>
      </c>
      <c r="J1698" s="6">
        <v>0</v>
      </c>
      <c r="K1698">
        <v>2</v>
      </c>
      <c r="L1698" s="6">
        <v>290</v>
      </c>
      <c r="M1698" s="6">
        <v>224.32</v>
      </c>
      <c r="N1698" s="6">
        <v>65.680000000000007</v>
      </c>
      <c r="O1698" s="6">
        <v>17.12</v>
      </c>
      <c r="P1698" s="6">
        <v>48.56</v>
      </c>
      <c r="Q1698" t="s">
        <v>75</v>
      </c>
      <c r="R1698" t="s">
        <v>60</v>
      </c>
      <c r="S1698" t="s">
        <v>76</v>
      </c>
    </row>
    <row r="1699" spans="1:19" x14ac:dyDescent="0.35">
      <c r="A1699" t="s">
        <v>1828</v>
      </c>
      <c r="B1699" s="5">
        <v>45801</v>
      </c>
      <c r="C1699" t="s">
        <v>114</v>
      </c>
      <c r="D1699" t="s">
        <v>64</v>
      </c>
      <c r="E1699">
        <v>1</v>
      </c>
      <c r="F1699" s="6">
        <v>420</v>
      </c>
      <c r="G1699" s="7">
        <v>0</v>
      </c>
      <c r="H1699" s="6">
        <v>420</v>
      </c>
      <c r="I1699">
        <v>0</v>
      </c>
      <c r="J1699" s="6">
        <v>0</v>
      </c>
      <c r="K1699">
        <v>1</v>
      </c>
      <c r="L1699" s="6">
        <v>420</v>
      </c>
      <c r="M1699" s="6">
        <v>329.32</v>
      </c>
      <c r="N1699" s="6">
        <v>90.68</v>
      </c>
      <c r="O1699" s="6">
        <v>35.21</v>
      </c>
      <c r="P1699" s="6">
        <v>55.47</v>
      </c>
      <c r="Q1699" t="s">
        <v>65</v>
      </c>
      <c r="R1699" t="s">
        <v>66</v>
      </c>
      <c r="S1699" t="s">
        <v>76</v>
      </c>
    </row>
    <row r="1700" spans="1:19" x14ac:dyDescent="0.35">
      <c r="A1700" t="s">
        <v>1829</v>
      </c>
      <c r="B1700" s="5">
        <v>45973</v>
      </c>
      <c r="C1700" t="s">
        <v>78</v>
      </c>
      <c r="D1700" t="s">
        <v>79</v>
      </c>
      <c r="E1700">
        <v>1</v>
      </c>
      <c r="F1700" s="6">
        <v>120</v>
      </c>
      <c r="G1700" s="7">
        <v>0</v>
      </c>
      <c r="H1700" s="6">
        <v>120</v>
      </c>
      <c r="I1700">
        <v>0</v>
      </c>
      <c r="J1700" s="6">
        <v>0</v>
      </c>
      <c r="K1700">
        <v>1</v>
      </c>
      <c r="L1700" s="6">
        <v>120</v>
      </c>
      <c r="M1700" s="6">
        <v>95.91</v>
      </c>
      <c r="N1700" s="6">
        <v>24.09</v>
      </c>
      <c r="O1700" s="6">
        <v>10.08</v>
      </c>
      <c r="P1700" s="6">
        <v>14.01</v>
      </c>
      <c r="Q1700" t="s">
        <v>65</v>
      </c>
      <c r="R1700" t="s">
        <v>82</v>
      </c>
      <c r="S1700" t="s">
        <v>76</v>
      </c>
    </row>
    <row r="1701" spans="1:19" x14ac:dyDescent="0.35">
      <c r="A1701" t="s">
        <v>1830</v>
      </c>
      <c r="B1701" s="5">
        <v>45975</v>
      </c>
      <c r="C1701" t="s">
        <v>97</v>
      </c>
      <c r="D1701" t="s">
        <v>57</v>
      </c>
      <c r="E1701">
        <v>1</v>
      </c>
      <c r="F1701" s="6">
        <v>55</v>
      </c>
      <c r="G1701" s="7">
        <v>10</v>
      </c>
      <c r="H1701" s="6">
        <v>49.5</v>
      </c>
      <c r="I1701">
        <v>0</v>
      </c>
      <c r="J1701" s="6">
        <v>0</v>
      </c>
      <c r="K1701">
        <v>1</v>
      </c>
      <c r="L1701" s="6">
        <v>49.5</v>
      </c>
      <c r="M1701" s="6">
        <v>37.68</v>
      </c>
      <c r="N1701" s="6">
        <v>11.82</v>
      </c>
      <c r="O1701" s="6">
        <v>5.6</v>
      </c>
      <c r="P1701" s="6">
        <v>6.22</v>
      </c>
      <c r="Q1701" t="s">
        <v>81</v>
      </c>
      <c r="R1701" t="s">
        <v>86</v>
      </c>
      <c r="S1701" t="s">
        <v>61</v>
      </c>
    </row>
    <row r="1702" spans="1:19" x14ac:dyDescent="0.35">
      <c r="A1702" t="s">
        <v>1831</v>
      </c>
      <c r="B1702" s="5">
        <v>45853</v>
      </c>
      <c r="C1702" t="s">
        <v>596</v>
      </c>
      <c r="D1702" t="s">
        <v>57</v>
      </c>
      <c r="E1702">
        <v>6</v>
      </c>
      <c r="F1702" s="6">
        <v>30</v>
      </c>
      <c r="G1702" s="7">
        <v>15</v>
      </c>
      <c r="H1702" s="6">
        <v>153</v>
      </c>
      <c r="I1702">
        <v>0</v>
      </c>
      <c r="J1702" s="6">
        <v>0</v>
      </c>
      <c r="K1702">
        <v>6</v>
      </c>
      <c r="L1702" s="6">
        <v>153</v>
      </c>
      <c r="M1702" s="6">
        <v>101.52</v>
      </c>
      <c r="N1702" s="6">
        <v>51.48</v>
      </c>
      <c r="O1702" s="6">
        <v>9.41</v>
      </c>
      <c r="P1702" s="6">
        <v>42.07</v>
      </c>
      <c r="Q1702" t="s">
        <v>65</v>
      </c>
      <c r="R1702" t="s">
        <v>66</v>
      </c>
      <c r="S1702" t="s">
        <v>76</v>
      </c>
    </row>
    <row r="1703" spans="1:19" x14ac:dyDescent="0.35">
      <c r="A1703" t="s">
        <v>1832</v>
      </c>
      <c r="B1703" s="5">
        <v>45961</v>
      </c>
      <c r="C1703" t="s">
        <v>557</v>
      </c>
      <c r="D1703" t="s">
        <v>74</v>
      </c>
      <c r="E1703">
        <v>3</v>
      </c>
      <c r="F1703" s="6">
        <v>95</v>
      </c>
      <c r="G1703" s="7">
        <v>2</v>
      </c>
      <c r="H1703" s="6">
        <v>279.3</v>
      </c>
      <c r="I1703">
        <v>0</v>
      </c>
      <c r="J1703" s="6">
        <v>0</v>
      </c>
      <c r="K1703">
        <v>3</v>
      </c>
      <c r="L1703" s="6">
        <v>279.3</v>
      </c>
      <c r="M1703" s="6">
        <v>219.3</v>
      </c>
      <c r="N1703" s="6">
        <v>60</v>
      </c>
      <c r="O1703" s="6">
        <v>24.59</v>
      </c>
      <c r="P1703" s="6">
        <v>35.409999999999997</v>
      </c>
      <c r="Q1703" t="s">
        <v>59</v>
      </c>
      <c r="R1703" t="s">
        <v>60</v>
      </c>
      <c r="S1703" t="s">
        <v>61</v>
      </c>
    </row>
    <row r="1704" spans="1:19" x14ac:dyDescent="0.35">
      <c r="A1704" t="s">
        <v>1833</v>
      </c>
      <c r="B1704" s="5">
        <v>45685</v>
      </c>
      <c r="C1704" t="s">
        <v>100</v>
      </c>
      <c r="D1704" t="s">
        <v>64</v>
      </c>
      <c r="E1704">
        <v>1</v>
      </c>
      <c r="F1704" s="6">
        <v>310</v>
      </c>
      <c r="G1704" s="7">
        <v>0</v>
      </c>
      <c r="H1704" s="6">
        <v>310</v>
      </c>
      <c r="I1704">
        <v>0</v>
      </c>
      <c r="J1704" s="6">
        <v>0</v>
      </c>
      <c r="K1704">
        <v>1</v>
      </c>
      <c r="L1704" s="6">
        <v>310</v>
      </c>
      <c r="M1704" s="6">
        <v>217.31</v>
      </c>
      <c r="N1704" s="6">
        <v>92.69</v>
      </c>
      <c r="O1704" s="6">
        <v>32.229999999999997</v>
      </c>
      <c r="P1704" s="6">
        <v>60.46</v>
      </c>
      <c r="Q1704" t="s">
        <v>65</v>
      </c>
      <c r="R1704" t="s">
        <v>147</v>
      </c>
      <c r="S1704" t="s">
        <v>67</v>
      </c>
    </row>
    <row r="1705" spans="1:19" x14ac:dyDescent="0.35">
      <c r="A1705" t="s">
        <v>1834</v>
      </c>
      <c r="B1705" s="5">
        <v>45971</v>
      </c>
      <c r="C1705" t="s">
        <v>84</v>
      </c>
      <c r="D1705" t="s">
        <v>85</v>
      </c>
      <c r="E1705">
        <v>2</v>
      </c>
      <c r="F1705" s="6">
        <v>48</v>
      </c>
      <c r="G1705" s="7">
        <v>2</v>
      </c>
      <c r="H1705" s="6">
        <v>94.08</v>
      </c>
      <c r="I1705">
        <v>0</v>
      </c>
      <c r="J1705" s="6">
        <v>0</v>
      </c>
      <c r="K1705">
        <v>2</v>
      </c>
      <c r="L1705" s="6">
        <v>94.08</v>
      </c>
      <c r="M1705" s="6">
        <v>70.67</v>
      </c>
      <c r="N1705" s="6">
        <v>23.41</v>
      </c>
      <c r="O1705" s="6">
        <v>10.15</v>
      </c>
      <c r="P1705" s="6">
        <v>13.26</v>
      </c>
      <c r="Q1705" t="s">
        <v>65</v>
      </c>
      <c r="R1705" t="s">
        <v>60</v>
      </c>
      <c r="S1705" t="s">
        <v>76</v>
      </c>
    </row>
    <row r="1706" spans="1:19" x14ac:dyDescent="0.35">
      <c r="A1706" t="s">
        <v>1835</v>
      </c>
      <c r="B1706" s="5">
        <v>45986</v>
      </c>
      <c r="C1706" t="s">
        <v>264</v>
      </c>
      <c r="D1706" t="s">
        <v>85</v>
      </c>
      <c r="E1706">
        <v>2</v>
      </c>
      <c r="F1706" s="6">
        <v>20</v>
      </c>
      <c r="G1706" s="7">
        <v>0</v>
      </c>
      <c r="H1706" s="6">
        <v>40</v>
      </c>
      <c r="I1706">
        <v>0</v>
      </c>
      <c r="J1706" s="6">
        <v>0</v>
      </c>
      <c r="K1706">
        <v>2</v>
      </c>
      <c r="L1706" s="6">
        <v>40</v>
      </c>
      <c r="M1706" s="6">
        <v>24.95</v>
      </c>
      <c r="N1706" s="6">
        <v>15.05</v>
      </c>
      <c r="O1706" s="6">
        <v>3.66</v>
      </c>
      <c r="P1706" s="6">
        <v>11.39</v>
      </c>
      <c r="Q1706" t="s">
        <v>75</v>
      </c>
      <c r="R1706" t="s">
        <v>66</v>
      </c>
      <c r="S1706" t="s">
        <v>61</v>
      </c>
    </row>
    <row r="1707" spans="1:19" x14ac:dyDescent="0.35">
      <c r="A1707" t="s">
        <v>1836</v>
      </c>
      <c r="B1707" s="5">
        <v>46003</v>
      </c>
      <c r="C1707" t="s">
        <v>121</v>
      </c>
      <c r="D1707" t="s">
        <v>70</v>
      </c>
      <c r="E1707">
        <v>10</v>
      </c>
      <c r="F1707" s="6">
        <v>110</v>
      </c>
      <c r="G1707" s="7">
        <v>10</v>
      </c>
      <c r="H1707" s="6">
        <v>990</v>
      </c>
      <c r="I1707">
        <v>0</v>
      </c>
      <c r="J1707" s="6">
        <v>0</v>
      </c>
      <c r="K1707">
        <v>10</v>
      </c>
      <c r="L1707" s="6">
        <v>990</v>
      </c>
      <c r="M1707" s="6">
        <v>833.83</v>
      </c>
      <c r="N1707" s="6">
        <v>156.16999999999999</v>
      </c>
      <c r="O1707" s="6">
        <v>98.25</v>
      </c>
      <c r="P1707" s="6">
        <v>57.92</v>
      </c>
      <c r="Q1707" t="s">
        <v>81</v>
      </c>
      <c r="R1707" t="s">
        <v>86</v>
      </c>
      <c r="S1707" t="s">
        <v>67</v>
      </c>
    </row>
    <row r="1708" spans="1:19" x14ac:dyDescent="0.35">
      <c r="A1708" t="s">
        <v>1837</v>
      </c>
      <c r="B1708" s="5">
        <v>45926</v>
      </c>
      <c r="C1708" t="s">
        <v>121</v>
      </c>
      <c r="D1708" t="s">
        <v>70</v>
      </c>
      <c r="E1708">
        <v>3</v>
      </c>
      <c r="F1708" s="6">
        <v>110</v>
      </c>
      <c r="G1708" s="7">
        <v>0</v>
      </c>
      <c r="H1708" s="6">
        <v>330</v>
      </c>
      <c r="I1708">
        <v>0</v>
      </c>
      <c r="J1708" s="6">
        <v>0</v>
      </c>
      <c r="K1708">
        <v>3</v>
      </c>
      <c r="L1708" s="6">
        <v>330</v>
      </c>
      <c r="M1708" s="6">
        <v>279.14</v>
      </c>
      <c r="N1708" s="6">
        <v>50.86</v>
      </c>
      <c r="O1708" s="6">
        <v>38.770000000000003</v>
      </c>
      <c r="P1708" s="6">
        <v>12.09</v>
      </c>
      <c r="Q1708" t="s">
        <v>75</v>
      </c>
      <c r="R1708" t="s">
        <v>82</v>
      </c>
      <c r="S1708" t="s">
        <v>76</v>
      </c>
    </row>
    <row r="1709" spans="1:19" x14ac:dyDescent="0.35">
      <c r="A1709" t="s">
        <v>1838</v>
      </c>
      <c r="B1709" s="5">
        <v>45895</v>
      </c>
      <c r="C1709" t="s">
        <v>117</v>
      </c>
      <c r="D1709" t="s">
        <v>74</v>
      </c>
      <c r="E1709">
        <v>2</v>
      </c>
      <c r="F1709" s="6">
        <v>95</v>
      </c>
      <c r="G1709" s="7">
        <v>5</v>
      </c>
      <c r="H1709" s="6">
        <v>180.5</v>
      </c>
      <c r="I1709">
        <v>0</v>
      </c>
      <c r="J1709" s="6">
        <v>0</v>
      </c>
      <c r="K1709">
        <v>2</v>
      </c>
      <c r="L1709" s="6">
        <v>180.5</v>
      </c>
      <c r="M1709" s="6">
        <v>133.16</v>
      </c>
      <c r="N1709" s="6">
        <v>47.34</v>
      </c>
      <c r="O1709" s="6">
        <v>20.04</v>
      </c>
      <c r="P1709" s="6">
        <v>27.3</v>
      </c>
      <c r="Q1709" t="s">
        <v>81</v>
      </c>
      <c r="R1709" t="s">
        <v>82</v>
      </c>
      <c r="S1709" t="s">
        <v>71</v>
      </c>
    </row>
    <row r="1710" spans="1:19" x14ac:dyDescent="0.35">
      <c r="A1710" t="s">
        <v>1839</v>
      </c>
      <c r="B1710" s="5">
        <v>45882</v>
      </c>
      <c r="C1710" t="s">
        <v>109</v>
      </c>
      <c r="D1710" t="s">
        <v>85</v>
      </c>
      <c r="E1710">
        <v>5</v>
      </c>
      <c r="F1710" s="6">
        <v>180</v>
      </c>
      <c r="G1710" s="7">
        <v>0</v>
      </c>
      <c r="H1710" s="6">
        <v>900</v>
      </c>
      <c r="I1710">
        <v>0</v>
      </c>
      <c r="J1710" s="6">
        <v>0</v>
      </c>
      <c r="K1710">
        <v>5</v>
      </c>
      <c r="L1710" s="6">
        <v>900</v>
      </c>
      <c r="M1710" s="6">
        <v>642.05999999999995</v>
      </c>
      <c r="N1710" s="6">
        <v>257.94</v>
      </c>
      <c r="O1710" s="6">
        <v>50.25</v>
      </c>
      <c r="P1710" s="6">
        <v>207.69</v>
      </c>
      <c r="Q1710" t="s">
        <v>59</v>
      </c>
      <c r="R1710" t="s">
        <v>60</v>
      </c>
      <c r="S1710" t="s">
        <v>71</v>
      </c>
    </row>
    <row r="1711" spans="1:19" x14ac:dyDescent="0.35">
      <c r="A1711" t="s">
        <v>1840</v>
      </c>
      <c r="B1711" s="5">
        <v>45929</v>
      </c>
      <c r="C1711" t="s">
        <v>88</v>
      </c>
      <c r="D1711" t="s">
        <v>57</v>
      </c>
      <c r="E1711">
        <v>1</v>
      </c>
      <c r="F1711" s="6">
        <v>30</v>
      </c>
      <c r="G1711" s="7">
        <v>2</v>
      </c>
      <c r="H1711" s="6">
        <v>29.4</v>
      </c>
      <c r="I1711">
        <v>0</v>
      </c>
      <c r="J1711" s="6">
        <v>0</v>
      </c>
      <c r="K1711">
        <v>1</v>
      </c>
      <c r="L1711" s="6">
        <v>29.4</v>
      </c>
      <c r="M1711" s="6">
        <v>19.97</v>
      </c>
      <c r="N1711" s="6">
        <v>9.43</v>
      </c>
      <c r="O1711" s="6">
        <v>3.34</v>
      </c>
      <c r="P1711" s="6">
        <v>6.09</v>
      </c>
      <c r="Q1711" t="s">
        <v>59</v>
      </c>
      <c r="R1711" t="s">
        <v>82</v>
      </c>
      <c r="S1711" t="s">
        <v>76</v>
      </c>
    </row>
    <row r="1712" spans="1:19" x14ac:dyDescent="0.35">
      <c r="A1712" t="s">
        <v>1841</v>
      </c>
      <c r="B1712" s="5">
        <v>45803</v>
      </c>
      <c r="C1712" t="s">
        <v>104</v>
      </c>
      <c r="D1712" t="s">
        <v>105</v>
      </c>
      <c r="E1712">
        <v>2</v>
      </c>
      <c r="F1712" s="6">
        <v>65</v>
      </c>
      <c r="G1712" s="7">
        <v>0</v>
      </c>
      <c r="H1712" s="6">
        <v>130</v>
      </c>
      <c r="I1712">
        <v>0</v>
      </c>
      <c r="J1712" s="6">
        <v>0</v>
      </c>
      <c r="K1712">
        <v>2</v>
      </c>
      <c r="L1712" s="6">
        <v>130</v>
      </c>
      <c r="M1712" s="6">
        <v>87.72</v>
      </c>
      <c r="N1712" s="6">
        <v>42.28</v>
      </c>
      <c r="O1712" s="6">
        <v>8.7200000000000006</v>
      </c>
      <c r="P1712" s="6">
        <v>33.56</v>
      </c>
      <c r="Q1712" t="s">
        <v>59</v>
      </c>
      <c r="R1712" t="s">
        <v>176</v>
      </c>
      <c r="S1712" t="s">
        <v>61</v>
      </c>
    </row>
    <row r="1713" spans="1:19" x14ac:dyDescent="0.35">
      <c r="A1713" t="s">
        <v>1842</v>
      </c>
      <c r="B1713" s="5">
        <v>45822</v>
      </c>
      <c r="C1713" t="s">
        <v>107</v>
      </c>
      <c r="D1713" t="s">
        <v>74</v>
      </c>
      <c r="E1713">
        <v>4</v>
      </c>
      <c r="F1713" s="6">
        <v>125</v>
      </c>
      <c r="G1713" s="7">
        <v>0</v>
      </c>
      <c r="H1713" s="6">
        <v>500</v>
      </c>
      <c r="I1713">
        <v>0</v>
      </c>
      <c r="J1713" s="6">
        <v>0</v>
      </c>
      <c r="K1713">
        <v>4</v>
      </c>
      <c r="L1713" s="6">
        <v>500</v>
      </c>
      <c r="M1713" s="6">
        <v>336.39</v>
      </c>
      <c r="N1713" s="6">
        <v>163.61000000000001</v>
      </c>
      <c r="O1713" s="6">
        <v>63.17</v>
      </c>
      <c r="P1713" s="6">
        <v>100.44</v>
      </c>
      <c r="Q1713" t="s">
        <v>65</v>
      </c>
      <c r="R1713" t="s">
        <v>82</v>
      </c>
      <c r="S1713" t="s">
        <v>71</v>
      </c>
    </row>
    <row r="1714" spans="1:19" x14ac:dyDescent="0.35">
      <c r="A1714" t="s">
        <v>1843</v>
      </c>
      <c r="B1714" s="5">
        <v>45827</v>
      </c>
      <c r="C1714" t="s">
        <v>121</v>
      </c>
      <c r="D1714" t="s">
        <v>70</v>
      </c>
      <c r="E1714">
        <v>1</v>
      </c>
      <c r="F1714" s="6">
        <v>110</v>
      </c>
      <c r="G1714" s="7">
        <v>0</v>
      </c>
      <c r="H1714" s="6">
        <v>110</v>
      </c>
      <c r="I1714">
        <v>0</v>
      </c>
      <c r="J1714" s="6">
        <v>0</v>
      </c>
      <c r="K1714">
        <v>1</v>
      </c>
      <c r="L1714" s="6">
        <v>110</v>
      </c>
      <c r="M1714" s="6">
        <v>76.599999999999994</v>
      </c>
      <c r="N1714" s="6">
        <v>33.4</v>
      </c>
      <c r="O1714" s="6">
        <v>12.44</v>
      </c>
      <c r="P1714" s="6">
        <v>20.96</v>
      </c>
      <c r="Q1714" t="s">
        <v>75</v>
      </c>
      <c r="R1714" t="s">
        <v>82</v>
      </c>
      <c r="S1714" t="s">
        <v>61</v>
      </c>
    </row>
    <row r="1715" spans="1:19" x14ac:dyDescent="0.35">
      <c r="A1715" t="s">
        <v>1844</v>
      </c>
      <c r="B1715" s="5">
        <v>45926</v>
      </c>
      <c r="C1715" t="s">
        <v>264</v>
      </c>
      <c r="D1715" t="s">
        <v>85</v>
      </c>
      <c r="E1715">
        <v>5</v>
      </c>
      <c r="F1715" s="6">
        <v>20</v>
      </c>
      <c r="G1715" s="7">
        <v>0</v>
      </c>
      <c r="H1715" s="6">
        <v>100</v>
      </c>
      <c r="I1715">
        <v>0</v>
      </c>
      <c r="J1715" s="6">
        <v>0</v>
      </c>
      <c r="K1715">
        <v>5</v>
      </c>
      <c r="L1715" s="6">
        <v>100</v>
      </c>
      <c r="M1715" s="6">
        <v>82.91</v>
      </c>
      <c r="N1715" s="6">
        <v>17.09</v>
      </c>
      <c r="O1715" s="6">
        <v>5.65</v>
      </c>
      <c r="P1715" s="6">
        <v>11.44</v>
      </c>
      <c r="Q1715" t="s">
        <v>75</v>
      </c>
      <c r="R1715" t="s">
        <v>60</v>
      </c>
      <c r="S1715" t="s">
        <v>61</v>
      </c>
    </row>
    <row r="1716" spans="1:19" x14ac:dyDescent="0.35">
      <c r="A1716" t="s">
        <v>1845</v>
      </c>
      <c r="B1716" s="5">
        <v>45755</v>
      </c>
      <c r="C1716" t="s">
        <v>56</v>
      </c>
      <c r="D1716" t="s">
        <v>57</v>
      </c>
      <c r="E1716">
        <v>2</v>
      </c>
      <c r="F1716" s="6">
        <v>40</v>
      </c>
      <c r="G1716" s="7">
        <v>15</v>
      </c>
      <c r="H1716" s="6">
        <v>68</v>
      </c>
      <c r="I1716">
        <v>0</v>
      </c>
      <c r="J1716" s="6">
        <v>0</v>
      </c>
      <c r="K1716">
        <v>2</v>
      </c>
      <c r="L1716" s="6">
        <v>68</v>
      </c>
      <c r="M1716" s="6">
        <v>53.23</v>
      </c>
      <c r="N1716" s="6">
        <v>14.77</v>
      </c>
      <c r="O1716" s="6">
        <v>4.5599999999999996</v>
      </c>
      <c r="P1716" s="6">
        <v>10.210000000000001</v>
      </c>
      <c r="Q1716" t="s">
        <v>65</v>
      </c>
      <c r="R1716" t="s">
        <v>82</v>
      </c>
      <c r="S1716" t="s">
        <v>76</v>
      </c>
    </row>
    <row r="1717" spans="1:19" x14ac:dyDescent="0.35">
      <c r="A1717" t="s">
        <v>1846</v>
      </c>
      <c r="B1717" s="5">
        <v>45824</v>
      </c>
      <c r="C1717" t="s">
        <v>109</v>
      </c>
      <c r="D1717" t="s">
        <v>85</v>
      </c>
      <c r="E1717">
        <v>2</v>
      </c>
      <c r="F1717" s="6">
        <v>180</v>
      </c>
      <c r="G1717" s="7">
        <v>0</v>
      </c>
      <c r="H1717" s="6">
        <v>360</v>
      </c>
      <c r="I1717">
        <v>0</v>
      </c>
      <c r="J1717" s="6">
        <v>0</v>
      </c>
      <c r="K1717">
        <v>2</v>
      </c>
      <c r="L1717" s="6">
        <v>360</v>
      </c>
      <c r="M1717" s="6">
        <v>272.86</v>
      </c>
      <c r="N1717" s="6">
        <v>87.14</v>
      </c>
      <c r="O1717" s="6">
        <v>41.63</v>
      </c>
      <c r="P1717" s="6">
        <v>45.51</v>
      </c>
      <c r="Q1717" t="s">
        <v>59</v>
      </c>
      <c r="R1717" t="s">
        <v>66</v>
      </c>
      <c r="S1717" t="s">
        <v>67</v>
      </c>
    </row>
    <row r="1718" spans="1:19" x14ac:dyDescent="0.35">
      <c r="A1718" t="s">
        <v>1847</v>
      </c>
      <c r="B1718" s="5">
        <v>45982</v>
      </c>
      <c r="C1718" t="s">
        <v>97</v>
      </c>
      <c r="D1718" t="s">
        <v>57</v>
      </c>
      <c r="E1718">
        <v>1</v>
      </c>
      <c r="F1718" s="6">
        <v>55</v>
      </c>
      <c r="G1718" s="7">
        <v>0</v>
      </c>
      <c r="H1718" s="6">
        <v>55</v>
      </c>
      <c r="I1718">
        <v>0</v>
      </c>
      <c r="J1718" s="6">
        <v>0</v>
      </c>
      <c r="K1718">
        <v>1</v>
      </c>
      <c r="L1718" s="6">
        <v>55</v>
      </c>
      <c r="M1718" s="6">
        <v>37.82</v>
      </c>
      <c r="N1718" s="6">
        <v>17.18</v>
      </c>
      <c r="O1718" s="6">
        <v>4.9000000000000004</v>
      </c>
      <c r="P1718" s="6">
        <v>12.28</v>
      </c>
      <c r="Q1718" t="s">
        <v>65</v>
      </c>
      <c r="R1718" t="s">
        <v>60</v>
      </c>
      <c r="S1718" t="s">
        <v>67</v>
      </c>
    </row>
    <row r="1719" spans="1:19" x14ac:dyDescent="0.35">
      <c r="A1719" t="s">
        <v>1848</v>
      </c>
      <c r="B1719" s="5">
        <v>45862</v>
      </c>
      <c r="C1719" t="s">
        <v>90</v>
      </c>
      <c r="D1719" t="s">
        <v>70</v>
      </c>
      <c r="E1719">
        <v>3</v>
      </c>
      <c r="F1719" s="6">
        <v>38</v>
      </c>
      <c r="G1719" s="7">
        <v>10</v>
      </c>
      <c r="H1719" s="6">
        <v>102.6</v>
      </c>
      <c r="I1719">
        <v>0</v>
      </c>
      <c r="J1719" s="6">
        <v>0</v>
      </c>
      <c r="K1719">
        <v>3</v>
      </c>
      <c r="L1719" s="6">
        <v>102.6</v>
      </c>
      <c r="M1719" s="6">
        <v>69.930000000000007</v>
      </c>
      <c r="N1719" s="6">
        <v>32.67</v>
      </c>
      <c r="O1719" s="6">
        <v>7.29</v>
      </c>
      <c r="P1719" s="6">
        <v>25.38</v>
      </c>
      <c r="Q1719" t="s">
        <v>75</v>
      </c>
      <c r="R1719" t="s">
        <v>86</v>
      </c>
      <c r="S1719" t="s">
        <v>61</v>
      </c>
    </row>
    <row r="1720" spans="1:19" x14ac:dyDescent="0.35">
      <c r="A1720" t="s">
        <v>1849</v>
      </c>
      <c r="B1720" s="5">
        <v>45760</v>
      </c>
      <c r="C1720" t="s">
        <v>104</v>
      </c>
      <c r="D1720" t="s">
        <v>105</v>
      </c>
      <c r="E1720">
        <v>5</v>
      </c>
      <c r="F1720" s="6">
        <v>65</v>
      </c>
      <c r="G1720" s="7">
        <v>2</v>
      </c>
      <c r="H1720" s="6">
        <v>318.5</v>
      </c>
      <c r="I1720">
        <v>5</v>
      </c>
      <c r="J1720" s="6">
        <v>318.5</v>
      </c>
      <c r="K1720">
        <v>0</v>
      </c>
      <c r="L1720" s="6">
        <v>0</v>
      </c>
      <c r="M1720" s="6">
        <v>0</v>
      </c>
      <c r="N1720" s="6">
        <v>0</v>
      </c>
      <c r="O1720" s="6">
        <v>0</v>
      </c>
      <c r="P1720" s="6">
        <v>0</v>
      </c>
      <c r="Q1720" t="s">
        <v>75</v>
      </c>
      <c r="R1720" t="s">
        <v>66</v>
      </c>
      <c r="S1720" t="s">
        <v>76</v>
      </c>
    </row>
    <row r="1721" spans="1:19" x14ac:dyDescent="0.35">
      <c r="A1721" t="s">
        <v>1850</v>
      </c>
      <c r="B1721" s="5">
        <v>45714</v>
      </c>
      <c r="C1721" t="s">
        <v>125</v>
      </c>
      <c r="D1721" t="s">
        <v>85</v>
      </c>
      <c r="E1721">
        <v>8</v>
      </c>
      <c r="F1721" s="6">
        <v>125</v>
      </c>
      <c r="G1721" s="7">
        <v>5</v>
      </c>
      <c r="H1721" s="6">
        <v>950</v>
      </c>
      <c r="I1721">
        <v>0</v>
      </c>
      <c r="J1721" s="6">
        <v>0</v>
      </c>
      <c r="K1721">
        <v>8</v>
      </c>
      <c r="L1721" s="6">
        <v>950</v>
      </c>
      <c r="M1721" s="6">
        <v>600.84</v>
      </c>
      <c r="N1721" s="6">
        <v>349.16</v>
      </c>
      <c r="O1721" s="6">
        <v>118.79</v>
      </c>
      <c r="P1721" s="6">
        <v>230.37</v>
      </c>
      <c r="Q1721" t="s">
        <v>81</v>
      </c>
      <c r="R1721" t="s">
        <v>60</v>
      </c>
      <c r="S1721" t="s">
        <v>61</v>
      </c>
    </row>
    <row r="1722" spans="1:19" x14ac:dyDescent="0.35">
      <c r="A1722" t="s">
        <v>1851</v>
      </c>
      <c r="B1722" s="5">
        <v>46014</v>
      </c>
      <c r="C1722" t="s">
        <v>73</v>
      </c>
      <c r="D1722" t="s">
        <v>74</v>
      </c>
      <c r="E1722">
        <v>6</v>
      </c>
      <c r="F1722" s="6">
        <v>280</v>
      </c>
      <c r="G1722" s="7">
        <v>15</v>
      </c>
      <c r="H1722" s="6">
        <v>1428</v>
      </c>
      <c r="I1722">
        <v>0</v>
      </c>
      <c r="J1722" s="6">
        <v>0</v>
      </c>
      <c r="K1722">
        <v>6</v>
      </c>
      <c r="L1722" s="6">
        <v>1428</v>
      </c>
      <c r="M1722" s="6">
        <v>1084.6099999999999</v>
      </c>
      <c r="N1722" s="6">
        <v>343.39</v>
      </c>
      <c r="O1722" s="6">
        <v>163.76</v>
      </c>
      <c r="P1722" s="6">
        <v>179.63</v>
      </c>
      <c r="Q1722" t="s">
        <v>75</v>
      </c>
      <c r="R1722" t="s">
        <v>86</v>
      </c>
      <c r="S1722" t="s">
        <v>71</v>
      </c>
    </row>
    <row r="1723" spans="1:19" x14ac:dyDescent="0.35">
      <c r="A1723" t="s">
        <v>1852</v>
      </c>
      <c r="B1723" s="5">
        <v>45823</v>
      </c>
      <c r="C1723" t="s">
        <v>73</v>
      </c>
      <c r="D1723" t="s">
        <v>74</v>
      </c>
      <c r="E1723">
        <v>3</v>
      </c>
      <c r="F1723" s="6">
        <v>280</v>
      </c>
      <c r="G1723" s="7">
        <v>0</v>
      </c>
      <c r="H1723" s="6">
        <v>840</v>
      </c>
      <c r="I1723">
        <v>0</v>
      </c>
      <c r="J1723" s="6">
        <v>0</v>
      </c>
      <c r="K1723">
        <v>3</v>
      </c>
      <c r="L1723" s="6">
        <v>840</v>
      </c>
      <c r="M1723" s="6">
        <v>700.18</v>
      </c>
      <c r="N1723" s="6">
        <v>139.82</v>
      </c>
      <c r="O1723" s="6">
        <v>71.03</v>
      </c>
      <c r="P1723" s="6">
        <v>68.790000000000006</v>
      </c>
      <c r="Q1723" t="s">
        <v>81</v>
      </c>
      <c r="R1723" t="s">
        <v>86</v>
      </c>
      <c r="S1723" t="s">
        <v>61</v>
      </c>
    </row>
    <row r="1724" spans="1:19" x14ac:dyDescent="0.35">
      <c r="A1724" t="s">
        <v>1853</v>
      </c>
      <c r="B1724" s="5">
        <v>45941</v>
      </c>
      <c r="C1724" t="s">
        <v>117</v>
      </c>
      <c r="D1724" t="s">
        <v>74</v>
      </c>
      <c r="E1724">
        <v>1</v>
      </c>
      <c r="F1724" s="6">
        <v>95</v>
      </c>
      <c r="G1724" s="7">
        <v>0</v>
      </c>
      <c r="H1724" s="6">
        <v>95</v>
      </c>
      <c r="I1724">
        <v>0</v>
      </c>
      <c r="J1724" s="6">
        <v>0</v>
      </c>
      <c r="K1724">
        <v>1</v>
      </c>
      <c r="L1724" s="6">
        <v>95</v>
      </c>
      <c r="M1724" s="6">
        <v>62.88</v>
      </c>
      <c r="N1724" s="6">
        <v>32.119999999999997</v>
      </c>
      <c r="O1724" s="6">
        <v>6.68</v>
      </c>
      <c r="P1724" s="6">
        <v>25.44</v>
      </c>
      <c r="Q1724" t="s">
        <v>65</v>
      </c>
      <c r="R1724" t="s">
        <v>82</v>
      </c>
      <c r="S1724" t="s">
        <v>76</v>
      </c>
    </row>
    <row r="1725" spans="1:19" x14ac:dyDescent="0.35">
      <c r="A1725" t="s">
        <v>1854</v>
      </c>
      <c r="B1725" s="5">
        <v>45806</v>
      </c>
      <c r="C1725" t="s">
        <v>90</v>
      </c>
      <c r="D1725" t="s">
        <v>70</v>
      </c>
      <c r="E1725">
        <v>8</v>
      </c>
      <c r="F1725" s="6">
        <v>38</v>
      </c>
      <c r="G1725" s="7">
        <v>5</v>
      </c>
      <c r="H1725" s="6">
        <v>288.8</v>
      </c>
      <c r="I1725">
        <v>0</v>
      </c>
      <c r="J1725" s="6">
        <v>0</v>
      </c>
      <c r="K1725">
        <v>8</v>
      </c>
      <c r="L1725" s="6">
        <v>288.8</v>
      </c>
      <c r="M1725" s="6">
        <v>205.94</v>
      </c>
      <c r="N1725" s="6">
        <v>82.86</v>
      </c>
      <c r="O1725" s="6">
        <v>36.229999999999997</v>
      </c>
      <c r="P1725" s="6">
        <v>46.63</v>
      </c>
      <c r="Q1725" t="s">
        <v>65</v>
      </c>
      <c r="R1725" t="s">
        <v>60</v>
      </c>
      <c r="S1725" t="s">
        <v>61</v>
      </c>
    </row>
    <row r="1726" spans="1:19" x14ac:dyDescent="0.35">
      <c r="A1726" t="s">
        <v>1855</v>
      </c>
      <c r="B1726" s="5">
        <v>45818</v>
      </c>
      <c r="C1726" t="s">
        <v>100</v>
      </c>
      <c r="D1726" t="s">
        <v>64</v>
      </c>
      <c r="E1726">
        <v>3</v>
      </c>
      <c r="F1726" s="6">
        <v>310</v>
      </c>
      <c r="G1726" s="7">
        <v>0</v>
      </c>
      <c r="H1726" s="6">
        <v>930</v>
      </c>
      <c r="I1726">
        <v>0</v>
      </c>
      <c r="J1726" s="6">
        <v>0</v>
      </c>
      <c r="K1726">
        <v>3</v>
      </c>
      <c r="L1726" s="6">
        <v>930</v>
      </c>
      <c r="M1726" s="6">
        <v>584.35</v>
      </c>
      <c r="N1726" s="6">
        <v>345.65</v>
      </c>
      <c r="O1726" s="6">
        <v>76.16</v>
      </c>
      <c r="P1726" s="6">
        <v>269.49</v>
      </c>
      <c r="Q1726" t="s">
        <v>59</v>
      </c>
      <c r="R1726" t="s">
        <v>86</v>
      </c>
      <c r="S1726" t="s">
        <v>67</v>
      </c>
    </row>
    <row r="1727" spans="1:19" x14ac:dyDescent="0.35">
      <c r="A1727" t="s">
        <v>1856</v>
      </c>
      <c r="B1727" s="5">
        <v>45745</v>
      </c>
      <c r="C1727" t="s">
        <v>107</v>
      </c>
      <c r="D1727" t="s">
        <v>74</v>
      </c>
      <c r="E1727">
        <v>4</v>
      </c>
      <c r="F1727" s="6">
        <v>125</v>
      </c>
      <c r="G1727" s="7">
        <v>0</v>
      </c>
      <c r="H1727" s="6">
        <v>500</v>
      </c>
      <c r="I1727">
        <v>0</v>
      </c>
      <c r="J1727" s="6">
        <v>0</v>
      </c>
      <c r="K1727">
        <v>4</v>
      </c>
      <c r="L1727" s="6">
        <v>500</v>
      </c>
      <c r="M1727" s="6">
        <v>323.87</v>
      </c>
      <c r="N1727" s="6">
        <v>176.13</v>
      </c>
      <c r="O1727" s="6">
        <v>55.17</v>
      </c>
      <c r="P1727" s="6">
        <v>120.96</v>
      </c>
      <c r="Q1727" t="s">
        <v>75</v>
      </c>
      <c r="R1727" t="s">
        <v>60</v>
      </c>
      <c r="S1727" t="s">
        <v>61</v>
      </c>
    </row>
    <row r="1728" spans="1:19" x14ac:dyDescent="0.35">
      <c r="A1728" t="s">
        <v>1857</v>
      </c>
      <c r="B1728" s="5">
        <v>45715</v>
      </c>
      <c r="C1728" t="s">
        <v>69</v>
      </c>
      <c r="D1728" t="s">
        <v>70</v>
      </c>
      <c r="E1728">
        <v>3</v>
      </c>
      <c r="F1728" s="6">
        <v>210</v>
      </c>
      <c r="G1728" s="7">
        <v>0</v>
      </c>
      <c r="H1728" s="6">
        <v>630</v>
      </c>
      <c r="I1728">
        <v>0</v>
      </c>
      <c r="J1728" s="6">
        <v>0</v>
      </c>
      <c r="K1728">
        <v>3</v>
      </c>
      <c r="L1728" s="6">
        <v>630</v>
      </c>
      <c r="M1728" s="6">
        <v>414.97</v>
      </c>
      <c r="N1728" s="6">
        <v>215.03</v>
      </c>
      <c r="O1728" s="6">
        <v>38.1</v>
      </c>
      <c r="P1728" s="6">
        <v>176.93</v>
      </c>
      <c r="Q1728" t="s">
        <v>65</v>
      </c>
      <c r="R1728" t="s">
        <v>66</v>
      </c>
      <c r="S1728" t="s">
        <v>61</v>
      </c>
    </row>
    <row r="1729" spans="1:19" x14ac:dyDescent="0.35">
      <c r="A1729" t="s">
        <v>1858</v>
      </c>
      <c r="B1729" s="5">
        <v>45968</v>
      </c>
      <c r="C1729" t="s">
        <v>117</v>
      </c>
      <c r="D1729" t="s">
        <v>74</v>
      </c>
      <c r="E1729">
        <v>5</v>
      </c>
      <c r="F1729" s="6">
        <v>95</v>
      </c>
      <c r="G1729" s="7">
        <v>10</v>
      </c>
      <c r="H1729" s="6">
        <v>427.5</v>
      </c>
      <c r="I1729">
        <v>0</v>
      </c>
      <c r="J1729" s="6">
        <v>0</v>
      </c>
      <c r="K1729">
        <v>5</v>
      </c>
      <c r="L1729" s="6">
        <v>427.5</v>
      </c>
      <c r="M1729" s="6">
        <v>346.18</v>
      </c>
      <c r="N1729" s="6">
        <v>81.319999999999993</v>
      </c>
      <c r="O1729" s="6">
        <v>35.450000000000003</v>
      </c>
      <c r="P1729" s="6">
        <v>45.87</v>
      </c>
      <c r="Q1729" t="s">
        <v>59</v>
      </c>
      <c r="R1729" t="s">
        <v>66</v>
      </c>
      <c r="S1729" t="s">
        <v>67</v>
      </c>
    </row>
    <row r="1730" spans="1:19" x14ac:dyDescent="0.35">
      <c r="A1730" t="s">
        <v>1859</v>
      </c>
      <c r="B1730" s="5">
        <v>45848</v>
      </c>
      <c r="C1730" t="s">
        <v>104</v>
      </c>
      <c r="D1730" t="s">
        <v>105</v>
      </c>
      <c r="E1730">
        <v>1</v>
      </c>
      <c r="F1730" s="6">
        <v>65</v>
      </c>
      <c r="G1730" s="7">
        <v>10</v>
      </c>
      <c r="H1730" s="6">
        <v>58.5</v>
      </c>
      <c r="I1730">
        <v>0</v>
      </c>
      <c r="J1730" s="6">
        <v>0</v>
      </c>
      <c r="K1730">
        <v>1</v>
      </c>
      <c r="L1730" s="6">
        <v>58.5</v>
      </c>
      <c r="M1730" s="6">
        <v>43.63</v>
      </c>
      <c r="N1730" s="6">
        <v>14.87</v>
      </c>
      <c r="O1730" s="6">
        <v>4.37</v>
      </c>
      <c r="P1730" s="6">
        <v>10.5</v>
      </c>
      <c r="Q1730" t="s">
        <v>75</v>
      </c>
      <c r="R1730" t="s">
        <v>86</v>
      </c>
      <c r="S1730" t="s">
        <v>71</v>
      </c>
    </row>
    <row r="1731" spans="1:19" x14ac:dyDescent="0.35">
      <c r="A1731" t="s">
        <v>1860</v>
      </c>
      <c r="B1731" s="5">
        <v>45743</v>
      </c>
      <c r="C1731" t="s">
        <v>596</v>
      </c>
      <c r="D1731" t="s">
        <v>57</v>
      </c>
      <c r="E1731">
        <v>4</v>
      </c>
      <c r="F1731" s="6">
        <v>30</v>
      </c>
      <c r="G1731" s="7">
        <v>5</v>
      </c>
      <c r="H1731" s="6">
        <v>114</v>
      </c>
      <c r="I1731">
        <v>0</v>
      </c>
      <c r="J1731" s="6">
        <v>0</v>
      </c>
      <c r="K1731">
        <v>4</v>
      </c>
      <c r="L1731" s="6">
        <v>114</v>
      </c>
      <c r="M1731" s="6">
        <v>77.709999999999994</v>
      </c>
      <c r="N1731" s="6">
        <v>36.29</v>
      </c>
      <c r="O1731" s="6">
        <v>9.9</v>
      </c>
      <c r="P1731" s="6">
        <v>26.39</v>
      </c>
      <c r="Q1731" t="s">
        <v>65</v>
      </c>
      <c r="R1731" t="s">
        <v>60</v>
      </c>
      <c r="S1731" t="s">
        <v>67</v>
      </c>
    </row>
    <row r="1732" spans="1:19" x14ac:dyDescent="0.35">
      <c r="A1732" t="s">
        <v>1861</v>
      </c>
      <c r="B1732" s="5">
        <v>45892</v>
      </c>
      <c r="C1732" t="s">
        <v>114</v>
      </c>
      <c r="D1732" t="s">
        <v>64</v>
      </c>
      <c r="E1732">
        <v>4</v>
      </c>
      <c r="F1732" s="6">
        <v>420</v>
      </c>
      <c r="G1732" s="7">
        <v>0</v>
      </c>
      <c r="H1732" s="6">
        <v>1680</v>
      </c>
      <c r="I1732">
        <v>0</v>
      </c>
      <c r="J1732" s="6">
        <v>0</v>
      </c>
      <c r="K1732">
        <v>4</v>
      </c>
      <c r="L1732" s="6">
        <v>1680</v>
      </c>
      <c r="M1732" s="6">
        <v>1133.93</v>
      </c>
      <c r="N1732" s="6">
        <v>546.07000000000005</v>
      </c>
      <c r="O1732" s="6">
        <v>205.93</v>
      </c>
      <c r="P1732" s="6">
        <v>340.14</v>
      </c>
      <c r="Q1732" t="s">
        <v>65</v>
      </c>
      <c r="R1732" t="s">
        <v>86</v>
      </c>
      <c r="S1732" t="s">
        <v>71</v>
      </c>
    </row>
    <row r="1733" spans="1:19" x14ac:dyDescent="0.35">
      <c r="A1733" t="s">
        <v>1862</v>
      </c>
      <c r="B1733" s="5">
        <v>45839</v>
      </c>
      <c r="C1733" t="s">
        <v>95</v>
      </c>
      <c r="D1733" t="s">
        <v>64</v>
      </c>
      <c r="E1733">
        <v>3</v>
      </c>
      <c r="F1733" s="6">
        <v>52</v>
      </c>
      <c r="G1733" s="7">
        <v>0</v>
      </c>
      <c r="H1733" s="6">
        <v>156</v>
      </c>
      <c r="I1733">
        <v>0</v>
      </c>
      <c r="J1733" s="6">
        <v>0</v>
      </c>
      <c r="K1733">
        <v>3</v>
      </c>
      <c r="L1733" s="6">
        <v>156</v>
      </c>
      <c r="M1733" s="6">
        <v>121.23</v>
      </c>
      <c r="N1733" s="6">
        <v>34.770000000000003</v>
      </c>
      <c r="O1733" s="6">
        <v>10.96</v>
      </c>
      <c r="P1733" s="6">
        <v>23.81</v>
      </c>
      <c r="Q1733" t="s">
        <v>65</v>
      </c>
      <c r="R1733" t="s">
        <v>86</v>
      </c>
      <c r="S1733" t="s">
        <v>67</v>
      </c>
    </row>
    <row r="1734" spans="1:19" x14ac:dyDescent="0.35">
      <c r="A1734" t="s">
        <v>1863</v>
      </c>
      <c r="B1734" s="5">
        <v>45682</v>
      </c>
      <c r="C1734" t="s">
        <v>109</v>
      </c>
      <c r="D1734" t="s">
        <v>110</v>
      </c>
      <c r="E1734">
        <v>1</v>
      </c>
      <c r="F1734" s="6">
        <v>180</v>
      </c>
      <c r="G1734" s="7">
        <v>0</v>
      </c>
      <c r="H1734" s="6">
        <v>180</v>
      </c>
      <c r="I1734">
        <v>0</v>
      </c>
      <c r="J1734" s="6">
        <v>0</v>
      </c>
      <c r="K1734">
        <v>1</v>
      </c>
      <c r="L1734" s="6">
        <v>180</v>
      </c>
      <c r="M1734" s="6">
        <v>130.61000000000001</v>
      </c>
      <c r="N1734" s="6">
        <v>49.39</v>
      </c>
      <c r="O1734" s="6">
        <v>18.84</v>
      </c>
      <c r="P1734" s="6">
        <v>30.55</v>
      </c>
      <c r="Q1734" t="s">
        <v>65</v>
      </c>
      <c r="R1734" t="s">
        <v>86</v>
      </c>
      <c r="S1734" t="s">
        <v>71</v>
      </c>
    </row>
    <row r="1735" spans="1:19" x14ac:dyDescent="0.35">
      <c r="A1735" t="s">
        <v>1864</v>
      </c>
      <c r="B1735" s="5">
        <v>45878</v>
      </c>
      <c r="C1735" t="s">
        <v>117</v>
      </c>
      <c r="D1735" t="s">
        <v>243</v>
      </c>
      <c r="E1735">
        <v>4</v>
      </c>
      <c r="F1735" s="6">
        <v>95</v>
      </c>
      <c r="G1735" s="7">
        <v>2</v>
      </c>
      <c r="H1735" s="6">
        <v>372.4</v>
      </c>
      <c r="I1735">
        <v>0</v>
      </c>
      <c r="J1735" s="6">
        <v>0</v>
      </c>
      <c r="K1735">
        <v>4</v>
      </c>
      <c r="L1735" s="6">
        <v>372.4</v>
      </c>
      <c r="M1735" s="6">
        <v>241.86</v>
      </c>
      <c r="N1735" s="6">
        <v>130.54</v>
      </c>
      <c r="O1735" s="6">
        <v>22.28</v>
      </c>
      <c r="P1735" s="6">
        <v>108.26</v>
      </c>
      <c r="Q1735" t="s">
        <v>59</v>
      </c>
      <c r="R1735" t="s">
        <v>82</v>
      </c>
      <c r="S1735" t="s">
        <v>67</v>
      </c>
    </row>
    <row r="1736" spans="1:19" x14ac:dyDescent="0.35">
      <c r="A1736" t="s">
        <v>1865</v>
      </c>
      <c r="B1736" s="5">
        <v>45748</v>
      </c>
      <c r="C1736" t="s">
        <v>88</v>
      </c>
      <c r="D1736" t="s">
        <v>57</v>
      </c>
      <c r="E1736">
        <v>3</v>
      </c>
      <c r="F1736" s="6">
        <v>30</v>
      </c>
      <c r="G1736" s="7">
        <v>0</v>
      </c>
      <c r="H1736" s="6">
        <v>90</v>
      </c>
      <c r="I1736">
        <v>0</v>
      </c>
      <c r="J1736" s="6">
        <v>0</v>
      </c>
      <c r="K1736">
        <v>3</v>
      </c>
      <c r="L1736" s="6">
        <v>90</v>
      </c>
      <c r="M1736" s="6">
        <v>70.739999999999995</v>
      </c>
      <c r="N1736" s="6">
        <v>19.260000000000002</v>
      </c>
      <c r="O1736" s="6">
        <v>9.61</v>
      </c>
      <c r="P1736" s="6">
        <v>9.65</v>
      </c>
      <c r="Q1736" t="s">
        <v>81</v>
      </c>
      <c r="R1736" t="s">
        <v>66</v>
      </c>
      <c r="S1736" t="s">
        <v>76</v>
      </c>
    </row>
    <row r="1737" spans="1:19" x14ac:dyDescent="0.35">
      <c r="A1737" t="s">
        <v>1866</v>
      </c>
      <c r="B1737" s="5">
        <v>45710</v>
      </c>
      <c r="C1737" t="s">
        <v>104</v>
      </c>
      <c r="D1737" t="s">
        <v>105</v>
      </c>
      <c r="E1737">
        <v>1</v>
      </c>
      <c r="F1737" s="6">
        <v>65</v>
      </c>
      <c r="G1737" s="7">
        <v>0</v>
      </c>
      <c r="H1737" s="6">
        <v>65</v>
      </c>
      <c r="I1737">
        <v>0</v>
      </c>
      <c r="J1737" s="6">
        <v>0</v>
      </c>
      <c r="K1737">
        <v>1</v>
      </c>
      <c r="L1737" s="6">
        <v>65</v>
      </c>
      <c r="M1737" s="6">
        <v>52.13</v>
      </c>
      <c r="N1737" s="6">
        <v>12.87</v>
      </c>
      <c r="O1737" s="6">
        <v>5.22</v>
      </c>
      <c r="P1737" s="6">
        <v>7.65</v>
      </c>
      <c r="Q1737" t="s">
        <v>65</v>
      </c>
      <c r="R1737" t="s">
        <v>60</v>
      </c>
      <c r="S1737" t="s">
        <v>61</v>
      </c>
    </row>
    <row r="1738" spans="1:19" x14ac:dyDescent="0.35">
      <c r="A1738" t="s">
        <v>1867</v>
      </c>
      <c r="B1738" s="5">
        <v>45688</v>
      </c>
      <c r="C1738" t="s">
        <v>264</v>
      </c>
      <c r="D1738" t="s">
        <v>85</v>
      </c>
      <c r="E1738">
        <v>2</v>
      </c>
      <c r="F1738" s="6">
        <v>20</v>
      </c>
      <c r="G1738" s="7">
        <v>5</v>
      </c>
      <c r="H1738" s="6">
        <v>38</v>
      </c>
      <c r="I1738">
        <v>0</v>
      </c>
      <c r="J1738" s="6">
        <v>0</v>
      </c>
      <c r="K1738">
        <v>2</v>
      </c>
      <c r="L1738" s="6">
        <v>38</v>
      </c>
      <c r="M1738" s="6">
        <v>29.27</v>
      </c>
      <c r="N1738" s="6">
        <v>8.73</v>
      </c>
      <c r="O1738" s="6">
        <v>4.83</v>
      </c>
      <c r="P1738" s="6">
        <v>3.9</v>
      </c>
      <c r="Q1738" t="s">
        <v>75</v>
      </c>
      <c r="R1738" t="s">
        <v>86</v>
      </c>
      <c r="S1738" t="s">
        <v>61</v>
      </c>
    </row>
    <row r="1739" spans="1:19" x14ac:dyDescent="0.35">
      <c r="A1739" t="s">
        <v>1868</v>
      </c>
      <c r="B1739" s="5">
        <v>46011</v>
      </c>
      <c r="C1739" t="s">
        <v>109</v>
      </c>
      <c r="D1739" t="s">
        <v>85</v>
      </c>
      <c r="E1739">
        <v>1</v>
      </c>
      <c r="F1739" s="6">
        <v>180</v>
      </c>
      <c r="G1739" s="7">
        <v>2</v>
      </c>
      <c r="H1739" s="6">
        <v>176.4</v>
      </c>
      <c r="I1739">
        <v>0</v>
      </c>
      <c r="J1739" s="6">
        <v>0</v>
      </c>
      <c r="K1739">
        <v>1</v>
      </c>
      <c r="L1739" s="6">
        <v>176.4</v>
      </c>
      <c r="M1739" s="6">
        <v>118.28</v>
      </c>
      <c r="N1739" s="6">
        <v>58.12</v>
      </c>
      <c r="O1739" s="6">
        <v>13.19</v>
      </c>
      <c r="P1739" s="6">
        <v>44.93</v>
      </c>
      <c r="Q1739" t="s">
        <v>59</v>
      </c>
      <c r="S1739" t="s">
        <v>76</v>
      </c>
    </row>
    <row r="1740" spans="1:19" x14ac:dyDescent="0.35">
      <c r="A1740" t="s">
        <v>1869</v>
      </c>
      <c r="B1740" s="5">
        <v>45926</v>
      </c>
      <c r="C1740" t="s">
        <v>63</v>
      </c>
      <c r="D1740" t="s">
        <v>64</v>
      </c>
      <c r="E1740">
        <v>2</v>
      </c>
      <c r="F1740" s="6">
        <v>145</v>
      </c>
      <c r="G1740" s="7">
        <v>10</v>
      </c>
      <c r="H1740" s="6">
        <v>261</v>
      </c>
      <c r="I1740">
        <v>0</v>
      </c>
      <c r="J1740" s="6">
        <v>0</v>
      </c>
      <c r="K1740">
        <v>2</v>
      </c>
      <c r="L1740" s="6">
        <v>261</v>
      </c>
      <c r="M1740" s="6">
        <v>171.26</v>
      </c>
      <c r="N1740" s="6">
        <v>89.74</v>
      </c>
      <c r="O1740" s="6">
        <v>15</v>
      </c>
      <c r="P1740" s="6">
        <v>74.739999999999995</v>
      </c>
      <c r="Q1740" t="s">
        <v>81</v>
      </c>
      <c r="R1740" t="s">
        <v>66</v>
      </c>
      <c r="S1740" t="s">
        <v>71</v>
      </c>
    </row>
    <row r="1741" spans="1:19" x14ac:dyDescent="0.35">
      <c r="A1741" t="s">
        <v>1870</v>
      </c>
      <c r="B1741" s="5">
        <v>45944</v>
      </c>
      <c r="C1741" t="s">
        <v>121</v>
      </c>
      <c r="D1741" t="s">
        <v>70</v>
      </c>
      <c r="E1741">
        <v>1</v>
      </c>
      <c r="F1741" s="6">
        <v>110</v>
      </c>
      <c r="G1741" s="7">
        <v>15</v>
      </c>
      <c r="H1741" s="6">
        <v>93.5</v>
      </c>
      <c r="I1741">
        <v>0</v>
      </c>
      <c r="J1741" s="6">
        <v>0</v>
      </c>
      <c r="K1741">
        <v>1</v>
      </c>
      <c r="L1741" s="6">
        <v>93.5</v>
      </c>
      <c r="M1741" s="6">
        <v>65.7</v>
      </c>
      <c r="N1741" s="6">
        <v>27.8</v>
      </c>
      <c r="O1741" s="6">
        <v>11.04</v>
      </c>
      <c r="P1741" s="6">
        <v>16.760000000000002</v>
      </c>
      <c r="Q1741" t="s">
        <v>59</v>
      </c>
      <c r="R1741" t="s">
        <v>60</v>
      </c>
      <c r="S1741" t="s">
        <v>61</v>
      </c>
    </row>
    <row r="1742" spans="1:19" x14ac:dyDescent="0.35">
      <c r="A1742" t="s">
        <v>1871</v>
      </c>
      <c r="B1742" s="5">
        <v>45742</v>
      </c>
      <c r="C1742" t="s">
        <v>114</v>
      </c>
      <c r="D1742" t="s">
        <v>64</v>
      </c>
      <c r="E1742">
        <v>5</v>
      </c>
      <c r="F1742" s="6">
        <v>420</v>
      </c>
      <c r="G1742" s="7">
        <v>15</v>
      </c>
      <c r="H1742" s="6">
        <v>1785</v>
      </c>
      <c r="I1742">
        <v>0</v>
      </c>
      <c r="J1742" s="6">
        <v>0</v>
      </c>
      <c r="K1742">
        <v>5</v>
      </c>
      <c r="L1742" s="6">
        <v>1785</v>
      </c>
      <c r="M1742" s="6">
        <v>1409.69</v>
      </c>
      <c r="N1742" s="6">
        <v>375.31</v>
      </c>
      <c r="O1742" s="6">
        <v>146.63999999999999</v>
      </c>
      <c r="P1742" s="6">
        <v>228.67</v>
      </c>
      <c r="Q1742" t="s">
        <v>75</v>
      </c>
      <c r="R1742" t="s">
        <v>82</v>
      </c>
      <c r="S1742" t="s">
        <v>61</v>
      </c>
    </row>
    <row r="1743" spans="1:19" x14ac:dyDescent="0.35">
      <c r="A1743" t="s">
        <v>1872</v>
      </c>
      <c r="B1743" s="5">
        <v>45853</v>
      </c>
      <c r="C1743" t="s">
        <v>264</v>
      </c>
      <c r="D1743" t="s">
        <v>85</v>
      </c>
      <c r="E1743">
        <v>3</v>
      </c>
      <c r="F1743" s="6">
        <v>20</v>
      </c>
      <c r="G1743" s="7">
        <v>10</v>
      </c>
      <c r="H1743" s="6">
        <v>54</v>
      </c>
      <c r="I1743">
        <v>0</v>
      </c>
      <c r="J1743" s="6">
        <v>0</v>
      </c>
      <c r="K1743">
        <v>3</v>
      </c>
      <c r="L1743" s="6">
        <v>54</v>
      </c>
      <c r="M1743" s="6">
        <v>33.93</v>
      </c>
      <c r="N1743" s="6">
        <v>20.07</v>
      </c>
      <c r="O1743" s="6">
        <v>5.82</v>
      </c>
      <c r="P1743" s="6">
        <v>14.25</v>
      </c>
      <c r="Q1743" t="s">
        <v>59</v>
      </c>
      <c r="R1743" t="s">
        <v>60</v>
      </c>
      <c r="S1743" t="s">
        <v>71</v>
      </c>
    </row>
    <row r="1744" spans="1:19" x14ac:dyDescent="0.35">
      <c r="A1744" t="s">
        <v>1873</v>
      </c>
      <c r="B1744" s="5">
        <v>45890</v>
      </c>
      <c r="C1744" t="s">
        <v>125</v>
      </c>
      <c r="D1744" t="s">
        <v>85</v>
      </c>
      <c r="E1744">
        <v>3</v>
      </c>
      <c r="F1744" s="6">
        <v>125</v>
      </c>
      <c r="G1744" s="7">
        <v>0</v>
      </c>
      <c r="H1744" s="6">
        <v>375</v>
      </c>
      <c r="I1744">
        <v>0</v>
      </c>
      <c r="J1744" s="6">
        <v>0</v>
      </c>
      <c r="K1744">
        <v>3</v>
      </c>
      <c r="L1744" s="6">
        <v>375</v>
      </c>
      <c r="M1744" s="6">
        <v>281.57</v>
      </c>
      <c r="N1744" s="6">
        <v>93.43</v>
      </c>
      <c r="O1744" s="6">
        <v>45.62</v>
      </c>
      <c r="P1744" s="6">
        <v>47.81</v>
      </c>
      <c r="Q1744" t="s">
        <v>59</v>
      </c>
      <c r="R1744" t="s">
        <v>82</v>
      </c>
      <c r="S1744" t="s">
        <v>71</v>
      </c>
    </row>
    <row r="1745" spans="1:19" x14ac:dyDescent="0.35">
      <c r="A1745" t="s">
        <v>1874</v>
      </c>
      <c r="B1745" s="5">
        <v>45961</v>
      </c>
      <c r="C1745" t="s">
        <v>73</v>
      </c>
      <c r="D1745" t="s">
        <v>74</v>
      </c>
      <c r="E1745">
        <v>2</v>
      </c>
      <c r="F1745" s="6">
        <v>280</v>
      </c>
      <c r="G1745" s="7">
        <v>0</v>
      </c>
      <c r="H1745" s="6">
        <v>560</v>
      </c>
      <c r="I1745">
        <v>0</v>
      </c>
      <c r="J1745" s="6">
        <v>0</v>
      </c>
      <c r="K1745">
        <v>2</v>
      </c>
      <c r="L1745" s="6">
        <v>560</v>
      </c>
      <c r="M1745" s="6">
        <v>374.11</v>
      </c>
      <c r="N1745" s="6">
        <v>185.89</v>
      </c>
      <c r="O1745" s="6">
        <v>65.75</v>
      </c>
      <c r="P1745" s="6">
        <v>120.14</v>
      </c>
      <c r="Q1745" t="s">
        <v>65</v>
      </c>
      <c r="R1745" t="s">
        <v>86</v>
      </c>
      <c r="S1745" t="s">
        <v>76</v>
      </c>
    </row>
    <row r="1746" spans="1:19" x14ac:dyDescent="0.35">
      <c r="A1746" t="s">
        <v>1875</v>
      </c>
      <c r="B1746" s="5">
        <v>45734</v>
      </c>
      <c r="C1746" t="s">
        <v>100</v>
      </c>
      <c r="D1746" t="s">
        <v>64</v>
      </c>
      <c r="E1746">
        <v>4</v>
      </c>
      <c r="F1746" s="6">
        <v>310</v>
      </c>
      <c r="G1746" s="7">
        <v>2</v>
      </c>
      <c r="H1746" s="6">
        <v>1215.2</v>
      </c>
      <c r="I1746">
        <v>0</v>
      </c>
      <c r="J1746" s="6">
        <v>0</v>
      </c>
      <c r="K1746">
        <v>4</v>
      </c>
      <c r="L1746" s="6">
        <v>1215.2</v>
      </c>
      <c r="M1746" s="6">
        <v>998.88</v>
      </c>
      <c r="N1746" s="6">
        <v>216.32</v>
      </c>
      <c r="O1746" s="6">
        <v>124.9</v>
      </c>
      <c r="P1746" s="6">
        <v>91.42</v>
      </c>
      <c r="Q1746" t="s">
        <v>59</v>
      </c>
      <c r="R1746" t="s">
        <v>66</v>
      </c>
      <c r="S1746" t="s">
        <v>61</v>
      </c>
    </row>
    <row r="1747" spans="1:19" x14ac:dyDescent="0.35">
      <c r="A1747" t="s">
        <v>1876</v>
      </c>
      <c r="B1747" s="5">
        <v>45747</v>
      </c>
      <c r="C1747" t="s">
        <v>109</v>
      </c>
      <c r="D1747" t="s">
        <v>85</v>
      </c>
      <c r="E1747">
        <v>1</v>
      </c>
      <c r="F1747" s="6">
        <v>180</v>
      </c>
      <c r="G1747" s="7">
        <v>0</v>
      </c>
      <c r="H1747" s="6">
        <v>180</v>
      </c>
      <c r="I1747">
        <v>0</v>
      </c>
      <c r="J1747" s="6">
        <v>0</v>
      </c>
      <c r="K1747">
        <v>1</v>
      </c>
      <c r="L1747" s="6">
        <v>180</v>
      </c>
      <c r="M1747" s="6">
        <v>148.84</v>
      </c>
      <c r="N1747" s="6">
        <v>31.16</v>
      </c>
      <c r="O1747" s="6">
        <v>22.19</v>
      </c>
      <c r="P1747" s="6">
        <v>8.9700000000000006</v>
      </c>
      <c r="Q1747" t="s">
        <v>75</v>
      </c>
      <c r="R1747" t="s">
        <v>82</v>
      </c>
      <c r="S1747" t="s">
        <v>61</v>
      </c>
    </row>
    <row r="1748" spans="1:19" x14ac:dyDescent="0.35">
      <c r="A1748" t="s">
        <v>1877</v>
      </c>
      <c r="B1748" s="5">
        <v>45754</v>
      </c>
      <c r="C1748" t="s">
        <v>69</v>
      </c>
      <c r="D1748" t="s">
        <v>70</v>
      </c>
      <c r="E1748">
        <v>6</v>
      </c>
      <c r="F1748" s="6">
        <v>210</v>
      </c>
      <c r="G1748" s="7">
        <v>0</v>
      </c>
      <c r="H1748" s="6">
        <v>1260</v>
      </c>
      <c r="I1748">
        <v>0</v>
      </c>
      <c r="J1748" s="6">
        <v>0</v>
      </c>
      <c r="K1748">
        <v>6</v>
      </c>
      <c r="L1748" s="6">
        <v>1260</v>
      </c>
      <c r="M1748" s="6">
        <v>862.55</v>
      </c>
      <c r="N1748" s="6">
        <v>397.45</v>
      </c>
      <c r="O1748" s="6">
        <v>83.33</v>
      </c>
      <c r="P1748" s="6">
        <v>314.12</v>
      </c>
      <c r="Q1748" t="s">
        <v>81</v>
      </c>
      <c r="R1748" t="s">
        <v>60</v>
      </c>
      <c r="S1748" t="s">
        <v>71</v>
      </c>
    </row>
    <row r="1749" spans="1:19" x14ac:dyDescent="0.35">
      <c r="A1749" t="s">
        <v>1878</v>
      </c>
      <c r="B1749" s="5">
        <v>45823</v>
      </c>
      <c r="C1749" t="s">
        <v>90</v>
      </c>
      <c r="D1749" t="s">
        <v>70</v>
      </c>
      <c r="E1749">
        <v>3</v>
      </c>
      <c r="F1749" s="6">
        <v>38</v>
      </c>
      <c r="G1749" s="7">
        <v>15</v>
      </c>
      <c r="H1749" s="6">
        <v>96.9</v>
      </c>
      <c r="I1749">
        <v>0</v>
      </c>
      <c r="J1749" s="6">
        <v>0</v>
      </c>
      <c r="K1749">
        <v>3</v>
      </c>
      <c r="L1749" s="6">
        <v>96.9</v>
      </c>
      <c r="M1749" s="6">
        <v>79.41</v>
      </c>
      <c r="N1749" s="6">
        <v>17.489999999999998</v>
      </c>
      <c r="O1749" s="6">
        <v>6.82</v>
      </c>
      <c r="P1749" s="6">
        <v>10.67</v>
      </c>
      <c r="Q1749" t="s">
        <v>75</v>
      </c>
      <c r="R1749" t="s">
        <v>82</v>
      </c>
      <c r="S1749" t="s">
        <v>76</v>
      </c>
    </row>
    <row r="1750" spans="1:19" x14ac:dyDescent="0.35">
      <c r="A1750" t="s">
        <v>1879</v>
      </c>
      <c r="B1750" s="5">
        <v>45759</v>
      </c>
      <c r="C1750" t="s">
        <v>97</v>
      </c>
      <c r="D1750" t="s">
        <v>57</v>
      </c>
      <c r="E1750">
        <v>3</v>
      </c>
      <c r="F1750" s="6">
        <v>55</v>
      </c>
      <c r="G1750" s="7">
        <v>2</v>
      </c>
      <c r="H1750" s="6">
        <v>161.69999999999999</v>
      </c>
      <c r="I1750">
        <v>0</v>
      </c>
      <c r="J1750" s="6">
        <v>0</v>
      </c>
      <c r="K1750">
        <v>3</v>
      </c>
      <c r="L1750" s="6">
        <v>161.69999999999999</v>
      </c>
      <c r="M1750" s="6">
        <v>137.21</v>
      </c>
      <c r="N1750" s="6">
        <v>24.49</v>
      </c>
      <c r="O1750" s="6">
        <v>17.02</v>
      </c>
      <c r="P1750" s="6">
        <v>7.47</v>
      </c>
      <c r="Q1750" t="s">
        <v>75</v>
      </c>
      <c r="R1750" t="s">
        <v>66</v>
      </c>
      <c r="S1750" t="s">
        <v>67</v>
      </c>
    </row>
    <row r="1751" spans="1:19" x14ac:dyDescent="0.35">
      <c r="A1751" t="s">
        <v>1880</v>
      </c>
      <c r="B1751" s="5">
        <v>45980</v>
      </c>
      <c r="C1751" t="s">
        <v>92</v>
      </c>
      <c r="D1751" t="s">
        <v>79</v>
      </c>
      <c r="E1751">
        <v>1</v>
      </c>
      <c r="F1751" s="6">
        <v>85</v>
      </c>
      <c r="G1751" s="7">
        <v>2</v>
      </c>
      <c r="H1751" s="6">
        <v>83.3</v>
      </c>
      <c r="I1751">
        <v>0</v>
      </c>
      <c r="J1751" s="6">
        <v>0</v>
      </c>
      <c r="K1751">
        <v>1</v>
      </c>
      <c r="L1751" s="6">
        <v>83.3</v>
      </c>
      <c r="M1751" s="6">
        <v>58.61</v>
      </c>
      <c r="N1751" s="6">
        <v>24.69</v>
      </c>
      <c r="O1751" s="6">
        <v>4.2699999999999996</v>
      </c>
      <c r="P1751" s="6">
        <v>20.420000000000002</v>
      </c>
      <c r="Q1751" t="s">
        <v>65</v>
      </c>
      <c r="R1751" t="s">
        <v>66</v>
      </c>
      <c r="S1751" t="s">
        <v>71</v>
      </c>
    </row>
    <row r="1752" spans="1:19" x14ac:dyDescent="0.35">
      <c r="A1752" t="s">
        <v>1881</v>
      </c>
      <c r="B1752" s="5">
        <v>45858</v>
      </c>
      <c r="C1752" t="s">
        <v>95</v>
      </c>
      <c r="D1752" t="s">
        <v>64</v>
      </c>
      <c r="E1752">
        <v>3</v>
      </c>
      <c r="F1752" s="6">
        <v>52</v>
      </c>
      <c r="G1752" s="7">
        <v>0</v>
      </c>
      <c r="H1752" s="6">
        <v>156</v>
      </c>
      <c r="I1752">
        <v>0</v>
      </c>
      <c r="J1752" s="6">
        <v>0</v>
      </c>
      <c r="K1752">
        <v>3</v>
      </c>
      <c r="L1752" s="6">
        <v>156</v>
      </c>
      <c r="M1752" s="6">
        <v>103.86</v>
      </c>
      <c r="N1752" s="6">
        <v>52.14</v>
      </c>
      <c r="O1752" s="6">
        <v>13.03</v>
      </c>
      <c r="P1752" s="6">
        <v>39.11</v>
      </c>
      <c r="Q1752" t="s">
        <v>65</v>
      </c>
      <c r="R1752" t="s">
        <v>66</v>
      </c>
      <c r="S1752" t="s">
        <v>76</v>
      </c>
    </row>
    <row r="1753" spans="1:19" x14ac:dyDescent="0.35">
      <c r="A1753" t="s">
        <v>1882</v>
      </c>
      <c r="B1753" s="5">
        <v>45730</v>
      </c>
      <c r="C1753" t="s">
        <v>121</v>
      </c>
      <c r="D1753" t="s">
        <v>70</v>
      </c>
      <c r="E1753">
        <v>3</v>
      </c>
      <c r="F1753" s="6">
        <v>110</v>
      </c>
      <c r="G1753" s="7">
        <v>0</v>
      </c>
      <c r="H1753" s="6">
        <v>330</v>
      </c>
      <c r="I1753">
        <v>0</v>
      </c>
      <c r="J1753" s="6">
        <v>0</v>
      </c>
      <c r="K1753">
        <v>3</v>
      </c>
      <c r="L1753" s="6">
        <v>330</v>
      </c>
      <c r="M1753" s="6">
        <v>206.66</v>
      </c>
      <c r="N1753" s="6">
        <v>123.34</v>
      </c>
      <c r="O1753" s="6">
        <v>33.049999999999997</v>
      </c>
      <c r="P1753" s="6">
        <v>90.29</v>
      </c>
      <c r="Q1753" t="s">
        <v>81</v>
      </c>
      <c r="R1753" t="s">
        <v>60</v>
      </c>
      <c r="S1753" t="s">
        <v>76</v>
      </c>
    </row>
    <row r="1754" spans="1:19" x14ac:dyDescent="0.35">
      <c r="A1754" t="s">
        <v>1883</v>
      </c>
      <c r="B1754" s="5">
        <v>45905</v>
      </c>
      <c r="C1754" t="s">
        <v>63</v>
      </c>
      <c r="D1754" t="s">
        <v>64</v>
      </c>
      <c r="E1754">
        <v>1</v>
      </c>
      <c r="F1754" s="6">
        <v>145</v>
      </c>
      <c r="G1754" s="7">
        <v>0</v>
      </c>
      <c r="H1754" s="6">
        <v>145</v>
      </c>
      <c r="I1754">
        <v>1</v>
      </c>
      <c r="J1754" s="6">
        <v>145</v>
      </c>
      <c r="K1754">
        <v>0</v>
      </c>
      <c r="L1754" s="6">
        <v>0</v>
      </c>
      <c r="M1754" s="6">
        <v>0</v>
      </c>
      <c r="N1754" s="6">
        <v>0</v>
      </c>
      <c r="O1754" s="6">
        <v>0</v>
      </c>
      <c r="P1754" s="6">
        <v>0</v>
      </c>
      <c r="R1754" t="s">
        <v>66</v>
      </c>
      <c r="S1754" t="s">
        <v>67</v>
      </c>
    </row>
    <row r="1755" spans="1:19" x14ac:dyDescent="0.35">
      <c r="A1755" t="s">
        <v>1884</v>
      </c>
      <c r="B1755" s="5">
        <v>45707</v>
      </c>
      <c r="C1755" t="s">
        <v>56</v>
      </c>
      <c r="D1755" t="s">
        <v>57</v>
      </c>
      <c r="E1755">
        <v>2</v>
      </c>
      <c r="F1755" s="6">
        <v>40</v>
      </c>
      <c r="G1755" s="7">
        <v>5</v>
      </c>
      <c r="H1755" s="6">
        <v>76</v>
      </c>
      <c r="I1755">
        <v>0</v>
      </c>
      <c r="J1755" s="6">
        <v>0</v>
      </c>
      <c r="K1755">
        <v>2</v>
      </c>
      <c r="L1755" s="6">
        <v>76</v>
      </c>
      <c r="M1755" s="6">
        <v>56.09</v>
      </c>
      <c r="N1755" s="6">
        <v>19.91</v>
      </c>
      <c r="O1755" s="6">
        <v>6.27</v>
      </c>
      <c r="P1755" s="6">
        <v>13.64</v>
      </c>
      <c r="Q1755" t="s">
        <v>59</v>
      </c>
      <c r="R1755" t="s">
        <v>82</v>
      </c>
      <c r="S1755" t="s">
        <v>71</v>
      </c>
    </row>
    <row r="1756" spans="1:19" x14ac:dyDescent="0.35">
      <c r="A1756" t="s">
        <v>1885</v>
      </c>
      <c r="B1756" s="5">
        <v>45860</v>
      </c>
      <c r="C1756" t="s">
        <v>78</v>
      </c>
      <c r="D1756" t="s">
        <v>79</v>
      </c>
      <c r="E1756">
        <v>6</v>
      </c>
      <c r="F1756" s="6">
        <v>120</v>
      </c>
      <c r="G1756" s="7">
        <v>0</v>
      </c>
      <c r="H1756" s="6">
        <v>720</v>
      </c>
      <c r="I1756">
        <v>0</v>
      </c>
      <c r="J1756" s="6">
        <v>0</v>
      </c>
      <c r="K1756">
        <v>6</v>
      </c>
      <c r="L1756" s="6">
        <v>720</v>
      </c>
      <c r="M1756" s="6">
        <v>541.41</v>
      </c>
      <c r="N1756" s="6">
        <v>178.59</v>
      </c>
      <c r="O1756" s="6">
        <v>53.27</v>
      </c>
      <c r="P1756" s="6">
        <v>125.32</v>
      </c>
      <c r="Q1756" t="s">
        <v>75</v>
      </c>
      <c r="R1756" t="s">
        <v>60</v>
      </c>
      <c r="S1756" t="s">
        <v>61</v>
      </c>
    </row>
    <row r="1757" spans="1:19" x14ac:dyDescent="0.35">
      <c r="A1757" t="s">
        <v>1886</v>
      </c>
      <c r="B1757" s="5">
        <v>45963</v>
      </c>
      <c r="C1757" t="s">
        <v>114</v>
      </c>
      <c r="D1757" t="s">
        <v>64</v>
      </c>
      <c r="E1757">
        <v>1</v>
      </c>
      <c r="F1757" s="6">
        <v>420</v>
      </c>
      <c r="G1757" s="7">
        <v>0</v>
      </c>
      <c r="H1757" s="6">
        <v>420</v>
      </c>
      <c r="I1757">
        <v>0</v>
      </c>
      <c r="J1757" s="6">
        <v>0</v>
      </c>
      <c r="K1757">
        <v>1</v>
      </c>
      <c r="L1757" s="6">
        <v>420</v>
      </c>
      <c r="M1757" s="6">
        <v>278.52999999999997</v>
      </c>
      <c r="N1757" s="6">
        <v>141.47</v>
      </c>
      <c r="O1757" s="6">
        <v>52.29</v>
      </c>
      <c r="P1757" s="6">
        <v>89.18</v>
      </c>
      <c r="Q1757" t="s">
        <v>75</v>
      </c>
      <c r="R1757" t="s">
        <v>60</v>
      </c>
      <c r="S1757" t="s">
        <v>61</v>
      </c>
    </row>
    <row r="1758" spans="1:19" x14ac:dyDescent="0.35">
      <c r="A1758" t="s">
        <v>1887</v>
      </c>
      <c r="B1758" s="5">
        <v>45868</v>
      </c>
      <c r="C1758" t="s">
        <v>104</v>
      </c>
      <c r="D1758" t="s">
        <v>105</v>
      </c>
      <c r="E1758">
        <v>2</v>
      </c>
      <c r="F1758" s="6">
        <v>65</v>
      </c>
      <c r="G1758" s="7">
        <v>0</v>
      </c>
      <c r="H1758" s="6">
        <v>130</v>
      </c>
      <c r="I1758">
        <v>0</v>
      </c>
      <c r="J1758" s="6">
        <v>0</v>
      </c>
      <c r="K1758">
        <v>2</v>
      </c>
      <c r="L1758" s="6">
        <v>130</v>
      </c>
      <c r="M1758" s="6">
        <v>100.26</v>
      </c>
      <c r="N1758" s="6">
        <v>29.74</v>
      </c>
      <c r="O1758" s="6">
        <v>13.04</v>
      </c>
      <c r="P1758" s="6">
        <v>16.7</v>
      </c>
      <c r="Q1758" t="s">
        <v>81</v>
      </c>
      <c r="R1758" t="s">
        <v>82</v>
      </c>
      <c r="S1758" t="s">
        <v>71</v>
      </c>
    </row>
    <row r="1759" spans="1:19" x14ac:dyDescent="0.35">
      <c r="A1759" t="s">
        <v>1888</v>
      </c>
      <c r="B1759" s="5">
        <v>45745</v>
      </c>
      <c r="C1759" t="s">
        <v>69</v>
      </c>
      <c r="D1759" t="s">
        <v>70</v>
      </c>
      <c r="E1759">
        <v>3</v>
      </c>
      <c r="F1759" s="6">
        <v>210</v>
      </c>
      <c r="G1759" s="7">
        <v>5</v>
      </c>
      <c r="H1759" s="6">
        <v>598.5</v>
      </c>
      <c r="I1759">
        <v>1</v>
      </c>
      <c r="J1759" s="6">
        <v>199.5</v>
      </c>
      <c r="K1759">
        <v>2</v>
      </c>
      <c r="L1759" s="6">
        <v>399</v>
      </c>
      <c r="M1759" s="6">
        <v>274.35000000000002</v>
      </c>
      <c r="N1759" s="6">
        <v>124.65</v>
      </c>
      <c r="O1759" s="6">
        <v>21.27</v>
      </c>
      <c r="P1759" s="6">
        <v>103.38</v>
      </c>
      <c r="Q1759" t="s">
        <v>75</v>
      </c>
      <c r="R1759" t="s">
        <v>82</v>
      </c>
      <c r="S1759" t="s">
        <v>76</v>
      </c>
    </row>
    <row r="1760" spans="1:19" x14ac:dyDescent="0.35">
      <c r="A1760" t="s">
        <v>1889</v>
      </c>
      <c r="B1760" s="5">
        <v>45922</v>
      </c>
      <c r="C1760" t="s">
        <v>117</v>
      </c>
      <c r="D1760" t="s">
        <v>74</v>
      </c>
      <c r="E1760">
        <v>1</v>
      </c>
      <c r="F1760" s="6">
        <v>95</v>
      </c>
      <c r="G1760" s="7">
        <v>0</v>
      </c>
      <c r="H1760" s="6">
        <v>95</v>
      </c>
      <c r="I1760">
        <v>0</v>
      </c>
      <c r="J1760" s="6">
        <v>0</v>
      </c>
      <c r="K1760">
        <v>1</v>
      </c>
      <c r="L1760" s="6">
        <v>95</v>
      </c>
      <c r="M1760" s="6">
        <v>70.88</v>
      </c>
      <c r="N1760" s="6">
        <v>24.12</v>
      </c>
      <c r="O1760" s="6">
        <v>12.12</v>
      </c>
      <c r="P1760" s="6">
        <v>12</v>
      </c>
      <c r="Q1760" t="s">
        <v>65</v>
      </c>
      <c r="R1760" t="s">
        <v>82</v>
      </c>
      <c r="S1760" t="s">
        <v>71</v>
      </c>
    </row>
    <row r="1761" spans="1:19" x14ac:dyDescent="0.35">
      <c r="A1761" t="s">
        <v>1890</v>
      </c>
      <c r="B1761" s="5">
        <v>45918</v>
      </c>
      <c r="C1761" t="s">
        <v>90</v>
      </c>
      <c r="D1761" t="s">
        <v>70</v>
      </c>
      <c r="E1761">
        <v>4</v>
      </c>
      <c r="F1761" s="6">
        <v>38</v>
      </c>
      <c r="G1761" s="7">
        <v>0</v>
      </c>
      <c r="H1761" s="6">
        <v>152</v>
      </c>
      <c r="I1761">
        <v>0</v>
      </c>
      <c r="J1761" s="6">
        <v>0</v>
      </c>
      <c r="K1761">
        <v>4</v>
      </c>
      <c r="L1761" s="6">
        <v>152</v>
      </c>
      <c r="M1761" s="6">
        <v>105.31</v>
      </c>
      <c r="N1761" s="6">
        <v>46.69</v>
      </c>
      <c r="O1761" s="6">
        <v>11.21</v>
      </c>
      <c r="P1761" s="6">
        <v>35.479999999999997</v>
      </c>
      <c r="Q1761" t="s">
        <v>81</v>
      </c>
      <c r="R1761" t="s">
        <v>60</v>
      </c>
      <c r="S1761" t="s">
        <v>71</v>
      </c>
    </row>
    <row r="1762" spans="1:19" x14ac:dyDescent="0.35">
      <c r="A1762" t="s">
        <v>1891</v>
      </c>
      <c r="B1762" s="5">
        <v>45823</v>
      </c>
      <c r="C1762" t="s">
        <v>264</v>
      </c>
      <c r="D1762" t="s">
        <v>85</v>
      </c>
      <c r="E1762">
        <v>1</v>
      </c>
      <c r="F1762" s="6">
        <v>20</v>
      </c>
      <c r="G1762" s="7">
        <v>0</v>
      </c>
      <c r="H1762" s="6">
        <v>20</v>
      </c>
      <c r="I1762">
        <v>0</v>
      </c>
      <c r="J1762" s="6">
        <v>0</v>
      </c>
      <c r="K1762">
        <v>1</v>
      </c>
      <c r="L1762" s="6">
        <v>20</v>
      </c>
      <c r="M1762" s="6">
        <v>14.73</v>
      </c>
      <c r="N1762" s="6">
        <v>5.27</v>
      </c>
      <c r="O1762" s="6">
        <v>1.17</v>
      </c>
      <c r="P1762" s="6">
        <v>4.0999999999999996</v>
      </c>
      <c r="Q1762" t="s">
        <v>75</v>
      </c>
      <c r="R1762" t="s">
        <v>82</v>
      </c>
      <c r="S1762" t="s">
        <v>76</v>
      </c>
    </row>
    <row r="1763" spans="1:19" x14ac:dyDescent="0.35">
      <c r="A1763" t="s">
        <v>1892</v>
      </c>
      <c r="B1763" s="5">
        <v>45769</v>
      </c>
      <c r="C1763" t="s">
        <v>90</v>
      </c>
      <c r="D1763" t="s">
        <v>70</v>
      </c>
      <c r="E1763">
        <v>2</v>
      </c>
      <c r="F1763" s="6">
        <v>38</v>
      </c>
      <c r="G1763" s="7">
        <v>0</v>
      </c>
      <c r="H1763" s="6">
        <v>76</v>
      </c>
      <c r="I1763">
        <v>0</v>
      </c>
      <c r="J1763" s="6">
        <v>0</v>
      </c>
      <c r="K1763">
        <v>2</v>
      </c>
      <c r="L1763" s="6">
        <v>76</v>
      </c>
      <c r="M1763" s="6">
        <v>65.099999999999994</v>
      </c>
      <c r="N1763" s="6">
        <v>10.9</v>
      </c>
      <c r="O1763" s="6">
        <v>7.83</v>
      </c>
      <c r="P1763" s="6">
        <v>3.07</v>
      </c>
      <c r="Q1763" t="s">
        <v>59</v>
      </c>
      <c r="R1763" t="s">
        <v>66</v>
      </c>
      <c r="S1763" t="s">
        <v>76</v>
      </c>
    </row>
    <row r="1764" spans="1:19" x14ac:dyDescent="0.35">
      <c r="A1764" t="s">
        <v>1893</v>
      </c>
      <c r="B1764" s="5">
        <v>45894</v>
      </c>
      <c r="C1764" t="s">
        <v>73</v>
      </c>
      <c r="D1764" t="s">
        <v>74</v>
      </c>
      <c r="E1764">
        <v>1</v>
      </c>
      <c r="F1764" s="6">
        <v>280</v>
      </c>
      <c r="G1764" s="7">
        <v>15</v>
      </c>
      <c r="H1764" s="6">
        <v>238</v>
      </c>
      <c r="I1764">
        <v>0</v>
      </c>
      <c r="J1764" s="6">
        <v>0</v>
      </c>
      <c r="K1764">
        <v>1</v>
      </c>
      <c r="L1764" s="6">
        <v>238</v>
      </c>
      <c r="M1764" s="6">
        <v>162.28</v>
      </c>
      <c r="N1764" s="6">
        <v>75.72</v>
      </c>
      <c r="O1764" s="6">
        <v>16.02</v>
      </c>
      <c r="P1764" s="6">
        <v>59.7</v>
      </c>
      <c r="Q1764" t="s">
        <v>65</v>
      </c>
      <c r="R1764" t="s">
        <v>82</v>
      </c>
    </row>
    <row r="1765" spans="1:19" x14ac:dyDescent="0.35">
      <c r="A1765" t="s">
        <v>1894</v>
      </c>
      <c r="B1765" s="5">
        <v>45751</v>
      </c>
      <c r="C1765" t="s">
        <v>107</v>
      </c>
      <c r="D1765" t="s">
        <v>74</v>
      </c>
      <c r="E1765">
        <v>2</v>
      </c>
      <c r="F1765" s="6">
        <v>125</v>
      </c>
      <c r="G1765" s="7">
        <v>0</v>
      </c>
      <c r="H1765" s="6">
        <v>250</v>
      </c>
      <c r="I1765">
        <v>0</v>
      </c>
      <c r="J1765" s="6">
        <v>0</v>
      </c>
      <c r="K1765">
        <v>2</v>
      </c>
      <c r="L1765" s="6">
        <v>250</v>
      </c>
      <c r="M1765" s="6">
        <v>200.54</v>
      </c>
      <c r="N1765" s="6">
        <v>49.46</v>
      </c>
      <c r="O1765" s="6">
        <v>19.899999999999999</v>
      </c>
      <c r="P1765" s="6">
        <v>29.56</v>
      </c>
      <c r="Q1765" t="s">
        <v>65</v>
      </c>
      <c r="R1765" t="s">
        <v>176</v>
      </c>
      <c r="S1765" t="s">
        <v>71</v>
      </c>
    </row>
    <row r="1766" spans="1:19" x14ac:dyDescent="0.35">
      <c r="A1766" t="s">
        <v>1895</v>
      </c>
      <c r="B1766" s="5">
        <v>45951</v>
      </c>
      <c r="C1766" t="s">
        <v>63</v>
      </c>
      <c r="D1766" t="s">
        <v>64</v>
      </c>
      <c r="E1766">
        <v>6</v>
      </c>
      <c r="F1766" s="6">
        <v>145</v>
      </c>
      <c r="G1766" s="7">
        <v>5</v>
      </c>
      <c r="H1766" s="6">
        <v>826.5</v>
      </c>
      <c r="I1766">
        <v>0</v>
      </c>
      <c r="J1766" s="6">
        <v>0</v>
      </c>
      <c r="K1766">
        <v>6</v>
      </c>
      <c r="L1766" s="6">
        <v>826.5</v>
      </c>
      <c r="M1766" s="6">
        <v>623.70000000000005</v>
      </c>
      <c r="N1766" s="6">
        <v>202.8</v>
      </c>
      <c r="O1766" s="6">
        <v>75.06</v>
      </c>
      <c r="P1766" s="6">
        <v>127.74</v>
      </c>
      <c r="R1766" t="s">
        <v>147</v>
      </c>
      <c r="S1766" t="s">
        <v>76</v>
      </c>
    </row>
    <row r="1767" spans="1:19" x14ac:dyDescent="0.35">
      <c r="A1767" t="s">
        <v>1896</v>
      </c>
      <c r="B1767" s="5">
        <v>45715</v>
      </c>
      <c r="C1767" t="s">
        <v>264</v>
      </c>
      <c r="D1767" t="s">
        <v>85</v>
      </c>
      <c r="E1767">
        <v>2</v>
      </c>
      <c r="F1767" s="6">
        <v>20</v>
      </c>
      <c r="G1767" s="7">
        <v>0</v>
      </c>
      <c r="H1767" s="6">
        <v>40</v>
      </c>
      <c r="I1767">
        <v>0</v>
      </c>
      <c r="J1767" s="6">
        <v>0</v>
      </c>
      <c r="K1767">
        <v>2</v>
      </c>
      <c r="L1767" s="6">
        <v>40</v>
      </c>
      <c r="M1767" s="6">
        <v>26.3</v>
      </c>
      <c r="N1767" s="6">
        <v>13.7</v>
      </c>
      <c r="O1767" s="6">
        <v>4.79</v>
      </c>
      <c r="P1767" s="6">
        <v>8.91</v>
      </c>
      <c r="Q1767" t="s">
        <v>75</v>
      </c>
      <c r="R1767" t="s">
        <v>60</v>
      </c>
      <c r="S1767" t="s">
        <v>61</v>
      </c>
    </row>
    <row r="1768" spans="1:19" x14ac:dyDescent="0.35">
      <c r="A1768" t="s">
        <v>1897</v>
      </c>
      <c r="B1768" s="5">
        <v>45720</v>
      </c>
      <c r="C1768" t="s">
        <v>84</v>
      </c>
      <c r="D1768" t="s">
        <v>85</v>
      </c>
      <c r="E1768">
        <v>5</v>
      </c>
      <c r="F1768" s="6">
        <v>48</v>
      </c>
      <c r="G1768" s="7">
        <v>10</v>
      </c>
      <c r="H1768" s="6">
        <v>216</v>
      </c>
      <c r="I1768">
        <v>0</v>
      </c>
      <c r="J1768" s="6">
        <v>0</v>
      </c>
      <c r="K1768">
        <v>5</v>
      </c>
      <c r="L1768" s="6">
        <v>216</v>
      </c>
      <c r="M1768" s="6">
        <v>165.38</v>
      </c>
      <c r="N1768" s="6">
        <v>50.62</v>
      </c>
      <c r="O1768" s="6">
        <v>11.07</v>
      </c>
      <c r="P1768" s="6">
        <v>39.549999999999997</v>
      </c>
      <c r="Q1768" t="s">
        <v>65</v>
      </c>
      <c r="R1768" t="s">
        <v>86</v>
      </c>
      <c r="S1768" t="s">
        <v>67</v>
      </c>
    </row>
    <row r="1769" spans="1:19" x14ac:dyDescent="0.35">
      <c r="A1769" t="s">
        <v>1898</v>
      </c>
      <c r="B1769" s="5">
        <v>45950</v>
      </c>
      <c r="C1769" t="s">
        <v>100</v>
      </c>
      <c r="D1769" t="s">
        <v>64</v>
      </c>
      <c r="E1769">
        <v>4</v>
      </c>
      <c r="F1769" s="6">
        <v>310</v>
      </c>
      <c r="G1769" s="7">
        <v>10</v>
      </c>
      <c r="H1769" s="6">
        <v>1116</v>
      </c>
      <c r="I1769">
        <v>0</v>
      </c>
      <c r="J1769" s="6">
        <v>0</v>
      </c>
      <c r="K1769">
        <v>4</v>
      </c>
      <c r="L1769" s="6">
        <v>1116</v>
      </c>
      <c r="M1769" s="6">
        <v>781</v>
      </c>
      <c r="N1769" s="6">
        <v>335</v>
      </c>
      <c r="O1769" s="6">
        <v>57.01</v>
      </c>
      <c r="P1769" s="6">
        <v>277.99</v>
      </c>
      <c r="Q1769" t="s">
        <v>65</v>
      </c>
      <c r="R1769" t="s">
        <v>86</v>
      </c>
      <c r="S1769" t="s">
        <v>67</v>
      </c>
    </row>
    <row r="1770" spans="1:19" x14ac:dyDescent="0.35">
      <c r="A1770" t="s">
        <v>1899</v>
      </c>
      <c r="B1770" s="5">
        <v>45734</v>
      </c>
      <c r="C1770" t="s">
        <v>69</v>
      </c>
      <c r="D1770" t="s">
        <v>70</v>
      </c>
      <c r="E1770">
        <v>1</v>
      </c>
      <c r="F1770" s="6">
        <v>210</v>
      </c>
      <c r="G1770" s="7">
        <v>2</v>
      </c>
      <c r="H1770" s="6">
        <v>205.8</v>
      </c>
      <c r="I1770">
        <v>0</v>
      </c>
      <c r="J1770" s="6">
        <v>0</v>
      </c>
      <c r="K1770">
        <v>1</v>
      </c>
      <c r="L1770" s="6">
        <v>205.8</v>
      </c>
      <c r="M1770" s="6">
        <v>167.92</v>
      </c>
      <c r="N1770" s="6">
        <v>37.880000000000003</v>
      </c>
      <c r="O1770" s="6">
        <v>24.72</v>
      </c>
      <c r="P1770" s="6">
        <v>13.16</v>
      </c>
      <c r="Q1770" t="s">
        <v>75</v>
      </c>
      <c r="R1770" t="s">
        <v>82</v>
      </c>
      <c r="S1770" t="s">
        <v>67</v>
      </c>
    </row>
    <row r="1771" spans="1:19" x14ac:dyDescent="0.35">
      <c r="A1771" t="s">
        <v>1900</v>
      </c>
      <c r="B1771" s="5">
        <v>45760</v>
      </c>
      <c r="C1771" t="s">
        <v>56</v>
      </c>
      <c r="D1771" t="s">
        <v>57</v>
      </c>
      <c r="E1771">
        <v>2</v>
      </c>
      <c r="F1771" s="6">
        <v>40</v>
      </c>
      <c r="G1771" s="7">
        <v>0</v>
      </c>
      <c r="H1771" s="6">
        <v>80</v>
      </c>
      <c r="I1771">
        <v>0</v>
      </c>
      <c r="J1771" s="6">
        <v>0</v>
      </c>
      <c r="K1771">
        <v>2</v>
      </c>
      <c r="L1771" s="6">
        <v>80</v>
      </c>
      <c r="M1771" s="6">
        <v>55.65</v>
      </c>
      <c r="N1771" s="6">
        <v>24.35</v>
      </c>
      <c r="O1771" s="6">
        <v>6.22</v>
      </c>
      <c r="P1771" s="6">
        <v>18.13</v>
      </c>
      <c r="Q1771" t="s">
        <v>59</v>
      </c>
      <c r="R1771" t="s">
        <v>86</v>
      </c>
      <c r="S1771" t="s">
        <v>76</v>
      </c>
    </row>
    <row r="1772" spans="1:19" x14ac:dyDescent="0.35">
      <c r="A1772" t="s">
        <v>1901</v>
      </c>
      <c r="B1772" s="5">
        <v>45693</v>
      </c>
      <c r="C1772" t="s">
        <v>56</v>
      </c>
      <c r="D1772" t="s">
        <v>57</v>
      </c>
      <c r="E1772">
        <v>8</v>
      </c>
      <c r="F1772" s="6">
        <v>40</v>
      </c>
      <c r="G1772" s="7">
        <v>10</v>
      </c>
      <c r="H1772" s="6">
        <v>288</v>
      </c>
      <c r="I1772">
        <v>0</v>
      </c>
      <c r="J1772" s="6">
        <v>0</v>
      </c>
      <c r="K1772">
        <v>8</v>
      </c>
      <c r="L1772" s="6">
        <v>288</v>
      </c>
      <c r="M1772" s="6">
        <v>179.82</v>
      </c>
      <c r="N1772" s="6">
        <v>108.18</v>
      </c>
      <c r="O1772" s="6">
        <v>25.83</v>
      </c>
      <c r="P1772" s="6">
        <v>82.35</v>
      </c>
      <c r="Q1772" t="s">
        <v>59</v>
      </c>
      <c r="R1772" t="s">
        <v>82</v>
      </c>
      <c r="S1772" t="s">
        <v>76</v>
      </c>
    </row>
    <row r="1773" spans="1:19" x14ac:dyDescent="0.35">
      <c r="A1773" t="s">
        <v>1902</v>
      </c>
      <c r="B1773" s="5">
        <v>46008</v>
      </c>
      <c r="C1773" t="s">
        <v>264</v>
      </c>
      <c r="D1773" t="s">
        <v>85</v>
      </c>
      <c r="E1773">
        <v>1</v>
      </c>
      <c r="F1773" s="6">
        <v>20</v>
      </c>
      <c r="G1773" s="7">
        <v>0</v>
      </c>
      <c r="H1773" s="6">
        <v>20</v>
      </c>
      <c r="I1773">
        <v>0</v>
      </c>
      <c r="J1773" s="6">
        <v>0</v>
      </c>
      <c r="K1773">
        <v>1</v>
      </c>
      <c r="L1773" s="6">
        <v>20</v>
      </c>
      <c r="M1773" s="6">
        <v>16.07</v>
      </c>
      <c r="N1773" s="6">
        <v>3.93</v>
      </c>
      <c r="O1773" s="6">
        <v>1.9</v>
      </c>
      <c r="P1773" s="6">
        <v>2.0299999999999998</v>
      </c>
      <c r="Q1773" t="s">
        <v>75</v>
      </c>
      <c r="R1773" t="s">
        <v>86</v>
      </c>
      <c r="S1773" t="s">
        <v>71</v>
      </c>
    </row>
    <row r="1774" spans="1:19" x14ac:dyDescent="0.35">
      <c r="A1774" t="s">
        <v>1903</v>
      </c>
      <c r="B1774" s="5">
        <v>45968</v>
      </c>
      <c r="C1774" t="s">
        <v>121</v>
      </c>
      <c r="D1774" t="s">
        <v>70</v>
      </c>
      <c r="E1774">
        <v>4</v>
      </c>
      <c r="F1774" s="6">
        <v>110</v>
      </c>
      <c r="G1774" s="7">
        <v>0</v>
      </c>
      <c r="H1774" s="6">
        <v>440</v>
      </c>
      <c r="I1774">
        <v>0</v>
      </c>
      <c r="J1774" s="6">
        <v>0</v>
      </c>
      <c r="K1774">
        <v>4</v>
      </c>
      <c r="L1774" s="6">
        <v>440</v>
      </c>
      <c r="M1774" s="6">
        <v>364.11</v>
      </c>
      <c r="N1774" s="6">
        <v>75.89</v>
      </c>
      <c r="O1774" s="6">
        <v>22.84</v>
      </c>
      <c r="P1774" s="6">
        <v>53.05</v>
      </c>
      <c r="Q1774" t="s">
        <v>81</v>
      </c>
      <c r="R1774" t="s">
        <v>60</v>
      </c>
      <c r="S1774" t="s">
        <v>61</v>
      </c>
    </row>
    <row r="1775" spans="1:19" x14ac:dyDescent="0.35">
      <c r="A1775" t="s">
        <v>1904</v>
      </c>
      <c r="B1775" s="5">
        <v>45682</v>
      </c>
      <c r="C1775" t="s">
        <v>109</v>
      </c>
      <c r="D1775" t="s">
        <v>85</v>
      </c>
      <c r="E1775">
        <v>6</v>
      </c>
      <c r="F1775" s="6">
        <v>180</v>
      </c>
      <c r="G1775" s="7">
        <v>10</v>
      </c>
      <c r="H1775" s="6">
        <v>972</v>
      </c>
      <c r="I1775">
        <v>0</v>
      </c>
      <c r="J1775" s="6">
        <v>0</v>
      </c>
      <c r="K1775">
        <v>6</v>
      </c>
      <c r="L1775" s="6">
        <v>972</v>
      </c>
      <c r="M1775" s="6">
        <v>724.99</v>
      </c>
      <c r="N1775" s="6">
        <v>247.01</v>
      </c>
      <c r="O1775" s="6">
        <v>92.55</v>
      </c>
      <c r="P1775" s="6">
        <v>154.46</v>
      </c>
      <c r="Q1775" t="s">
        <v>59</v>
      </c>
      <c r="R1775" t="s">
        <v>66</v>
      </c>
      <c r="S1775" t="s">
        <v>61</v>
      </c>
    </row>
    <row r="1776" spans="1:19" x14ac:dyDescent="0.35">
      <c r="A1776" t="s">
        <v>1905</v>
      </c>
      <c r="B1776" s="5">
        <v>45740</v>
      </c>
      <c r="C1776" t="s">
        <v>107</v>
      </c>
      <c r="D1776" t="s">
        <v>74</v>
      </c>
      <c r="E1776">
        <v>2</v>
      </c>
      <c r="F1776" s="6">
        <v>125</v>
      </c>
      <c r="G1776" s="7">
        <v>5</v>
      </c>
      <c r="H1776" s="6">
        <v>237.5</v>
      </c>
      <c r="I1776">
        <v>0</v>
      </c>
      <c r="J1776" s="6">
        <v>0</v>
      </c>
      <c r="K1776">
        <v>2</v>
      </c>
      <c r="L1776" s="6">
        <v>237.5</v>
      </c>
      <c r="M1776" s="6">
        <v>203.16</v>
      </c>
      <c r="N1776" s="6">
        <v>34.340000000000003</v>
      </c>
      <c r="O1776" s="6">
        <v>28.49</v>
      </c>
      <c r="P1776" s="6">
        <v>5.85</v>
      </c>
      <c r="Q1776" t="s">
        <v>59</v>
      </c>
      <c r="R1776" t="s">
        <v>82</v>
      </c>
      <c r="S1776" t="s">
        <v>71</v>
      </c>
    </row>
    <row r="1777" spans="1:19" x14ac:dyDescent="0.35">
      <c r="A1777" t="s">
        <v>1906</v>
      </c>
      <c r="B1777" s="5">
        <v>45839</v>
      </c>
      <c r="C1777" t="s">
        <v>107</v>
      </c>
      <c r="D1777" t="s">
        <v>74</v>
      </c>
      <c r="E1777">
        <v>1</v>
      </c>
      <c r="F1777" s="6">
        <v>125</v>
      </c>
      <c r="G1777" s="7">
        <v>0</v>
      </c>
      <c r="H1777" s="6">
        <v>125</v>
      </c>
      <c r="I1777">
        <v>0</v>
      </c>
      <c r="J1777" s="6">
        <v>0</v>
      </c>
      <c r="K1777">
        <v>1</v>
      </c>
      <c r="L1777" s="6">
        <v>125</v>
      </c>
      <c r="M1777" s="6">
        <v>80.55</v>
      </c>
      <c r="N1777" s="6">
        <v>44.45</v>
      </c>
      <c r="O1777" s="6">
        <v>8.3000000000000007</v>
      </c>
      <c r="P1777" s="6">
        <v>36.15</v>
      </c>
      <c r="Q1777" t="s">
        <v>59</v>
      </c>
      <c r="R1777" t="s">
        <v>66</v>
      </c>
      <c r="S1777" t="s">
        <v>76</v>
      </c>
    </row>
    <row r="1778" spans="1:19" x14ac:dyDescent="0.35">
      <c r="A1778" t="s">
        <v>1907</v>
      </c>
      <c r="B1778" s="5">
        <v>45800</v>
      </c>
      <c r="C1778" t="s">
        <v>84</v>
      </c>
      <c r="D1778" t="s">
        <v>85</v>
      </c>
      <c r="E1778">
        <v>8</v>
      </c>
      <c r="F1778" s="6">
        <v>48</v>
      </c>
      <c r="G1778" s="7">
        <v>0</v>
      </c>
      <c r="H1778" s="6">
        <v>384</v>
      </c>
      <c r="I1778">
        <v>0</v>
      </c>
      <c r="J1778" s="6">
        <v>0</v>
      </c>
      <c r="K1778">
        <v>8</v>
      </c>
      <c r="L1778" s="6">
        <v>384</v>
      </c>
      <c r="M1778" s="6">
        <v>285.06</v>
      </c>
      <c r="N1778" s="6">
        <v>98.94</v>
      </c>
      <c r="O1778" s="6">
        <v>43.97</v>
      </c>
      <c r="P1778" s="6">
        <v>54.97</v>
      </c>
      <c r="Q1778" t="s">
        <v>65</v>
      </c>
      <c r="R1778" t="s">
        <v>86</v>
      </c>
      <c r="S1778" t="s">
        <v>71</v>
      </c>
    </row>
    <row r="1779" spans="1:19" x14ac:dyDescent="0.35">
      <c r="A1779" t="s">
        <v>1908</v>
      </c>
      <c r="B1779" s="5">
        <v>45938</v>
      </c>
      <c r="C1779" t="s">
        <v>97</v>
      </c>
      <c r="D1779" t="s">
        <v>57</v>
      </c>
      <c r="E1779" t="s">
        <v>58</v>
      </c>
      <c r="F1779" s="6">
        <v>55</v>
      </c>
      <c r="G1779" s="7">
        <v>0</v>
      </c>
      <c r="H1779" s="6">
        <v>275</v>
      </c>
      <c r="I1779">
        <v>0</v>
      </c>
      <c r="J1779" s="6">
        <v>0</v>
      </c>
      <c r="K1779">
        <v>5</v>
      </c>
      <c r="L1779" s="6">
        <v>275</v>
      </c>
      <c r="M1779" s="6">
        <v>173.16</v>
      </c>
      <c r="N1779" s="6">
        <v>101.84</v>
      </c>
      <c r="O1779" s="6">
        <v>23.11</v>
      </c>
      <c r="P1779" s="6">
        <v>78.73</v>
      </c>
      <c r="Q1779" t="s">
        <v>65</v>
      </c>
      <c r="R1779" t="s">
        <v>82</v>
      </c>
      <c r="S1779" t="s">
        <v>76</v>
      </c>
    </row>
    <row r="1780" spans="1:19" x14ac:dyDescent="0.35">
      <c r="A1780" t="s">
        <v>1909</v>
      </c>
      <c r="B1780" s="5">
        <v>45856</v>
      </c>
      <c r="C1780" t="s">
        <v>69</v>
      </c>
      <c r="D1780" t="s">
        <v>70</v>
      </c>
      <c r="E1780">
        <v>5</v>
      </c>
      <c r="F1780" s="6">
        <v>210</v>
      </c>
      <c r="G1780" s="7">
        <v>10</v>
      </c>
      <c r="H1780" s="6">
        <v>945</v>
      </c>
      <c r="I1780">
        <v>0</v>
      </c>
      <c r="J1780" s="6">
        <v>0</v>
      </c>
      <c r="K1780">
        <v>5</v>
      </c>
      <c r="L1780" s="6">
        <v>945</v>
      </c>
      <c r="M1780" s="6">
        <v>653.45000000000005</v>
      </c>
      <c r="N1780" s="6">
        <v>291.55</v>
      </c>
      <c r="O1780" s="6">
        <v>58.72</v>
      </c>
      <c r="P1780" s="6">
        <v>232.83</v>
      </c>
      <c r="Q1780" t="s">
        <v>65</v>
      </c>
      <c r="R1780" t="s">
        <v>60</v>
      </c>
      <c r="S1780" t="s">
        <v>61</v>
      </c>
    </row>
    <row r="1781" spans="1:19" x14ac:dyDescent="0.35">
      <c r="A1781" t="s">
        <v>1910</v>
      </c>
      <c r="B1781" s="5">
        <v>45734</v>
      </c>
      <c r="C1781" t="s">
        <v>264</v>
      </c>
      <c r="D1781" t="s">
        <v>85</v>
      </c>
      <c r="E1781">
        <v>3</v>
      </c>
      <c r="F1781" s="6">
        <v>20</v>
      </c>
      <c r="G1781" s="7">
        <v>5</v>
      </c>
      <c r="H1781" s="6">
        <v>57</v>
      </c>
      <c r="I1781">
        <v>0</v>
      </c>
      <c r="J1781" s="6">
        <v>0</v>
      </c>
      <c r="K1781">
        <v>3</v>
      </c>
      <c r="L1781" s="6">
        <v>57</v>
      </c>
      <c r="M1781" s="6">
        <v>38.42</v>
      </c>
      <c r="N1781" s="6">
        <v>18.579999999999998</v>
      </c>
      <c r="O1781" s="6">
        <v>6.66</v>
      </c>
      <c r="P1781" s="6">
        <v>11.92</v>
      </c>
      <c r="Q1781" t="s">
        <v>59</v>
      </c>
      <c r="R1781" t="s">
        <v>66</v>
      </c>
      <c r="S1781" t="s">
        <v>61</v>
      </c>
    </row>
    <row r="1782" spans="1:19" x14ac:dyDescent="0.35">
      <c r="A1782" t="s">
        <v>1911</v>
      </c>
      <c r="B1782" s="5">
        <v>45721</v>
      </c>
      <c r="C1782" t="s">
        <v>90</v>
      </c>
      <c r="D1782" t="s">
        <v>70</v>
      </c>
      <c r="E1782">
        <v>1</v>
      </c>
      <c r="F1782" s="6">
        <v>38</v>
      </c>
      <c r="G1782" s="7">
        <v>0</v>
      </c>
      <c r="H1782" s="6">
        <v>38</v>
      </c>
      <c r="I1782">
        <v>0</v>
      </c>
      <c r="J1782" s="6">
        <v>0</v>
      </c>
      <c r="K1782">
        <v>1</v>
      </c>
      <c r="L1782" s="6">
        <v>38</v>
      </c>
      <c r="M1782" s="6">
        <v>25.32</v>
      </c>
      <c r="N1782" s="6">
        <v>12.68</v>
      </c>
      <c r="O1782" s="6">
        <v>2.4700000000000002</v>
      </c>
      <c r="P1782" s="6">
        <v>10.210000000000001</v>
      </c>
      <c r="Q1782" t="s">
        <v>59</v>
      </c>
      <c r="R1782" t="s">
        <v>86</v>
      </c>
      <c r="S1782" t="s">
        <v>71</v>
      </c>
    </row>
    <row r="1783" spans="1:19" x14ac:dyDescent="0.35">
      <c r="A1783" t="s">
        <v>1912</v>
      </c>
      <c r="B1783" s="5">
        <v>45755</v>
      </c>
      <c r="C1783" t="s">
        <v>97</v>
      </c>
      <c r="D1783" t="s">
        <v>57</v>
      </c>
      <c r="E1783">
        <v>2</v>
      </c>
      <c r="F1783" s="6">
        <v>55</v>
      </c>
      <c r="G1783" s="7">
        <v>10</v>
      </c>
      <c r="H1783" s="6">
        <v>99</v>
      </c>
      <c r="I1783">
        <v>0</v>
      </c>
      <c r="J1783" s="6">
        <v>0</v>
      </c>
      <c r="K1783">
        <v>2</v>
      </c>
      <c r="L1783" s="6">
        <v>99</v>
      </c>
      <c r="M1783" s="6">
        <v>62.04</v>
      </c>
      <c r="N1783" s="6">
        <v>36.96</v>
      </c>
      <c r="O1783" s="6">
        <v>9.4700000000000006</v>
      </c>
      <c r="P1783" s="6">
        <v>27.49</v>
      </c>
      <c r="Q1783" t="s">
        <v>65</v>
      </c>
      <c r="R1783" t="s">
        <v>60</v>
      </c>
      <c r="S1783" t="s">
        <v>71</v>
      </c>
    </row>
    <row r="1784" spans="1:19" x14ac:dyDescent="0.35">
      <c r="A1784" t="s">
        <v>1913</v>
      </c>
      <c r="B1784" s="5">
        <v>45824</v>
      </c>
      <c r="C1784" t="s">
        <v>73</v>
      </c>
      <c r="D1784" t="s">
        <v>74</v>
      </c>
      <c r="E1784">
        <v>6</v>
      </c>
      <c r="F1784" s="6">
        <v>280</v>
      </c>
      <c r="G1784" s="7">
        <v>5</v>
      </c>
      <c r="H1784" s="6">
        <v>1596</v>
      </c>
      <c r="I1784">
        <v>0</v>
      </c>
      <c r="J1784" s="6">
        <v>0</v>
      </c>
      <c r="K1784">
        <v>6</v>
      </c>
      <c r="L1784" s="6">
        <v>1596</v>
      </c>
      <c r="M1784" s="6">
        <v>1083.45</v>
      </c>
      <c r="N1784" s="6">
        <v>512.54999999999995</v>
      </c>
      <c r="O1784" s="6">
        <v>81.41</v>
      </c>
      <c r="P1784" s="6">
        <v>431.14</v>
      </c>
      <c r="Q1784" t="s">
        <v>59</v>
      </c>
      <c r="R1784" t="s">
        <v>82</v>
      </c>
      <c r="S1784" t="s">
        <v>67</v>
      </c>
    </row>
    <row r="1785" spans="1:19" x14ac:dyDescent="0.35">
      <c r="A1785" t="s">
        <v>1914</v>
      </c>
      <c r="B1785" s="5">
        <v>45966</v>
      </c>
      <c r="C1785" t="s">
        <v>121</v>
      </c>
      <c r="D1785" t="s">
        <v>70</v>
      </c>
      <c r="E1785">
        <v>1</v>
      </c>
      <c r="F1785" s="6">
        <v>110</v>
      </c>
      <c r="G1785" s="7">
        <v>0</v>
      </c>
      <c r="H1785" s="6">
        <v>110</v>
      </c>
      <c r="I1785">
        <v>0</v>
      </c>
      <c r="J1785" s="6">
        <v>0</v>
      </c>
      <c r="K1785">
        <v>1</v>
      </c>
      <c r="L1785" s="6">
        <v>110</v>
      </c>
      <c r="M1785" s="6">
        <v>82.29</v>
      </c>
      <c r="N1785" s="6">
        <v>27.71</v>
      </c>
      <c r="O1785" s="6">
        <v>12.31</v>
      </c>
      <c r="P1785" s="6">
        <v>15.4</v>
      </c>
      <c r="Q1785" t="s">
        <v>59</v>
      </c>
      <c r="R1785" t="s">
        <v>60</v>
      </c>
      <c r="S1785" t="s">
        <v>71</v>
      </c>
    </row>
    <row r="1786" spans="1:19" x14ac:dyDescent="0.35">
      <c r="A1786" t="s">
        <v>1915</v>
      </c>
      <c r="B1786" s="5">
        <v>45859</v>
      </c>
      <c r="C1786" t="s">
        <v>78</v>
      </c>
      <c r="D1786" t="s">
        <v>79</v>
      </c>
      <c r="E1786">
        <v>1</v>
      </c>
      <c r="F1786" s="6">
        <v>120</v>
      </c>
      <c r="G1786" s="7">
        <v>0</v>
      </c>
      <c r="H1786" s="6">
        <v>120</v>
      </c>
      <c r="I1786">
        <v>0</v>
      </c>
      <c r="J1786" s="6">
        <v>0</v>
      </c>
      <c r="K1786">
        <v>1</v>
      </c>
      <c r="L1786" s="6">
        <v>120</v>
      </c>
      <c r="M1786" s="6">
        <v>93.22</v>
      </c>
      <c r="N1786" s="6">
        <v>26.78</v>
      </c>
      <c r="O1786" s="6">
        <v>7.78</v>
      </c>
      <c r="P1786" s="6">
        <v>19</v>
      </c>
      <c r="Q1786" t="s">
        <v>59</v>
      </c>
      <c r="R1786" t="s">
        <v>66</v>
      </c>
      <c r="S1786" t="s">
        <v>76</v>
      </c>
    </row>
    <row r="1787" spans="1:19" x14ac:dyDescent="0.35">
      <c r="A1787" t="s">
        <v>1916</v>
      </c>
      <c r="B1787" s="5">
        <v>45997</v>
      </c>
      <c r="C1787" t="s">
        <v>643</v>
      </c>
      <c r="D1787" t="s">
        <v>70</v>
      </c>
      <c r="E1787">
        <v>5</v>
      </c>
      <c r="F1787" s="6">
        <v>210</v>
      </c>
      <c r="G1787" s="7">
        <v>2</v>
      </c>
      <c r="H1787" s="6">
        <v>1029</v>
      </c>
      <c r="I1787">
        <v>0</v>
      </c>
      <c r="J1787" s="6">
        <v>0</v>
      </c>
      <c r="K1787">
        <v>5</v>
      </c>
      <c r="L1787" s="6">
        <v>1029</v>
      </c>
      <c r="M1787" s="6">
        <v>767.69</v>
      </c>
      <c r="N1787" s="6">
        <v>261.31</v>
      </c>
      <c r="O1787" s="6">
        <v>53.07</v>
      </c>
      <c r="P1787" s="6">
        <v>208.24</v>
      </c>
      <c r="Q1787" t="s">
        <v>59</v>
      </c>
      <c r="R1787" t="s">
        <v>86</v>
      </c>
      <c r="S1787" t="s">
        <v>61</v>
      </c>
    </row>
    <row r="1788" spans="1:19" x14ac:dyDescent="0.35">
      <c r="A1788" t="s">
        <v>1917</v>
      </c>
      <c r="B1788" s="5">
        <v>45879</v>
      </c>
      <c r="C1788" t="s">
        <v>84</v>
      </c>
      <c r="D1788" t="s">
        <v>85</v>
      </c>
      <c r="E1788">
        <v>1</v>
      </c>
      <c r="F1788" s="6">
        <v>48</v>
      </c>
      <c r="G1788" s="7">
        <v>0</v>
      </c>
      <c r="H1788" s="6">
        <v>48</v>
      </c>
      <c r="I1788">
        <v>0</v>
      </c>
      <c r="J1788" s="6">
        <v>0</v>
      </c>
      <c r="K1788">
        <v>1</v>
      </c>
      <c r="L1788" s="6">
        <v>48</v>
      </c>
      <c r="M1788" s="6">
        <v>30.01</v>
      </c>
      <c r="N1788" s="6">
        <v>17.989999999999998</v>
      </c>
      <c r="O1788" s="6">
        <v>4.6399999999999997</v>
      </c>
      <c r="P1788" s="6">
        <v>13.35</v>
      </c>
      <c r="Q1788" t="s">
        <v>81</v>
      </c>
      <c r="R1788" t="s">
        <v>66</v>
      </c>
      <c r="S1788" t="s">
        <v>61</v>
      </c>
    </row>
    <row r="1789" spans="1:19" x14ac:dyDescent="0.35">
      <c r="A1789" t="s">
        <v>1918</v>
      </c>
      <c r="B1789" s="5">
        <v>45778</v>
      </c>
      <c r="C1789" t="s">
        <v>90</v>
      </c>
      <c r="D1789" t="s">
        <v>70</v>
      </c>
      <c r="E1789">
        <v>2</v>
      </c>
      <c r="F1789" s="6">
        <v>38</v>
      </c>
      <c r="G1789" s="7">
        <v>0</v>
      </c>
      <c r="H1789" s="6">
        <v>76</v>
      </c>
      <c r="I1789">
        <v>0</v>
      </c>
      <c r="J1789" s="6">
        <v>0</v>
      </c>
      <c r="K1789">
        <v>2</v>
      </c>
      <c r="L1789" s="6">
        <v>76</v>
      </c>
      <c r="M1789" s="6">
        <v>49.9</v>
      </c>
      <c r="N1789" s="6">
        <v>26.1</v>
      </c>
      <c r="O1789" s="6">
        <v>4.5999999999999996</v>
      </c>
      <c r="P1789" s="6">
        <v>21.5</v>
      </c>
      <c r="Q1789" t="s">
        <v>75</v>
      </c>
      <c r="R1789" t="s">
        <v>60</v>
      </c>
      <c r="S1789" t="s">
        <v>76</v>
      </c>
    </row>
    <row r="1790" spans="1:19" x14ac:dyDescent="0.35">
      <c r="A1790" t="s">
        <v>1919</v>
      </c>
      <c r="B1790" s="5">
        <v>45712</v>
      </c>
      <c r="C1790" t="s">
        <v>109</v>
      </c>
      <c r="D1790" t="s">
        <v>85</v>
      </c>
      <c r="E1790">
        <v>5</v>
      </c>
      <c r="F1790" s="6">
        <v>180</v>
      </c>
      <c r="G1790" s="7">
        <v>0</v>
      </c>
      <c r="H1790" s="6">
        <v>900</v>
      </c>
      <c r="I1790">
        <v>0</v>
      </c>
      <c r="J1790" s="6">
        <v>0</v>
      </c>
      <c r="K1790">
        <v>5</v>
      </c>
      <c r="L1790" s="6">
        <v>900</v>
      </c>
      <c r="M1790" s="6">
        <v>566.12</v>
      </c>
      <c r="N1790" s="6">
        <v>333.88</v>
      </c>
      <c r="O1790" s="6">
        <v>109.69</v>
      </c>
      <c r="P1790" s="6">
        <v>224.19</v>
      </c>
      <c r="Q1790" t="s">
        <v>65</v>
      </c>
      <c r="R1790" t="s">
        <v>60</v>
      </c>
      <c r="S1790" t="s">
        <v>76</v>
      </c>
    </row>
    <row r="1791" spans="1:19" x14ac:dyDescent="0.35">
      <c r="A1791" t="s">
        <v>1920</v>
      </c>
      <c r="B1791" s="5">
        <v>45801</v>
      </c>
      <c r="C1791" t="s">
        <v>114</v>
      </c>
      <c r="D1791" t="s">
        <v>64</v>
      </c>
      <c r="E1791">
        <v>4</v>
      </c>
      <c r="F1791" s="6">
        <v>420</v>
      </c>
      <c r="G1791" s="7">
        <v>2</v>
      </c>
      <c r="H1791" s="6">
        <v>1646.4</v>
      </c>
      <c r="I1791">
        <v>0</v>
      </c>
      <c r="J1791" s="6">
        <v>0</v>
      </c>
      <c r="K1791">
        <v>4</v>
      </c>
      <c r="L1791" s="6">
        <v>1646.4</v>
      </c>
      <c r="M1791" s="6">
        <v>1305.53</v>
      </c>
      <c r="N1791" s="6">
        <v>340.87</v>
      </c>
      <c r="O1791" s="6">
        <v>193.65</v>
      </c>
      <c r="P1791" s="6">
        <v>147.22</v>
      </c>
      <c r="Q1791" t="s">
        <v>59</v>
      </c>
      <c r="R1791" t="s">
        <v>82</v>
      </c>
      <c r="S1791" t="s">
        <v>76</v>
      </c>
    </row>
    <row r="1792" spans="1:19" x14ac:dyDescent="0.35">
      <c r="A1792" t="s">
        <v>1921</v>
      </c>
      <c r="B1792" s="5">
        <v>45925</v>
      </c>
      <c r="C1792" t="s">
        <v>73</v>
      </c>
      <c r="D1792" t="s">
        <v>74</v>
      </c>
      <c r="E1792">
        <v>2</v>
      </c>
      <c r="F1792" s="6">
        <v>280</v>
      </c>
      <c r="G1792" s="7">
        <v>0</v>
      </c>
      <c r="H1792" s="6">
        <v>560</v>
      </c>
      <c r="I1792">
        <v>0</v>
      </c>
      <c r="J1792" s="6">
        <v>0</v>
      </c>
      <c r="K1792">
        <v>2</v>
      </c>
      <c r="L1792" s="6">
        <v>560</v>
      </c>
      <c r="M1792" s="6">
        <v>359.88</v>
      </c>
      <c r="N1792" s="6">
        <v>200.12</v>
      </c>
      <c r="O1792" s="6">
        <v>72.05</v>
      </c>
      <c r="P1792" s="6">
        <v>128.07</v>
      </c>
      <c r="Q1792" t="s">
        <v>65</v>
      </c>
      <c r="R1792" t="s">
        <v>66</v>
      </c>
      <c r="S1792" t="s">
        <v>76</v>
      </c>
    </row>
    <row r="1793" spans="1:19" x14ac:dyDescent="0.35">
      <c r="A1793" t="s">
        <v>1922</v>
      </c>
      <c r="B1793" s="5">
        <v>45772</v>
      </c>
      <c r="C1793" t="s">
        <v>163</v>
      </c>
      <c r="D1793" t="s">
        <v>79</v>
      </c>
      <c r="E1793">
        <v>8</v>
      </c>
      <c r="F1793" s="6">
        <v>85</v>
      </c>
      <c r="G1793" s="7">
        <v>5</v>
      </c>
      <c r="H1793" s="6">
        <v>646</v>
      </c>
      <c r="I1793">
        <v>0</v>
      </c>
      <c r="J1793" s="6">
        <v>0</v>
      </c>
      <c r="K1793">
        <v>8</v>
      </c>
      <c r="L1793" s="6">
        <v>646</v>
      </c>
      <c r="M1793" s="6">
        <v>502.78</v>
      </c>
      <c r="N1793" s="6">
        <v>143.22</v>
      </c>
      <c r="O1793" s="6">
        <v>36.21</v>
      </c>
      <c r="P1793" s="6">
        <v>107.01</v>
      </c>
      <c r="Q1793" t="s">
        <v>65</v>
      </c>
      <c r="R1793" t="s">
        <v>60</v>
      </c>
      <c r="S1793" t="s">
        <v>76</v>
      </c>
    </row>
    <row r="1794" spans="1:19" x14ac:dyDescent="0.35">
      <c r="A1794" t="s">
        <v>1923</v>
      </c>
      <c r="B1794" s="5">
        <v>45723</v>
      </c>
      <c r="C1794" t="s">
        <v>125</v>
      </c>
      <c r="D1794" t="s">
        <v>85</v>
      </c>
      <c r="E1794">
        <v>4</v>
      </c>
      <c r="F1794" s="6">
        <v>125</v>
      </c>
      <c r="G1794" s="7">
        <v>5</v>
      </c>
      <c r="H1794" s="6">
        <v>475</v>
      </c>
      <c r="I1794">
        <v>0</v>
      </c>
      <c r="J1794" s="6">
        <v>0</v>
      </c>
      <c r="K1794">
        <v>4</v>
      </c>
      <c r="L1794" s="6">
        <v>475</v>
      </c>
      <c r="M1794" s="6">
        <v>354.14</v>
      </c>
      <c r="N1794" s="6">
        <v>120.86</v>
      </c>
      <c r="O1794" s="6">
        <v>55.1</v>
      </c>
      <c r="P1794" s="6">
        <v>65.760000000000005</v>
      </c>
      <c r="Q1794" t="s">
        <v>59</v>
      </c>
      <c r="R1794" t="s">
        <v>60</v>
      </c>
      <c r="S1794" t="s">
        <v>76</v>
      </c>
    </row>
    <row r="1795" spans="1:19" x14ac:dyDescent="0.35">
      <c r="A1795" t="s">
        <v>1924</v>
      </c>
      <c r="B1795" s="5">
        <v>45955</v>
      </c>
      <c r="C1795" t="s">
        <v>104</v>
      </c>
      <c r="D1795" t="s">
        <v>105</v>
      </c>
      <c r="E1795">
        <v>3</v>
      </c>
      <c r="F1795" s="6">
        <v>65</v>
      </c>
      <c r="G1795" s="7">
        <v>0</v>
      </c>
      <c r="H1795" s="6">
        <v>195</v>
      </c>
      <c r="I1795">
        <v>0</v>
      </c>
      <c r="J1795" s="6">
        <v>0</v>
      </c>
      <c r="K1795">
        <v>3</v>
      </c>
      <c r="L1795" s="6">
        <v>195</v>
      </c>
      <c r="M1795" s="6">
        <v>151.83000000000001</v>
      </c>
      <c r="N1795" s="6">
        <v>43.17</v>
      </c>
      <c r="O1795" s="6">
        <v>12.97</v>
      </c>
      <c r="P1795" s="6">
        <v>30.2</v>
      </c>
      <c r="Q1795" t="s">
        <v>65</v>
      </c>
      <c r="R1795" t="s">
        <v>86</v>
      </c>
      <c r="S1795" t="s">
        <v>67</v>
      </c>
    </row>
    <row r="1796" spans="1:19" x14ac:dyDescent="0.35">
      <c r="A1796" t="s">
        <v>1925</v>
      </c>
      <c r="B1796" s="5">
        <v>45689</v>
      </c>
      <c r="C1796" t="s">
        <v>56</v>
      </c>
      <c r="D1796" t="s">
        <v>57</v>
      </c>
      <c r="E1796">
        <v>5</v>
      </c>
      <c r="F1796" s="6">
        <v>40</v>
      </c>
      <c r="G1796" s="7">
        <v>2</v>
      </c>
      <c r="H1796" s="6">
        <v>196</v>
      </c>
      <c r="I1796">
        <v>0</v>
      </c>
      <c r="J1796" s="6">
        <v>0</v>
      </c>
      <c r="K1796">
        <v>5</v>
      </c>
      <c r="L1796" s="6">
        <v>196</v>
      </c>
      <c r="M1796" s="6">
        <v>138.74</v>
      </c>
      <c r="N1796" s="6">
        <v>57.26</v>
      </c>
      <c r="O1796" s="6">
        <v>9.93</v>
      </c>
      <c r="P1796" s="6">
        <v>47.33</v>
      </c>
      <c r="Q1796" t="s">
        <v>65</v>
      </c>
      <c r="R1796" t="s">
        <v>60</v>
      </c>
      <c r="S1796" t="s">
        <v>61</v>
      </c>
    </row>
    <row r="1797" spans="1:19" x14ac:dyDescent="0.35">
      <c r="A1797" t="s">
        <v>1926</v>
      </c>
      <c r="B1797" s="5">
        <v>45952</v>
      </c>
      <c r="C1797" t="s">
        <v>56</v>
      </c>
      <c r="D1797" t="s">
        <v>57</v>
      </c>
      <c r="E1797">
        <v>5</v>
      </c>
      <c r="F1797" s="6">
        <v>40</v>
      </c>
      <c r="G1797" s="7">
        <v>0</v>
      </c>
      <c r="H1797" s="6">
        <v>200</v>
      </c>
      <c r="I1797">
        <v>0</v>
      </c>
      <c r="J1797" s="6">
        <v>0</v>
      </c>
      <c r="K1797">
        <v>5</v>
      </c>
      <c r="L1797" s="6">
        <v>200</v>
      </c>
      <c r="M1797" s="6">
        <v>129.61000000000001</v>
      </c>
      <c r="N1797" s="6">
        <v>70.39</v>
      </c>
      <c r="O1797" s="6">
        <v>25.74</v>
      </c>
      <c r="P1797" s="6">
        <v>44.65</v>
      </c>
      <c r="Q1797" t="s">
        <v>65</v>
      </c>
      <c r="R1797" t="s">
        <v>66</v>
      </c>
      <c r="S1797" t="s">
        <v>61</v>
      </c>
    </row>
    <row r="1798" spans="1:19" x14ac:dyDescent="0.35">
      <c r="A1798" t="s">
        <v>1927</v>
      </c>
      <c r="B1798" s="5">
        <v>45867</v>
      </c>
      <c r="C1798" t="s">
        <v>107</v>
      </c>
      <c r="D1798" t="s">
        <v>74</v>
      </c>
      <c r="E1798">
        <v>2</v>
      </c>
      <c r="F1798" s="6">
        <v>125</v>
      </c>
      <c r="G1798" s="7">
        <v>0</v>
      </c>
      <c r="H1798" s="6">
        <v>250</v>
      </c>
      <c r="I1798">
        <v>0</v>
      </c>
      <c r="J1798" s="6">
        <v>0</v>
      </c>
      <c r="K1798">
        <v>2</v>
      </c>
      <c r="L1798" s="6">
        <v>250</v>
      </c>
      <c r="M1798" s="6">
        <v>202.35</v>
      </c>
      <c r="N1798" s="6">
        <v>47.65</v>
      </c>
      <c r="O1798" s="6">
        <v>13.08</v>
      </c>
      <c r="P1798" s="6">
        <v>34.57</v>
      </c>
      <c r="Q1798" t="s">
        <v>65</v>
      </c>
      <c r="R1798" t="s">
        <v>66</v>
      </c>
      <c r="S1798" t="s">
        <v>76</v>
      </c>
    </row>
    <row r="1799" spans="1:19" x14ac:dyDescent="0.35">
      <c r="A1799" t="s">
        <v>1928</v>
      </c>
      <c r="B1799" s="5">
        <v>45737</v>
      </c>
      <c r="C1799" t="s">
        <v>121</v>
      </c>
      <c r="D1799" t="s">
        <v>70</v>
      </c>
      <c r="E1799">
        <v>2</v>
      </c>
      <c r="F1799" s="6">
        <v>110</v>
      </c>
      <c r="G1799" s="7">
        <v>2</v>
      </c>
      <c r="H1799" s="6">
        <v>215.6</v>
      </c>
      <c r="I1799">
        <v>0</v>
      </c>
      <c r="J1799" s="6">
        <v>0</v>
      </c>
      <c r="K1799">
        <v>2</v>
      </c>
      <c r="L1799" s="6">
        <v>215.6</v>
      </c>
      <c r="M1799" s="6">
        <v>175.06</v>
      </c>
      <c r="N1799" s="6">
        <v>40.54</v>
      </c>
      <c r="O1799" s="6">
        <v>14.66</v>
      </c>
      <c r="P1799" s="6">
        <v>25.88</v>
      </c>
      <c r="Q1799" t="s">
        <v>75</v>
      </c>
      <c r="R1799" t="s">
        <v>60</v>
      </c>
      <c r="S1799" t="s">
        <v>61</v>
      </c>
    </row>
    <row r="1800" spans="1:19" x14ac:dyDescent="0.35">
      <c r="A1800" t="s">
        <v>1929</v>
      </c>
      <c r="B1800" s="5">
        <v>45672</v>
      </c>
      <c r="C1800" t="s">
        <v>97</v>
      </c>
      <c r="D1800" t="s">
        <v>57</v>
      </c>
      <c r="E1800">
        <v>1</v>
      </c>
      <c r="F1800" s="6">
        <v>55</v>
      </c>
      <c r="G1800" s="7">
        <v>5</v>
      </c>
      <c r="H1800" s="6">
        <v>52.25</v>
      </c>
      <c r="I1800">
        <v>0</v>
      </c>
      <c r="J1800" s="6">
        <v>0</v>
      </c>
      <c r="K1800">
        <v>1</v>
      </c>
      <c r="L1800" s="6">
        <v>52.25</v>
      </c>
      <c r="M1800" s="6">
        <v>40.32</v>
      </c>
      <c r="N1800" s="6">
        <v>11.93</v>
      </c>
      <c r="O1800" s="6">
        <v>3.17</v>
      </c>
      <c r="P1800" s="6">
        <v>8.76</v>
      </c>
      <c r="Q1800" t="s">
        <v>75</v>
      </c>
      <c r="R1800" t="s">
        <v>82</v>
      </c>
      <c r="S1800" t="s">
        <v>71</v>
      </c>
    </row>
    <row r="1801" spans="1:19" x14ac:dyDescent="0.35">
      <c r="A1801" t="s">
        <v>1930</v>
      </c>
      <c r="B1801" s="5">
        <v>45839</v>
      </c>
      <c r="C1801" t="s">
        <v>69</v>
      </c>
      <c r="D1801" t="s">
        <v>70</v>
      </c>
      <c r="E1801">
        <v>4</v>
      </c>
      <c r="F1801" s="6">
        <v>210</v>
      </c>
      <c r="G1801" s="7">
        <v>0</v>
      </c>
      <c r="H1801" s="6">
        <v>840</v>
      </c>
      <c r="I1801">
        <v>0</v>
      </c>
      <c r="J1801" s="6">
        <v>0</v>
      </c>
      <c r="K1801">
        <v>4</v>
      </c>
      <c r="L1801" s="6">
        <v>840</v>
      </c>
      <c r="M1801" s="6">
        <v>630.99</v>
      </c>
      <c r="N1801" s="6">
        <v>209.01</v>
      </c>
      <c r="O1801" s="6">
        <v>108.92</v>
      </c>
      <c r="P1801" s="6">
        <v>100.09</v>
      </c>
      <c r="Q1801" t="s">
        <v>59</v>
      </c>
      <c r="R1801" t="s">
        <v>86</v>
      </c>
      <c r="S1801" t="s">
        <v>76</v>
      </c>
    </row>
    <row r="1802" spans="1:19" x14ac:dyDescent="0.35">
      <c r="A1802" t="s">
        <v>1931</v>
      </c>
      <c r="B1802" s="5">
        <v>45810</v>
      </c>
      <c r="C1802" t="s">
        <v>92</v>
      </c>
      <c r="D1802" t="s">
        <v>79</v>
      </c>
      <c r="E1802">
        <v>4</v>
      </c>
      <c r="F1802" s="6">
        <v>85</v>
      </c>
      <c r="G1802" s="7">
        <v>0</v>
      </c>
      <c r="H1802" s="6">
        <v>340</v>
      </c>
      <c r="I1802">
        <v>0</v>
      </c>
      <c r="J1802" s="6">
        <v>0</v>
      </c>
      <c r="K1802">
        <v>4</v>
      </c>
      <c r="L1802" s="6">
        <v>340</v>
      </c>
      <c r="M1802" s="6">
        <v>224.75</v>
      </c>
      <c r="N1802" s="6">
        <v>115.25</v>
      </c>
      <c r="O1802" s="6">
        <v>26.69</v>
      </c>
      <c r="P1802" s="6">
        <v>88.56</v>
      </c>
      <c r="Q1802" t="s">
        <v>65</v>
      </c>
      <c r="R1802" t="s">
        <v>82</v>
      </c>
      <c r="S1802" t="s">
        <v>76</v>
      </c>
    </row>
    <row r="1803" spans="1:19" x14ac:dyDescent="0.35">
      <c r="A1803" t="s">
        <v>1932</v>
      </c>
      <c r="B1803" s="5">
        <v>45889</v>
      </c>
      <c r="C1803" t="s">
        <v>90</v>
      </c>
      <c r="D1803" t="s">
        <v>70</v>
      </c>
      <c r="E1803">
        <v>2</v>
      </c>
      <c r="F1803" s="6">
        <v>38</v>
      </c>
      <c r="G1803" s="7">
        <v>5</v>
      </c>
      <c r="H1803" s="6">
        <v>72.2</v>
      </c>
      <c r="I1803">
        <v>0</v>
      </c>
      <c r="J1803" s="6">
        <v>0</v>
      </c>
      <c r="K1803">
        <v>2</v>
      </c>
      <c r="L1803" s="6">
        <v>72.2</v>
      </c>
      <c r="M1803" s="6">
        <v>52.71</v>
      </c>
      <c r="N1803" s="6">
        <v>19.489999999999998</v>
      </c>
      <c r="O1803" s="6">
        <v>9.3000000000000007</v>
      </c>
      <c r="P1803" s="6">
        <v>10.19</v>
      </c>
      <c r="Q1803" t="s">
        <v>65</v>
      </c>
      <c r="R1803" t="s">
        <v>60</v>
      </c>
      <c r="S1803" t="s">
        <v>76</v>
      </c>
    </row>
    <row r="1804" spans="1:19" x14ac:dyDescent="0.35">
      <c r="A1804" t="s">
        <v>1933</v>
      </c>
      <c r="B1804" s="5">
        <v>45925</v>
      </c>
      <c r="C1804" t="s">
        <v>121</v>
      </c>
      <c r="D1804" t="s">
        <v>70</v>
      </c>
      <c r="E1804">
        <v>1</v>
      </c>
      <c r="F1804" s="6">
        <v>110</v>
      </c>
      <c r="G1804" s="7">
        <v>0</v>
      </c>
      <c r="H1804" s="6">
        <v>110</v>
      </c>
      <c r="I1804">
        <v>0</v>
      </c>
      <c r="J1804" s="6">
        <v>0</v>
      </c>
      <c r="K1804">
        <v>1</v>
      </c>
      <c r="L1804" s="6">
        <v>110</v>
      </c>
      <c r="M1804" s="6">
        <v>85.06</v>
      </c>
      <c r="N1804" s="6">
        <v>24.94</v>
      </c>
      <c r="O1804" s="6">
        <v>13.07</v>
      </c>
      <c r="P1804" s="6">
        <v>11.87</v>
      </c>
      <c r="Q1804" t="s">
        <v>75</v>
      </c>
      <c r="R1804" t="s">
        <v>86</v>
      </c>
      <c r="S1804" t="s">
        <v>71</v>
      </c>
    </row>
    <row r="1805" spans="1:19" x14ac:dyDescent="0.35">
      <c r="A1805" t="s">
        <v>1934</v>
      </c>
      <c r="B1805" s="5">
        <v>45984</v>
      </c>
      <c r="C1805" t="s">
        <v>125</v>
      </c>
      <c r="D1805" t="s">
        <v>85</v>
      </c>
      <c r="E1805">
        <v>1</v>
      </c>
      <c r="F1805" s="6">
        <v>125</v>
      </c>
      <c r="G1805" s="7">
        <v>5</v>
      </c>
      <c r="H1805" s="6">
        <v>118.75</v>
      </c>
      <c r="I1805">
        <v>0</v>
      </c>
      <c r="J1805" s="6">
        <v>0</v>
      </c>
      <c r="K1805">
        <v>1</v>
      </c>
      <c r="L1805" s="6">
        <v>118.75</v>
      </c>
      <c r="M1805" s="6">
        <v>95.57</v>
      </c>
      <c r="N1805" s="6">
        <v>23.18</v>
      </c>
      <c r="O1805" s="6">
        <v>13.28</v>
      </c>
      <c r="P1805" s="6">
        <v>9.9</v>
      </c>
      <c r="Q1805" t="s">
        <v>81</v>
      </c>
      <c r="R1805" t="s">
        <v>366</v>
      </c>
      <c r="S1805" t="s">
        <v>71</v>
      </c>
    </row>
    <row r="1806" spans="1:19" x14ac:dyDescent="0.35">
      <c r="A1806" t="s">
        <v>1935</v>
      </c>
      <c r="B1806" s="5">
        <v>45740</v>
      </c>
      <c r="C1806" t="s">
        <v>117</v>
      </c>
      <c r="D1806" t="s">
        <v>74</v>
      </c>
      <c r="E1806">
        <v>2</v>
      </c>
      <c r="F1806" s="6">
        <v>95</v>
      </c>
      <c r="G1806" s="7">
        <v>0</v>
      </c>
      <c r="H1806" s="6">
        <v>190</v>
      </c>
      <c r="I1806">
        <v>0</v>
      </c>
      <c r="J1806" s="6">
        <v>0</v>
      </c>
      <c r="K1806">
        <v>2</v>
      </c>
      <c r="L1806" s="6">
        <v>190</v>
      </c>
      <c r="M1806" s="6">
        <v>159.11000000000001</v>
      </c>
      <c r="N1806" s="6">
        <v>30.89</v>
      </c>
      <c r="O1806" s="6">
        <v>12.77</v>
      </c>
      <c r="P1806" s="6">
        <v>18.12</v>
      </c>
      <c r="Q1806" t="s">
        <v>59</v>
      </c>
      <c r="R1806" t="s">
        <v>147</v>
      </c>
      <c r="S1806" t="s">
        <v>71</v>
      </c>
    </row>
    <row r="1807" spans="1:19" x14ac:dyDescent="0.35">
      <c r="A1807" t="s">
        <v>1936</v>
      </c>
      <c r="B1807" s="5">
        <v>45845</v>
      </c>
      <c r="C1807" t="s">
        <v>109</v>
      </c>
      <c r="D1807" t="s">
        <v>85</v>
      </c>
      <c r="E1807">
        <v>3</v>
      </c>
      <c r="F1807" s="6">
        <v>180</v>
      </c>
      <c r="G1807" s="7">
        <v>2</v>
      </c>
      <c r="H1807" s="6">
        <v>529.20000000000005</v>
      </c>
      <c r="I1807">
        <v>0</v>
      </c>
      <c r="J1807" s="6">
        <v>0</v>
      </c>
      <c r="K1807">
        <v>3</v>
      </c>
      <c r="L1807" s="6">
        <v>529.20000000000005</v>
      </c>
      <c r="M1807" s="6">
        <v>337.95</v>
      </c>
      <c r="N1807" s="6">
        <v>191.25</v>
      </c>
      <c r="O1807" s="6">
        <v>32.36</v>
      </c>
      <c r="P1807" s="6">
        <v>158.88999999999999</v>
      </c>
      <c r="Q1807" t="s">
        <v>65</v>
      </c>
      <c r="R1807" t="s">
        <v>66</v>
      </c>
      <c r="S1807" t="s">
        <v>61</v>
      </c>
    </row>
    <row r="1808" spans="1:19" x14ac:dyDescent="0.35">
      <c r="A1808" t="s">
        <v>1937</v>
      </c>
      <c r="B1808" s="5">
        <v>45886</v>
      </c>
      <c r="C1808" t="s">
        <v>107</v>
      </c>
      <c r="D1808" t="s">
        <v>74</v>
      </c>
      <c r="E1808">
        <v>3</v>
      </c>
      <c r="F1808" s="6">
        <v>125</v>
      </c>
      <c r="G1808" s="7">
        <v>0</v>
      </c>
      <c r="H1808" s="6">
        <v>375</v>
      </c>
      <c r="I1808">
        <v>0</v>
      </c>
      <c r="J1808" s="6">
        <v>0</v>
      </c>
      <c r="K1808">
        <v>3</v>
      </c>
      <c r="L1808" s="6">
        <v>375</v>
      </c>
      <c r="M1808" s="6">
        <v>269.57</v>
      </c>
      <c r="N1808" s="6">
        <v>105.43</v>
      </c>
      <c r="O1808" s="6">
        <v>30.91</v>
      </c>
      <c r="P1808" s="6">
        <v>74.52</v>
      </c>
      <c r="Q1808" t="s">
        <v>75</v>
      </c>
      <c r="R1808" t="s">
        <v>66</v>
      </c>
      <c r="S1808" t="s">
        <v>67</v>
      </c>
    </row>
    <row r="1809" spans="1:19" x14ac:dyDescent="0.35">
      <c r="A1809" t="s">
        <v>1938</v>
      </c>
      <c r="B1809" s="5">
        <v>46004</v>
      </c>
      <c r="C1809" t="s">
        <v>121</v>
      </c>
      <c r="D1809" t="s">
        <v>70</v>
      </c>
      <c r="E1809">
        <v>2</v>
      </c>
      <c r="F1809" s="6">
        <v>110</v>
      </c>
      <c r="G1809" s="7">
        <v>0</v>
      </c>
      <c r="H1809" s="6">
        <v>220</v>
      </c>
      <c r="I1809">
        <v>0</v>
      </c>
      <c r="J1809" s="6">
        <v>0</v>
      </c>
      <c r="K1809">
        <v>2</v>
      </c>
      <c r="L1809" s="6">
        <v>220</v>
      </c>
      <c r="M1809" s="6">
        <v>155.16999999999999</v>
      </c>
      <c r="N1809" s="6">
        <v>64.83</v>
      </c>
      <c r="O1809" s="6">
        <v>15.3</v>
      </c>
      <c r="P1809" s="6">
        <v>49.53</v>
      </c>
      <c r="Q1809" t="s">
        <v>75</v>
      </c>
      <c r="R1809" t="s">
        <v>66</v>
      </c>
      <c r="S1809" t="s">
        <v>67</v>
      </c>
    </row>
    <row r="1810" spans="1:19" x14ac:dyDescent="0.35">
      <c r="A1810" t="s">
        <v>1939</v>
      </c>
      <c r="B1810" s="5">
        <v>45944</v>
      </c>
      <c r="C1810" t="s">
        <v>92</v>
      </c>
      <c r="D1810" t="s">
        <v>79</v>
      </c>
      <c r="E1810">
        <v>3</v>
      </c>
      <c r="F1810" s="6">
        <v>85</v>
      </c>
      <c r="G1810" s="7">
        <v>0</v>
      </c>
      <c r="H1810" s="6">
        <v>255</v>
      </c>
      <c r="I1810">
        <v>0</v>
      </c>
      <c r="J1810" s="6">
        <v>0</v>
      </c>
      <c r="K1810">
        <v>3</v>
      </c>
      <c r="L1810" s="6">
        <v>255</v>
      </c>
      <c r="M1810" s="6">
        <v>185.71</v>
      </c>
      <c r="N1810" s="6">
        <v>69.290000000000006</v>
      </c>
      <c r="O1810" s="6">
        <v>31.16</v>
      </c>
      <c r="P1810" s="6">
        <v>38.130000000000003</v>
      </c>
      <c r="Q1810" t="s">
        <v>75</v>
      </c>
      <c r="R1810" t="s">
        <v>60</v>
      </c>
      <c r="S1810" t="s">
        <v>76</v>
      </c>
    </row>
    <row r="1811" spans="1:19" x14ac:dyDescent="0.35">
      <c r="A1811" t="s">
        <v>1940</v>
      </c>
      <c r="B1811" s="5">
        <v>45834</v>
      </c>
      <c r="C1811" t="s">
        <v>88</v>
      </c>
      <c r="D1811" t="s">
        <v>57</v>
      </c>
      <c r="E1811">
        <v>6</v>
      </c>
      <c r="F1811" s="6">
        <v>30</v>
      </c>
      <c r="G1811" s="7">
        <v>15</v>
      </c>
      <c r="H1811" s="6">
        <v>153</v>
      </c>
      <c r="I1811">
        <v>0</v>
      </c>
      <c r="J1811" s="6">
        <v>0</v>
      </c>
      <c r="K1811">
        <v>6</v>
      </c>
      <c r="L1811" s="6">
        <v>153</v>
      </c>
      <c r="M1811" s="6">
        <v>95.81</v>
      </c>
      <c r="N1811" s="6">
        <v>57.19</v>
      </c>
      <c r="O1811" s="6">
        <v>11.6</v>
      </c>
      <c r="P1811" s="6">
        <v>45.59</v>
      </c>
      <c r="Q1811" t="s">
        <v>59</v>
      </c>
      <c r="R1811" t="s">
        <v>82</v>
      </c>
      <c r="S1811" t="s">
        <v>67</v>
      </c>
    </row>
    <row r="1812" spans="1:19" x14ac:dyDescent="0.35">
      <c r="A1812" t="s">
        <v>1941</v>
      </c>
      <c r="B1812" s="5">
        <v>45773</v>
      </c>
      <c r="C1812" t="s">
        <v>78</v>
      </c>
      <c r="D1812" t="s">
        <v>79</v>
      </c>
      <c r="E1812">
        <v>2</v>
      </c>
      <c r="F1812" s="6">
        <v>120</v>
      </c>
      <c r="G1812" s="7">
        <v>10</v>
      </c>
      <c r="H1812" s="6">
        <v>216</v>
      </c>
      <c r="I1812">
        <v>0</v>
      </c>
      <c r="J1812" s="6">
        <v>0</v>
      </c>
      <c r="K1812">
        <v>2</v>
      </c>
      <c r="L1812" s="6">
        <v>216</v>
      </c>
      <c r="M1812" s="6">
        <v>145.37</v>
      </c>
      <c r="N1812" s="6">
        <v>70.63</v>
      </c>
      <c r="O1812" s="6">
        <v>26.52</v>
      </c>
      <c r="P1812" s="6">
        <v>44.11</v>
      </c>
      <c r="Q1812" t="s">
        <v>75</v>
      </c>
      <c r="R1812" t="s">
        <v>82</v>
      </c>
      <c r="S1812" t="s">
        <v>71</v>
      </c>
    </row>
    <row r="1813" spans="1:19" x14ac:dyDescent="0.35">
      <c r="A1813" t="s">
        <v>1942</v>
      </c>
      <c r="B1813" s="5">
        <v>45724</v>
      </c>
      <c r="C1813" t="s">
        <v>125</v>
      </c>
      <c r="D1813" t="s">
        <v>85</v>
      </c>
      <c r="E1813">
        <v>2</v>
      </c>
      <c r="F1813" s="6">
        <v>125</v>
      </c>
      <c r="G1813" s="7">
        <v>0</v>
      </c>
      <c r="H1813" s="6">
        <v>250</v>
      </c>
      <c r="I1813">
        <v>0</v>
      </c>
      <c r="J1813" s="6">
        <v>0</v>
      </c>
      <c r="K1813">
        <v>2</v>
      </c>
      <c r="L1813" s="6">
        <v>250</v>
      </c>
      <c r="M1813" s="6">
        <v>183.15</v>
      </c>
      <c r="N1813" s="6">
        <v>66.849999999999994</v>
      </c>
      <c r="O1813" s="6">
        <v>22.8</v>
      </c>
      <c r="P1813" s="6">
        <v>44.05</v>
      </c>
      <c r="Q1813" t="s">
        <v>75</v>
      </c>
      <c r="R1813" t="s">
        <v>86</v>
      </c>
      <c r="S1813" t="s">
        <v>71</v>
      </c>
    </row>
    <row r="1814" spans="1:19" x14ac:dyDescent="0.35">
      <c r="A1814" t="s">
        <v>1943</v>
      </c>
      <c r="B1814" s="5">
        <v>45754</v>
      </c>
      <c r="C1814" t="s">
        <v>264</v>
      </c>
      <c r="D1814" t="s">
        <v>85</v>
      </c>
      <c r="E1814">
        <v>3</v>
      </c>
      <c r="F1814" s="6">
        <v>20</v>
      </c>
      <c r="G1814" s="7">
        <v>0</v>
      </c>
      <c r="H1814" s="6">
        <v>60</v>
      </c>
      <c r="I1814">
        <v>0</v>
      </c>
      <c r="J1814" s="6">
        <v>0</v>
      </c>
      <c r="K1814">
        <v>3</v>
      </c>
      <c r="L1814" s="6">
        <v>60</v>
      </c>
      <c r="M1814" s="6">
        <v>51.35</v>
      </c>
      <c r="N1814" s="6">
        <v>8.65</v>
      </c>
      <c r="O1814" s="6">
        <v>5.34</v>
      </c>
      <c r="P1814" s="6">
        <v>3.31</v>
      </c>
      <c r="Q1814" t="s">
        <v>59</v>
      </c>
      <c r="R1814" t="s">
        <v>66</v>
      </c>
      <c r="S1814" t="s">
        <v>67</v>
      </c>
    </row>
    <row r="1815" spans="1:19" x14ac:dyDescent="0.35">
      <c r="A1815" t="s">
        <v>1944</v>
      </c>
      <c r="B1815" s="5">
        <v>45792</v>
      </c>
      <c r="C1815" t="s">
        <v>100</v>
      </c>
      <c r="D1815" t="s">
        <v>64</v>
      </c>
      <c r="E1815">
        <v>2</v>
      </c>
      <c r="F1815" s="6">
        <v>310</v>
      </c>
      <c r="G1815" s="7">
        <v>2</v>
      </c>
      <c r="H1815" s="6">
        <v>607.6</v>
      </c>
      <c r="I1815">
        <v>0</v>
      </c>
      <c r="J1815" s="6">
        <v>0</v>
      </c>
      <c r="K1815">
        <v>2</v>
      </c>
      <c r="L1815" s="6">
        <v>607.6</v>
      </c>
      <c r="M1815" s="6">
        <v>425.54</v>
      </c>
      <c r="N1815" s="6">
        <v>182.06</v>
      </c>
      <c r="O1815" s="6">
        <v>62.16</v>
      </c>
      <c r="P1815" s="6">
        <v>119.9</v>
      </c>
      <c r="Q1815" t="s">
        <v>81</v>
      </c>
      <c r="R1815" t="s">
        <v>82</v>
      </c>
      <c r="S1815" t="s">
        <v>61</v>
      </c>
    </row>
    <row r="1816" spans="1:19" x14ac:dyDescent="0.35">
      <c r="A1816" t="s">
        <v>1945</v>
      </c>
      <c r="B1816" s="5">
        <v>45724</v>
      </c>
      <c r="C1816" t="s">
        <v>109</v>
      </c>
      <c r="D1816" t="s">
        <v>85</v>
      </c>
      <c r="E1816">
        <v>2</v>
      </c>
      <c r="F1816" s="6">
        <v>180</v>
      </c>
      <c r="G1816" s="7">
        <v>0</v>
      </c>
      <c r="H1816" s="6">
        <v>360</v>
      </c>
      <c r="I1816">
        <v>0</v>
      </c>
      <c r="J1816" s="6">
        <v>0</v>
      </c>
      <c r="K1816">
        <v>2</v>
      </c>
      <c r="L1816" s="6">
        <v>360</v>
      </c>
      <c r="M1816" s="6">
        <v>281.92</v>
      </c>
      <c r="N1816" s="6">
        <v>78.08</v>
      </c>
      <c r="O1816" s="6">
        <v>23.01</v>
      </c>
      <c r="P1816" s="6">
        <v>55.07</v>
      </c>
      <c r="Q1816" t="s">
        <v>65</v>
      </c>
      <c r="S1816" t="s">
        <v>67</v>
      </c>
    </row>
    <row r="1817" spans="1:19" x14ac:dyDescent="0.35">
      <c r="A1817" t="s">
        <v>1946</v>
      </c>
      <c r="B1817" s="5">
        <v>45919</v>
      </c>
      <c r="C1817" t="s">
        <v>100</v>
      </c>
      <c r="D1817" t="s">
        <v>64</v>
      </c>
      <c r="E1817">
        <v>5</v>
      </c>
      <c r="F1817" s="6">
        <v>310</v>
      </c>
      <c r="G1817" s="7">
        <v>10</v>
      </c>
      <c r="H1817" s="6">
        <v>1395</v>
      </c>
      <c r="I1817">
        <v>0</v>
      </c>
      <c r="J1817" s="6">
        <v>0</v>
      </c>
      <c r="K1817">
        <v>5</v>
      </c>
      <c r="L1817" s="6">
        <v>1395</v>
      </c>
      <c r="M1817" s="6">
        <v>950.95</v>
      </c>
      <c r="N1817" s="6">
        <v>444.05</v>
      </c>
      <c r="O1817" s="6">
        <v>125.39</v>
      </c>
      <c r="P1817" s="6">
        <v>318.66000000000003</v>
      </c>
      <c r="Q1817" t="s">
        <v>65</v>
      </c>
      <c r="R1817" t="s">
        <v>66</v>
      </c>
      <c r="S1817" t="s">
        <v>61</v>
      </c>
    </row>
    <row r="1818" spans="1:19" x14ac:dyDescent="0.35">
      <c r="A1818" t="s">
        <v>1947</v>
      </c>
      <c r="B1818" s="5">
        <v>45728</v>
      </c>
      <c r="C1818" t="s">
        <v>84</v>
      </c>
      <c r="D1818" t="s">
        <v>85</v>
      </c>
      <c r="E1818">
        <v>5</v>
      </c>
      <c r="F1818" s="6">
        <v>48</v>
      </c>
      <c r="G1818" s="7">
        <v>2</v>
      </c>
      <c r="H1818" s="6">
        <v>235.2</v>
      </c>
      <c r="I1818">
        <v>0</v>
      </c>
      <c r="J1818" s="6">
        <v>0</v>
      </c>
      <c r="K1818">
        <v>5</v>
      </c>
      <c r="L1818" s="6">
        <v>235.2</v>
      </c>
      <c r="M1818" s="6">
        <v>165.43</v>
      </c>
      <c r="N1818" s="6">
        <v>69.77</v>
      </c>
      <c r="O1818" s="6">
        <v>18.3</v>
      </c>
      <c r="P1818" s="6">
        <v>51.47</v>
      </c>
      <c r="Q1818" t="s">
        <v>75</v>
      </c>
      <c r="R1818" t="s">
        <v>86</v>
      </c>
      <c r="S1818" t="s">
        <v>67</v>
      </c>
    </row>
    <row r="1819" spans="1:19" x14ac:dyDescent="0.35">
      <c r="A1819" t="s">
        <v>1948</v>
      </c>
      <c r="B1819" s="5">
        <v>45913</v>
      </c>
      <c r="C1819" t="s">
        <v>109</v>
      </c>
      <c r="D1819" t="s">
        <v>85</v>
      </c>
      <c r="E1819">
        <v>2</v>
      </c>
      <c r="F1819" s="6">
        <v>180</v>
      </c>
      <c r="G1819" s="7">
        <v>5</v>
      </c>
      <c r="H1819" s="6">
        <v>342</v>
      </c>
      <c r="I1819">
        <v>0</v>
      </c>
      <c r="J1819" s="6">
        <v>0</v>
      </c>
      <c r="K1819">
        <v>2</v>
      </c>
      <c r="L1819" s="6">
        <v>342</v>
      </c>
      <c r="M1819" s="6">
        <v>284.58</v>
      </c>
      <c r="N1819" s="6">
        <v>57.42</v>
      </c>
      <c r="O1819" s="6">
        <v>26.45</v>
      </c>
      <c r="P1819" s="6">
        <v>30.97</v>
      </c>
      <c r="Q1819" t="s">
        <v>81</v>
      </c>
      <c r="R1819" t="s">
        <v>60</v>
      </c>
      <c r="S1819" t="s">
        <v>61</v>
      </c>
    </row>
    <row r="1820" spans="1:19" x14ac:dyDescent="0.35">
      <c r="A1820" t="s">
        <v>1949</v>
      </c>
      <c r="B1820" s="5">
        <v>45899</v>
      </c>
      <c r="C1820" t="s">
        <v>165</v>
      </c>
      <c r="D1820" t="s">
        <v>64</v>
      </c>
      <c r="E1820">
        <v>1</v>
      </c>
      <c r="F1820" s="6">
        <v>420</v>
      </c>
      <c r="G1820" s="7">
        <v>0</v>
      </c>
      <c r="H1820" s="6">
        <v>420</v>
      </c>
      <c r="I1820">
        <v>0</v>
      </c>
      <c r="J1820" s="6">
        <v>0</v>
      </c>
      <c r="K1820">
        <v>1</v>
      </c>
      <c r="L1820" s="6">
        <v>420</v>
      </c>
      <c r="M1820" s="6">
        <v>308.98</v>
      </c>
      <c r="N1820" s="6">
        <v>111.02</v>
      </c>
      <c r="O1820" s="6">
        <v>36.54</v>
      </c>
      <c r="P1820" s="6">
        <v>74.48</v>
      </c>
      <c r="Q1820" t="s">
        <v>75</v>
      </c>
      <c r="R1820" t="s">
        <v>82</v>
      </c>
      <c r="S1820" t="s">
        <v>61</v>
      </c>
    </row>
    <row r="1821" spans="1:19" x14ac:dyDescent="0.35">
      <c r="A1821" t="s">
        <v>1950</v>
      </c>
      <c r="B1821" s="5">
        <v>45796</v>
      </c>
      <c r="C1821" t="s">
        <v>107</v>
      </c>
      <c r="D1821" t="s">
        <v>74</v>
      </c>
      <c r="E1821">
        <v>1</v>
      </c>
      <c r="F1821" s="6">
        <v>125</v>
      </c>
      <c r="G1821" s="7">
        <v>0</v>
      </c>
      <c r="H1821" s="6">
        <v>125</v>
      </c>
      <c r="I1821">
        <v>0</v>
      </c>
      <c r="J1821" s="6">
        <v>0</v>
      </c>
      <c r="K1821">
        <v>1</v>
      </c>
      <c r="L1821" s="6">
        <v>125</v>
      </c>
      <c r="M1821" s="6">
        <v>103.28</v>
      </c>
      <c r="N1821" s="6">
        <v>21.72</v>
      </c>
      <c r="O1821" s="6">
        <v>14.73</v>
      </c>
      <c r="P1821" s="6">
        <v>6.99</v>
      </c>
      <c r="Q1821" t="s">
        <v>75</v>
      </c>
      <c r="R1821" t="s">
        <v>86</v>
      </c>
      <c r="S1821" t="s">
        <v>71</v>
      </c>
    </row>
    <row r="1822" spans="1:19" x14ac:dyDescent="0.35">
      <c r="A1822" t="s">
        <v>1951</v>
      </c>
      <c r="B1822" s="5">
        <v>45815</v>
      </c>
      <c r="C1822" t="s">
        <v>264</v>
      </c>
      <c r="D1822" t="s">
        <v>85</v>
      </c>
      <c r="E1822">
        <v>3</v>
      </c>
      <c r="F1822" s="6">
        <v>20</v>
      </c>
      <c r="G1822" s="7">
        <v>5</v>
      </c>
      <c r="H1822" s="6">
        <v>57</v>
      </c>
      <c r="I1822">
        <v>0</v>
      </c>
      <c r="J1822" s="6">
        <v>0</v>
      </c>
      <c r="K1822">
        <v>3</v>
      </c>
      <c r="L1822" s="6">
        <v>57</v>
      </c>
      <c r="M1822" s="6">
        <v>48.14</v>
      </c>
      <c r="N1822" s="6">
        <v>8.86</v>
      </c>
      <c r="O1822" s="6">
        <v>4.66</v>
      </c>
      <c r="P1822" s="6">
        <v>4.2</v>
      </c>
      <c r="Q1822" t="s">
        <v>65</v>
      </c>
      <c r="R1822" t="s">
        <v>60</v>
      </c>
      <c r="S1822" t="s">
        <v>67</v>
      </c>
    </row>
    <row r="1823" spans="1:19" x14ac:dyDescent="0.35">
      <c r="A1823" t="s">
        <v>1952</v>
      </c>
      <c r="B1823" s="5">
        <v>45936</v>
      </c>
      <c r="C1823" t="s">
        <v>104</v>
      </c>
      <c r="D1823" t="s">
        <v>105</v>
      </c>
      <c r="E1823">
        <v>6</v>
      </c>
      <c r="F1823" s="6">
        <v>65</v>
      </c>
      <c r="G1823" s="7">
        <v>0</v>
      </c>
      <c r="H1823" s="6">
        <v>390</v>
      </c>
      <c r="I1823">
        <v>0</v>
      </c>
      <c r="J1823" s="6">
        <v>0</v>
      </c>
      <c r="K1823">
        <v>6</v>
      </c>
      <c r="L1823" s="6">
        <v>390</v>
      </c>
      <c r="M1823" s="6">
        <v>269.19</v>
      </c>
      <c r="N1823" s="6">
        <v>120.81</v>
      </c>
      <c r="O1823" s="6">
        <v>35.43</v>
      </c>
      <c r="P1823" s="6">
        <v>85.38</v>
      </c>
      <c r="Q1823" t="s">
        <v>81</v>
      </c>
      <c r="R1823" t="s">
        <v>82</v>
      </c>
      <c r="S1823" t="s">
        <v>76</v>
      </c>
    </row>
    <row r="1824" spans="1:19" x14ac:dyDescent="0.35">
      <c r="A1824" t="s">
        <v>1953</v>
      </c>
      <c r="B1824" s="5">
        <v>45965</v>
      </c>
      <c r="C1824" t="s">
        <v>56</v>
      </c>
      <c r="D1824" t="s">
        <v>57</v>
      </c>
      <c r="E1824">
        <v>4</v>
      </c>
      <c r="F1824" s="6">
        <v>40</v>
      </c>
      <c r="G1824" s="7">
        <v>0</v>
      </c>
      <c r="H1824" s="6">
        <v>160</v>
      </c>
      <c r="I1824">
        <v>0</v>
      </c>
      <c r="J1824" s="6">
        <v>0</v>
      </c>
      <c r="K1824">
        <v>4</v>
      </c>
      <c r="L1824" s="6">
        <v>160</v>
      </c>
      <c r="M1824" s="6">
        <v>131.51</v>
      </c>
      <c r="N1824" s="6">
        <v>28.49</v>
      </c>
      <c r="O1824" s="6">
        <v>16.93</v>
      </c>
      <c r="P1824" s="6">
        <v>11.56</v>
      </c>
      <c r="Q1824" t="s">
        <v>75</v>
      </c>
      <c r="R1824" t="s">
        <v>60</v>
      </c>
      <c r="S1824" t="s">
        <v>76</v>
      </c>
    </row>
    <row r="1825" spans="1:19" x14ac:dyDescent="0.35">
      <c r="A1825" t="s">
        <v>1954</v>
      </c>
      <c r="B1825" s="5">
        <v>45990</v>
      </c>
      <c r="C1825" t="s">
        <v>69</v>
      </c>
      <c r="D1825" t="s">
        <v>70</v>
      </c>
      <c r="E1825">
        <v>1</v>
      </c>
      <c r="F1825" s="6">
        <v>210</v>
      </c>
      <c r="G1825" s="7">
        <v>10</v>
      </c>
      <c r="H1825" s="6">
        <v>189</v>
      </c>
      <c r="I1825">
        <v>0</v>
      </c>
      <c r="J1825" s="6">
        <v>0</v>
      </c>
      <c r="K1825">
        <v>1</v>
      </c>
      <c r="L1825" s="6">
        <v>189</v>
      </c>
      <c r="M1825" s="6">
        <v>131.38</v>
      </c>
      <c r="N1825" s="6">
        <v>57.62</v>
      </c>
      <c r="O1825" s="6">
        <v>19.72</v>
      </c>
      <c r="P1825" s="6">
        <v>37.9</v>
      </c>
      <c r="Q1825" t="s">
        <v>65</v>
      </c>
      <c r="R1825" t="s">
        <v>60</v>
      </c>
      <c r="S1825" t="s">
        <v>67</v>
      </c>
    </row>
    <row r="1826" spans="1:19" x14ac:dyDescent="0.35">
      <c r="A1826" t="s">
        <v>1955</v>
      </c>
      <c r="B1826" s="5">
        <v>45945</v>
      </c>
      <c r="C1826" t="s">
        <v>100</v>
      </c>
      <c r="D1826" t="s">
        <v>64</v>
      </c>
      <c r="E1826">
        <v>3</v>
      </c>
      <c r="F1826" s="6">
        <v>310</v>
      </c>
      <c r="G1826" s="7">
        <v>0</v>
      </c>
      <c r="H1826" s="6">
        <v>930</v>
      </c>
      <c r="I1826">
        <v>0</v>
      </c>
      <c r="J1826" s="6">
        <v>0</v>
      </c>
      <c r="K1826">
        <v>3</v>
      </c>
      <c r="L1826" s="6">
        <v>930</v>
      </c>
      <c r="M1826" s="6">
        <v>638.35</v>
      </c>
      <c r="N1826" s="6">
        <v>291.64999999999998</v>
      </c>
      <c r="O1826" s="6">
        <v>55.42</v>
      </c>
      <c r="P1826" s="6">
        <v>236.23</v>
      </c>
      <c r="Q1826" t="s">
        <v>81</v>
      </c>
      <c r="R1826" t="s">
        <v>86</v>
      </c>
      <c r="S1826" t="s">
        <v>76</v>
      </c>
    </row>
    <row r="1827" spans="1:19" x14ac:dyDescent="0.35">
      <c r="A1827" t="s">
        <v>1956</v>
      </c>
      <c r="B1827" s="5">
        <v>46005</v>
      </c>
      <c r="C1827" t="s">
        <v>90</v>
      </c>
      <c r="D1827" t="s">
        <v>70</v>
      </c>
      <c r="E1827">
        <v>2</v>
      </c>
      <c r="F1827" s="6">
        <v>38</v>
      </c>
      <c r="G1827" s="7">
        <v>0</v>
      </c>
      <c r="H1827" s="6">
        <v>76</v>
      </c>
      <c r="I1827">
        <v>0</v>
      </c>
      <c r="J1827" s="6">
        <v>0</v>
      </c>
      <c r="K1827">
        <v>2</v>
      </c>
      <c r="L1827" s="6">
        <v>76</v>
      </c>
      <c r="M1827" s="6">
        <v>51.61</v>
      </c>
      <c r="N1827" s="6">
        <v>24.39</v>
      </c>
      <c r="O1827" s="6">
        <v>5.71</v>
      </c>
      <c r="P1827" s="6">
        <v>18.68</v>
      </c>
      <c r="Q1827" t="s">
        <v>81</v>
      </c>
      <c r="R1827" t="s">
        <v>66</v>
      </c>
      <c r="S1827" t="s">
        <v>61</v>
      </c>
    </row>
    <row r="1828" spans="1:19" x14ac:dyDescent="0.35">
      <c r="A1828" t="s">
        <v>1957</v>
      </c>
      <c r="B1828" s="5">
        <v>45670</v>
      </c>
      <c r="C1828" t="s">
        <v>100</v>
      </c>
      <c r="D1828" t="s">
        <v>64</v>
      </c>
      <c r="E1828">
        <v>2</v>
      </c>
      <c r="F1828" s="6">
        <v>310</v>
      </c>
      <c r="G1828" s="7">
        <v>10</v>
      </c>
      <c r="H1828" s="6">
        <v>558</v>
      </c>
      <c r="I1828">
        <v>0</v>
      </c>
      <c r="J1828" s="6">
        <v>0</v>
      </c>
      <c r="K1828">
        <v>2</v>
      </c>
      <c r="L1828" s="6">
        <v>558</v>
      </c>
      <c r="M1828" s="6">
        <v>473.24</v>
      </c>
      <c r="N1828" s="6">
        <v>84.76</v>
      </c>
      <c r="O1828" s="6">
        <v>49.89</v>
      </c>
      <c r="P1828" s="6">
        <v>34.869999999999997</v>
      </c>
      <c r="Q1828" t="s">
        <v>65</v>
      </c>
      <c r="R1828" t="s">
        <v>82</v>
      </c>
      <c r="S1828" t="s">
        <v>76</v>
      </c>
    </row>
    <row r="1829" spans="1:19" x14ac:dyDescent="0.35">
      <c r="A1829" t="s">
        <v>1958</v>
      </c>
      <c r="B1829" s="5">
        <v>45950</v>
      </c>
      <c r="C1829" t="s">
        <v>125</v>
      </c>
      <c r="D1829" t="s">
        <v>85</v>
      </c>
      <c r="E1829">
        <v>1</v>
      </c>
      <c r="F1829" s="6">
        <v>125</v>
      </c>
      <c r="G1829" s="7">
        <v>0</v>
      </c>
      <c r="H1829" s="6">
        <v>125</v>
      </c>
      <c r="I1829">
        <v>0</v>
      </c>
      <c r="J1829" s="6">
        <v>0</v>
      </c>
      <c r="K1829">
        <v>1</v>
      </c>
      <c r="L1829" s="6">
        <v>125</v>
      </c>
      <c r="M1829" s="6">
        <v>88.63</v>
      </c>
      <c r="N1829" s="6">
        <v>36.369999999999997</v>
      </c>
      <c r="O1829" s="6">
        <v>11.01</v>
      </c>
      <c r="P1829" s="6">
        <v>25.36</v>
      </c>
      <c r="Q1829" t="s">
        <v>81</v>
      </c>
      <c r="R1829" t="s">
        <v>86</v>
      </c>
      <c r="S1829" t="s">
        <v>76</v>
      </c>
    </row>
    <row r="1830" spans="1:19" x14ac:dyDescent="0.35">
      <c r="A1830" t="s">
        <v>1959</v>
      </c>
      <c r="B1830" s="5">
        <v>45677</v>
      </c>
      <c r="C1830" t="s">
        <v>104</v>
      </c>
      <c r="D1830" t="s">
        <v>105</v>
      </c>
      <c r="E1830">
        <v>3</v>
      </c>
      <c r="F1830" s="6">
        <v>65</v>
      </c>
      <c r="G1830" s="7">
        <v>0</v>
      </c>
      <c r="H1830" s="6">
        <v>195</v>
      </c>
      <c r="I1830">
        <v>0</v>
      </c>
      <c r="J1830" s="6">
        <v>0</v>
      </c>
      <c r="K1830">
        <v>3</v>
      </c>
      <c r="L1830" s="6">
        <v>195</v>
      </c>
      <c r="M1830" s="6">
        <v>141.63</v>
      </c>
      <c r="N1830" s="6">
        <v>53.37</v>
      </c>
      <c r="O1830" s="6">
        <v>25.14</v>
      </c>
      <c r="P1830" s="6">
        <v>28.23</v>
      </c>
      <c r="Q1830" t="s">
        <v>75</v>
      </c>
      <c r="R1830" t="s">
        <v>60</v>
      </c>
      <c r="S1830" t="s">
        <v>71</v>
      </c>
    </row>
    <row r="1831" spans="1:19" x14ac:dyDescent="0.35">
      <c r="A1831" t="s">
        <v>1960</v>
      </c>
      <c r="B1831" s="5">
        <v>45931</v>
      </c>
      <c r="C1831" t="s">
        <v>84</v>
      </c>
      <c r="D1831" t="s">
        <v>85</v>
      </c>
      <c r="E1831">
        <v>3</v>
      </c>
      <c r="F1831" s="6">
        <v>48</v>
      </c>
      <c r="G1831" s="7">
        <v>0</v>
      </c>
      <c r="H1831" s="6">
        <v>144</v>
      </c>
      <c r="I1831">
        <v>0</v>
      </c>
      <c r="J1831" s="6">
        <v>0</v>
      </c>
      <c r="K1831">
        <v>3</v>
      </c>
      <c r="L1831" s="6">
        <v>144</v>
      </c>
      <c r="M1831" s="6">
        <v>108.39</v>
      </c>
      <c r="N1831" s="6">
        <v>35.61</v>
      </c>
      <c r="O1831" s="6">
        <v>11.7</v>
      </c>
      <c r="P1831" s="6">
        <v>23.91</v>
      </c>
      <c r="Q1831" t="s">
        <v>81</v>
      </c>
      <c r="R1831" t="s">
        <v>86</v>
      </c>
      <c r="S1831" t="s">
        <v>61</v>
      </c>
    </row>
    <row r="1832" spans="1:19" x14ac:dyDescent="0.35">
      <c r="A1832" t="s">
        <v>1961</v>
      </c>
      <c r="B1832" s="5">
        <v>45837</v>
      </c>
      <c r="C1832" t="s">
        <v>63</v>
      </c>
      <c r="D1832" t="s">
        <v>64</v>
      </c>
      <c r="E1832">
        <v>4</v>
      </c>
      <c r="F1832" s="6">
        <v>145</v>
      </c>
      <c r="G1832" s="7">
        <v>0</v>
      </c>
      <c r="H1832" s="6">
        <v>580</v>
      </c>
      <c r="I1832">
        <v>0</v>
      </c>
      <c r="J1832" s="6">
        <v>0</v>
      </c>
      <c r="K1832">
        <v>4</v>
      </c>
      <c r="L1832" s="6">
        <v>580</v>
      </c>
      <c r="M1832" s="6">
        <v>482.15</v>
      </c>
      <c r="N1832" s="6">
        <v>97.85</v>
      </c>
      <c r="O1832" s="6">
        <v>54.75</v>
      </c>
      <c r="P1832" s="6">
        <v>43.1</v>
      </c>
      <c r="Q1832" t="s">
        <v>65</v>
      </c>
      <c r="R1832" t="s">
        <v>66</v>
      </c>
      <c r="S1832" t="s">
        <v>76</v>
      </c>
    </row>
    <row r="1833" spans="1:19" x14ac:dyDescent="0.35">
      <c r="A1833" t="s">
        <v>1962</v>
      </c>
      <c r="B1833" s="5">
        <v>45828</v>
      </c>
      <c r="C1833" t="s">
        <v>264</v>
      </c>
      <c r="D1833" t="s">
        <v>85</v>
      </c>
      <c r="E1833">
        <v>1</v>
      </c>
      <c r="F1833" s="6">
        <v>20</v>
      </c>
      <c r="G1833" s="7">
        <v>5</v>
      </c>
      <c r="H1833" s="6">
        <v>19</v>
      </c>
      <c r="I1833">
        <v>0</v>
      </c>
      <c r="J1833" s="6">
        <v>0</v>
      </c>
      <c r="K1833">
        <v>1</v>
      </c>
      <c r="L1833" s="6">
        <v>19</v>
      </c>
      <c r="M1833" s="6">
        <v>12.28</v>
      </c>
      <c r="N1833" s="6">
        <v>6.72</v>
      </c>
      <c r="O1833" s="6">
        <v>1.21</v>
      </c>
      <c r="P1833" s="6">
        <v>5.51</v>
      </c>
      <c r="Q1833" t="s">
        <v>81</v>
      </c>
      <c r="R1833" t="s">
        <v>86</v>
      </c>
      <c r="S1833" t="s">
        <v>61</v>
      </c>
    </row>
    <row r="1834" spans="1:19" x14ac:dyDescent="0.35">
      <c r="A1834" t="s">
        <v>1963</v>
      </c>
      <c r="B1834" s="5">
        <v>45790</v>
      </c>
      <c r="C1834" t="s">
        <v>100</v>
      </c>
      <c r="D1834" t="s">
        <v>64</v>
      </c>
      <c r="E1834">
        <v>8</v>
      </c>
      <c r="F1834" s="6">
        <v>310</v>
      </c>
      <c r="G1834" s="7">
        <v>0</v>
      </c>
      <c r="H1834" s="6">
        <v>2480</v>
      </c>
      <c r="I1834">
        <v>0</v>
      </c>
      <c r="J1834" s="6">
        <v>0</v>
      </c>
      <c r="K1834">
        <v>8</v>
      </c>
      <c r="L1834" s="6">
        <v>2480</v>
      </c>
      <c r="M1834" s="6">
        <v>1771</v>
      </c>
      <c r="N1834" s="6">
        <v>709</v>
      </c>
      <c r="O1834" s="6">
        <v>284.08</v>
      </c>
      <c r="P1834" s="6">
        <v>424.92</v>
      </c>
      <c r="Q1834" t="s">
        <v>65</v>
      </c>
      <c r="R1834" t="s">
        <v>82</v>
      </c>
      <c r="S1834" t="s">
        <v>67</v>
      </c>
    </row>
    <row r="1835" spans="1:19" x14ac:dyDescent="0.35">
      <c r="A1835" t="s">
        <v>1964</v>
      </c>
      <c r="B1835" s="5">
        <v>45799</v>
      </c>
      <c r="C1835" t="s">
        <v>63</v>
      </c>
      <c r="D1835" t="s">
        <v>64</v>
      </c>
      <c r="E1835">
        <v>2</v>
      </c>
      <c r="F1835" s="6">
        <v>145</v>
      </c>
      <c r="G1835" s="7">
        <v>0</v>
      </c>
      <c r="H1835" s="6">
        <v>290</v>
      </c>
      <c r="I1835">
        <v>0</v>
      </c>
      <c r="J1835" s="6">
        <v>0</v>
      </c>
      <c r="K1835">
        <v>2</v>
      </c>
      <c r="L1835" s="6">
        <v>290</v>
      </c>
      <c r="M1835" s="6">
        <v>224.62</v>
      </c>
      <c r="N1835" s="6">
        <v>65.38</v>
      </c>
      <c r="O1835" s="6">
        <v>14.78</v>
      </c>
      <c r="P1835" s="6">
        <v>50.6</v>
      </c>
      <c r="Q1835" t="s">
        <v>75</v>
      </c>
      <c r="R1835" t="s">
        <v>82</v>
      </c>
      <c r="S1835" t="s">
        <v>71</v>
      </c>
    </row>
    <row r="1836" spans="1:19" x14ac:dyDescent="0.35">
      <c r="A1836" t="s">
        <v>1965</v>
      </c>
      <c r="B1836" s="5">
        <v>45719</v>
      </c>
      <c r="C1836" t="s">
        <v>125</v>
      </c>
      <c r="D1836" t="s">
        <v>85</v>
      </c>
      <c r="E1836">
        <v>4</v>
      </c>
      <c r="F1836" s="6">
        <v>125</v>
      </c>
      <c r="G1836" s="7">
        <v>0</v>
      </c>
      <c r="H1836" s="6">
        <v>500</v>
      </c>
      <c r="I1836">
        <v>0</v>
      </c>
      <c r="J1836" s="6">
        <v>0</v>
      </c>
      <c r="K1836">
        <v>4</v>
      </c>
      <c r="L1836" s="6">
        <v>500</v>
      </c>
      <c r="M1836" s="6">
        <v>340.61</v>
      </c>
      <c r="N1836" s="6">
        <v>159.38999999999999</v>
      </c>
      <c r="O1836" s="6">
        <v>57.31</v>
      </c>
      <c r="P1836" s="6">
        <v>102.08</v>
      </c>
      <c r="Q1836" t="s">
        <v>59</v>
      </c>
      <c r="R1836" t="s">
        <v>66</v>
      </c>
      <c r="S1836" t="s">
        <v>67</v>
      </c>
    </row>
    <row r="1837" spans="1:19" x14ac:dyDescent="0.35">
      <c r="A1837" t="s">
        <v>1966</v>
      </c>
      <c r="B1837" s="5">
        <v>45755</v>
      </c>
      <c r="C1837" t="s">
        <v>264</v>
      </c>
      <c r="D1837" t="s">
        <v>85</v>
      </c>
      <c r="E1837">
        <v>3</v>
      </c>
      <c r="F1837" s="6">
        <v>20</v>
      </c>
      <c r="G1837" s="7">
        <v>2</v>
      </c>
      <c r="H1837" s="6">
        <v>58.8</v>
      </c>
      <c r="I1837">
        <v>0</v>
      </c>
      <c r="J1837" s="6">
        <v>0</v>
      </c>
      <c r="K1837">
        <v>3</v>
      </c>
      <c r="L1837" s="6">
        <v>58.8</v>
      </c>
      <c r="M1837" s="6">
        <v>50.4</v>
      </c>
      <c r="N1837" s="6">
        <v>8.4</v>
      </c>
      <c r="O1837" s="6">
        <v>3.25</v>
      </c>
      <c r="P1837" s="6">
        <v>5.15</v>
      </c>
      <c r="Q1837" t="s">
        <v>65</v>
      </c>
      <c r="R1837" t="s">
        <v>60</v>
      </c>
      <c r="S1837" t="s">
        <v>67</v>
      </c>
    </row>
    <row r="1838" spans="1:19" x14ac:dyDescent="0.35">
      <c r="A1838" t="s">
        <v>1967</v>
      </c>
      <c r="B1838" s="5">
        <v>45810</v>
      </c>
      <c r="C1838" t="s">
        <v>117</v>
      </c>
      <c r="D1838" t="s">
        <v>243</v>
      </c>
      <c r="E1838">
        <v>2</v>
      </c>
      <c r="F1838" s="6">
        <v>95</v>
      </c>
      <c r="G1838" s="7">
        <v>0</v>
      </c>
      <c r="H1838" s="6">
        <v>190</v>
      </c>
      <c r="I1838">
        <v>0</v>
      </c>
      <c r="J1838" s="6">
        <v>0</v>
      </c>
      <c r="K1838">
        <v>2</v>
      </c>
      <c r="L1838" s="6">
        <v>190</v>
      </c>
      <c r="M1838" s="6">
        <v>145.6</v>
      </c>
      <c r="N1838" s="6">
        <v>44.4</v>
      </c>
      <c r="O1838" s="6">
        <v>20.12</v>
      </c>
      <c r="P1838" s="6">
        <v>24.28</v>
      </c>
      <c r="Q1838" t="s">
        <v>81</v>
      </c>
      <c r="R1838" t="s">
        <v>60</v>
      </c>
      <c r="S1838" t="s">
        <v>71</v>
      </c>
    </row>
    <row r="1839" spans="1:19" x14ac:dyDescent="0.35">
      <c r="A1839" t="s">
        <v>1968</v>
      </c>
      <c r="B1839" s="5">
        <v>45952</v>
      </c>
      <c r="C1839" t="s">
        <v>95</v>
      </c>
      <c r="D1839" t="s">
        <v>64</v>
      </c>
      <c r="E1839">
        <v>8</v>
      </c>
      <c r="F1839" s="6">
        <v>52</v>
      </c>
      <c r="G1839" s="7">
        <v>15</v>
      </c>
      <c r="H1839" s="6">
        <v>353.6</v>
      </c>
      <c r="I1839">
        <v>0</v>
      </c>
      <c r="J1839" s="6">
        <v>0</v>
      </c>
      <c r="K1839">
        <v>8</v>
      </c>
      <c r="L1839" s="6">
        <v>353.6</v>
      </c>
      <c r="M1839" s="6">
        <v>229.87</v>
      </c>
      <c r="N1839" s="6">
        <v>123.73</v>
      </c>
      <c r="O1839" s="6">
        <v>36.82</v>
      </c>
      <c r="P1839" s="6">
        <v>86.91</v>
      </c>
      <c r="Q1839" t="s">
        <v>59</v>
      </c>
      <c r="R1839" t="s">
        <v>82</v>
      </c>
      <c r="S1839" t="s">
        <v>67</v>
      </c>
    </row>
    <row r="1840" spans="1:19" x14ac:dyDescent="0.35">
      <c r="A1840" t="s">
        <v>1969</v>
      </c>
      <c r="B1840" s="5">
        <v>45929</v>
      </c>
      <c r="C1840" t="s">
        <v>88</v>
      </c>
      <c r="D1840" t="s">
        <v>57</v>
      </c>
      <c r="E1840">
        <v>3</v>
      </c>
      <c r="F1840" s="6">
        <v>30</v>
      </c>
      <c r="G1840" s="7">
        <v>0</v>
      </c>
      <c r="H1840" s="6">
        <v>90</v>
      </c>
      <c r="I1840">
        <v>0</v>
      </c>
      <c r="J1840" s="6">
        <v>0</v>
      </c>
      <c r="K1840">
        <v>3</v>
      </c>
      <c r="L1840" s="6">
        <v>90</v>
      </c>
      <c r="M1840" s="6">
        <v>58.02</v>
      </c>
      <c r="N1840" s="6">
        <v>31.98</v>
      </c>
      <c r="O1840" s="6">
        <v>6.93</v>
      </c>
      <c r="P1840" s="6">
        <v>25.05</v>
      </c>
      <c r="Q1840" t="s">
        <v>75</v>
      </c>
      <c r="R1840" t="s">
        <v>82</v>
      </c>
      <c r="S1840" t="s">
        <v>71</v>
      </c>
    </row>
    <row r="1841" spans="1:19" x14ac:dyDescent="0.35">
      <c r="A1841" t="s">
        <v>1970</v>
      </c>
      <c r="B1841" s="5">
        <v>45953</v>
      </c>
      <c r="C1841" t="s">
        <v>63</v>
      </c>
      <c r="D1841" t="s">
        <v>64</v>
      </c>
      <c r="E1841">
        <v>1</v>
      </c>
      <c r="F1841" s="6">
        <v>145</v>
      </c>
      <c r="G1841" s="7">
        <v>0</v>
      </c>
      <c r="H1841" s="6">
        <v>145</v>
      </c>
      <c r="I1841">
        <v>0</v>
      </c>
      <c r="J1841" s="6">
        <v>0</v>
      </c>
      <c r="K1841">
        <v>1</v>
      </c>
      <c r="L1841" s="6">
        <v>145</v>
      </c>
      <c r="M1841" s="6">
        <v>105.81</v>
      </c>
      <c r="N1841" s="6">
        <v>39.19</v>
      </c>
      <c r="O1841" s="6">
        <v>8.4700000000000006</v>
      </c>
      <c r="P1841" s="6">
        <v>30.72</v>
      </c>
      <c r="Q1841" t="s">
        <v>65</v>
      </c>
      <c r="R1841" t="s">
        <v>60</v>
      </c>
      <c r="S1841" t="s">
        <v>67</v>
      </c>
    </row>
    <row r="1842" spans="1:19" x14ac:dyDescent="0.35">
      <c r="A1842" t="s">
        <v>1971</v>
      </c>
      <c r="B1842" s="5">
        <v>46014</v>
      </c>
      <c r="C1842" t="s">
        <v>107</v>
      </c>
      <c r="D1842" t="s">
        <v>74</v>
      </c>
      <c r="E1842">
        <v>6</v>
      </c>
      <c r="F1842" s="6">
        <v>125</v>
      </c>
      <c r="G1842" s="7">
        <v>0</v>
      </c>
      <c r="H1842" s="6">
        <v>750</v>
      </c>
      <c r="I1842">
        <v>0</v>
      </c>
      <c r="J1842" s="6">
        <v>0</v>
      </c>
      <c r="K1842">
        <v>6</v>
      </c>
      <c r="L1842" s="6">
        <v>750</v>
      </c>
      <c r="M1842" s="6">
        <v>493.67</v>
      </c>
      <c r="N1842" s="6">
        <v>256.33</v>
      </c>
      <c r="O1842" s="6">
        <v>87.12</v>
      </c>
      <c r="P1842" s="6">
        <v>169.21</v>
      </c>
      <c r="Q1842" t="s">
        <v>59</v>
      </c>
      <c r="R1842" t="s">
        <v>66</v>
      </c>
      <c r="S1842" t="s">
        <v>76</v>
      </c>
    </row>
    <row r="1843" spans="1:19" x14ac:dyDescent="0.35">
      <c r="A1843" t="s">
        <v>1972</v>
      </c>
      <c r="B1843" s="5">
        <v>45798</v>
      </c>
      <c r="C1843" t="s">
        <v>107</v>
      </c>
      <c r="D1843" t="s">
        <v>74</v>
      </c>
      <c r="E1843">
        <v>6</v>
      </c>
      <c r="F1843" s="6">
        <v>125</v>
      </c>
      <c r="G1843" s="7">
        <v>0</v>
      </c>
      <c r="H1843" s="6">
        <v>750</v>
      </c>
      <c r="I1843">
        <v>0</v>
      </c>
      <c r="J1843" s="6">
        <v>0</v>
      </c>
      <c r="K1843">
        <v>6</v>
      </c>
      <c r="L1843" s="6">
        <v>750</v>
      </c>
      <c r="M1843" s="6">
        <v>537.92999999999995</v>
      </c>
      <c r="N1843" s="6">
        <v>212.07</v>
      </c>
      <c r="O1843" s="6">
        <v>58.69</v>
      </c>
      <c r="P1843" s="6">
        <v>153.38</v>
      </c>
      <c r="Q1843" t="s">
        <v>81</v>
      </c>
      <c r="R1843" t="s">
        <v>86</v>
      </c>
      <c r="S1843" t="s">
        <v>76</v>
      </c>
    </row>
    <row r="1844" spans="1:19" x14ac:dyDescent="0.35">
      <c r="A1844" t="s">
        <v>1973</v>
      </c>
      <c r="B1844" s="5">
        <v>45941</v>
      </c>
      <c r="C1844" t="s">
        <v>90</v>
      </c>
      <c r="D1844" t="s">
        <v>70</v>
      </c>
      <c r="E1844">
        <v>3</v>
      </c>
      <c r="F1844" s="6">
        <v>38</v>
      </c>
      <c r="G1844" s="7">
        <v>0</v>
      </c>
      <c r="H1844" s="6">
        <v>114</v>
      </c>
      <c r="I1844">
        <v>0</v>
      </c>
      <c r="J1844" s="6">
        <v>0</v>
      </c>
      <c r="K1844">
        <v>3</v>
      </c>
      <c r="L1844" s="6">
        <v>114</v>
      </c>
      <c r="M1844" s="6">
        <v>85.38</v>
      </c>
      <c r="N1844" s="6">
        <v>28.62</v>
      </c>
      <c r="O1844" s="6">
        <v>9.44</v>
      </c>
      <c r="P1844" s="6">
        <v>19.18</v>
      </c>
      <c r="Q1844" t="s">
        <v>81</v>
      </c>
      <c r="R1844" t="s">
        <v>66</v>
      </c>
      <c r="S1844" t="s">
        <v>71</v>
      </c>
    </row>
    <row r="1845" spans="1:19" x14ac:dyDescent="0.35">
      <c r="A1845" t="s">
        <v>1974</v>
      </c>
      <c r="B1845" s="5">
        <v>45754</v>
      </c>
      <c r="C1845" t="s">
        <v>100</v>
      </c>
      <c r="D1845" t="s">
        <v>64</v>
      </c>
      <c r="E1845">
        <v>1</v>
      </c>
      <c r="F1845" s="6">
        <v>310</v>
      </c>
      <c r="G1845" s="7">
        <v>0</v>
      </c>
      <c r="H1845" s="6">
        <v>310</v>
      </c>
      <c r="I1845">
        <v>0</v>
      </c>
      <c r="J1845" s="6">
        <v>0</v>
      </c>
      <c r="K1845">
        <v>1</v>
      </c>
      <c r="L1845" s="6">
        <v>310</v>
      </c>
      <c r="M1845" s="6">
        <v>256.10000000000002</v>
      </c>
      <c r="N1845" s="6">
        <v>53.9</v>
      </c>
      <c r="O1845" s="6">
        <v>39.21</v>
      </c>
      <c r="P1845" s="6">
        <v>14.69</v>
      </c>
      <c r="Q1845" t="s">
        <v>75</v>
      </c>
      <c r="R1845" t="s">
        <v>86</v>
      </c>
      <c r="S1845" t="s">
        <v>61</v>
      </c>
    </row>
    <row r="1846" spans="1:19" x14ac:dyDescent="0.35">
      <c r="A1846" t="s">
        <v>1975</v>
      </c>
      <c r="B1846" s="5">
        <v>45716</v>
      </c>
      <c r="C1846" t="s">
        <v>95</v>
      </c>
      <c r="D1846" t="s">
        <v>64</v>
      </c>
      <c r="E1846">
        <v>2</v>
      </c>
      <c r="F1846" s="6">
        <v>52</v>
      </c>
      <c r="G1846" s="7">
        <v>10</v>
      </c>
      <c r="H1846" s="6">
        <v>93.6</v>
      </c>
      <c r="I1846">
        <v>0</v>
      </c>
      <c r="J1846" s="6">
        <v>0</v>
      </c>
      <c r="K1846">
        <v>2</v>
      </c>
      <c r="L1846" s="6">
        <v>93.6</v>
      </c>
      <c r="M1846" s="6">
        <v>78.02</v>
      </c>
      <c r="N1846" s="6">
        <v>15.58</v>
      </c>
      <c r="O1846" s="6">
        <v>8.6999999999999993</v>
      </c>
      <c r="P1846" s="6">
        <v>6.88</v>
      </c>
      <c r="Q1846" t="s">
        <v>75</v>
      </c>
      <c r="R1846" t="s">
        <v>66</v>
      </c>
      <c r="S1846" t="s">
        <v>61</v>
      </c>
    </row>
    <row r="1847" spans="1:19" x14ac:dyDescent="0.35">
      <c r="A1847" t="s">
        <v>1976</v>
      </c>
      <c r="B1847" s="5">
        <v>45680</v>
      </c>
      <c r="C1847" t="s">
        <v>104</v>
      </c>
      <c r="D1847" t="s">
        <v>105</v>
      </c>
      <c r="E1847">
        <v>4</v>
      </c>
      <c r="F1847" s="6">
        <v>65</v>
      </c>
      <c r="G1847" s="7">
        <v>0</v>
      </c>
      <c r="H1847" s="6">
        <v>260</v>
      </c>
      <c r="I1847">
        <v>0</v>
      </c>
      <c r="J1847" s="6">
        <v>0</v>
      </c>
      <c r="K1847">
        <v>4</v>
      </c>
      <c r="L1847" s="6">
        <v>260</v>
      </c>
      <c r="M1847" s="6">
        <v>213.42</v>
      </c>
      <c r="N1847" s="6">
        <v>46.58</v>
      </c>
      <c r="O1847" s="6">
        <v>16.88</v>
      </c>
      <c r="P1847" s="6">
        <v>29.7</v>
      </c>
      <c r="Q1847" t="s">
        <v>81</v>
      </c>
      <c r="R1847" t="s">
        <v>60</v>
      </c>
      <c r="S1847" t="s">
        <v>76</v>
      </c>
    </row>
    <row r="1848" spans="1:19" x14ac:dyDescent="0.35">
      <c r="A1848" t="s">
        <v>1977</v>
      </c>
      <c r="B1848" s="5">
        <v>45920</v>
      </c>
      <c r="C1848" t="s">
        <v>125</v>
      </c>
      <c r="D1848" t="s">
        <v>85</v>
      </c>
      <c r="E1848">
        <v>5</v>
      </c>
      <c r="F1848" s="6">
        <v>125</v>
      </c>
      <c r="G1848" s="7">
        <v>10</v>
      </c>
      <c r="H1848" s="6">
        <v>562.5</v>
      </c>
      <c r="I1848">
        <v>0</v>
      </c>
      <c r="J1848" s="6">
        <v>0</v>
      </c>
      <c r="K1848">
        <v>5</v>
      </c>
      <c r="L1848" s="6">
        <v>562.5</v>
      </c>
      <c r="M1848" s="6">
        <v>367.73</v>
      </c>
      <c r="N1848" s="6">
        <v>194.77</v>
      </c>
      <c r="O1848" s="6">
        <v>53.22</v>
      </c>
      <c r="P1848" s="6">
        <v>141.55000000000001</v>
      </c>
      <c r="Q1848" t="s">
        <v>75</v>
      </c>
      <c r="R1848" t="s">
        <v>86</v>
      </c>
      <c r="S1848" t="s">
        <v>67</v>
      </c>
    </row>
    <row r="1849" spans="1:19" x14ac:dyDescent="0.35">
      <c r="A1849" t="s">
        <v>1978</v>
      </c>
      <c r="B1849" s="5">
        <v>45798</v>
      </c>
      <c r="C1849" t="s">
        <v>117</v>
      </c>
      <c r="D1849" t="s">
        <v>74</v>
      </c>
      <c r="E1849">
        <v>4</v>
      </c>
      <c r="F1849" s="6">
        <v>95</v>
      </c>
      <c r="G1849" s="7">
        <v>0</v>
      </c>
      <c r="H1849" s="6">
        <v>380</v>
      </c>
      <c r="I1849">
        <v>0</v>
      </c>
      <c r="J1849" s="6">
        <v>0</v>
      </c>
      <c r="K1849">
        <v>4</v>
      </c>
      <c r="L1849" s="6">
        <v>380</v>
      </c>
      <c r="M1849" s="6">
        <v>247.21</v>
      </c>
      <c r="N1849" s="6">
        <v>132.79</v>
      </c>
      <c r="O1849" s="6">
        <v>49.28</v>
      </c>
      <c r="P1849" s="6">
        <v>83.51</v>
      </c>
      <c r="Q1849" t="s">
        <v>59</v>
      </c>
      <c r="R1849" t="s">
        <v>86</v>
      </c>
      <c r="S1849" t="s">
        <v>61</v>
      </c>
    </row>
    <row r="1850" spans="1:19" x14ac:dyDescent="0.35">
      <c r="A1850" t="s">
        <v>1979</v>
      </c>
      <c r="B1850" s="5">
        <v>45673</v>
      </c>
      <c r="C1850" t="s">
        <v>88</v>
      </c>
      <c r="D1850" t="s">
        <v>57</v>
      </c>
      <c r="E1850">
        <v>2</v>
      </c>
      <c r="F1850" s="6">
        <v>30</v>
      </c>
      <c r="G1850" s="7">
        <v>0</v>
      </c>
      <c r="H1850" s="6">
        <v>60</v>
      </c>
      <c r="I1850">
        <v>0</v>
      </c>
      <c r="J1850" s="6">
        <v>0</v>
      </c>
      <c r="K1850">
        <v>2</v>
      </c>
      <c r="L1850" s="6">
        <v>60</v>
      </c>
      <c r="M1850" s="6">
        <v>44.72</v>
      </c>
      <c r="N1850" s="6">
        <v>15.28</v>
      </c>
      <c r="O1850" s="6">
        <v>3.01</v>
      </c>
      <c r="P1850" s="6">
        <v>12.27</v>
      </c>
      <c r="Q1850" t="s">
        <v>75</v>
      </c>
      <c r="R1850" t="s">
        <v>82</v>
      </c>
      <c r="S1850" t="s">
        <v>67</v>
      </c>
    </row>
    <row r="1851" spans="1:19" x14ac:dyDescent="0.35">
      <c r="A1851" t="s">
        <v>1980</v>
      </c>
      <c r="B1851" s="5">
        <v>45834</v>
      </c>
      <c r="C1851" t="s">
        <v>63</v>
      </c>
      <c r="D1851" t="s">
        <v>64</v>
      </c>
      <c r="E1851">
        <v>1</v>
      </c>
      <c r="F1851" s="6">
        <v>145</v>
      </c>
      <c r="G1851" s="7">
        <v>0</v>
      </c>
      <c r="H1851" s="6">
        <v>145</v>
      </c>
      <c r="I1851">
        <v>0</v>
      </c>
      <c r="J1851" s="6">
        <v>0</v>
      </c>
      <c r="K1851">
        <v>1</v>
      </c>
      <c r="L1851" s="6">
        <v>145</v>
      </c>
      <c r="M1851" s="6">
        <v>106.77</v>
      </c>
      <c r="N1851" s="6">
        <v>38.229999999999997</v>
      </c>
      <c r="O1851" s="6">
        <v>10.69</v>
      </c>
      <c r="P1851" s="6">
        <v>27.54</v>
      </c>
      <c r="Q1851" t="s">
        <v>81</v>
      </c>
      <c r="R1851" t="s">
        <v>82</v>
      </c>
      <c r="S1851" t="s">
        <v>67</v>
      </c>
    </row>
    <row r="1852" spans="1:19" x14ac:dyDescent="0.35">
      <c r="A1852" t="s">
        <v>1981</v>
      </c>
      <c r="B1852" s="5">
        <v>45844</v>
      </c>
      <c r="C1852" t="s">
        <v>671</v>
      </c>
      <c r="D1852" t="s">
        <v>57</v>
      </c>
      <c r="E1852">
        <v>2</v>
      </c>
      <c r="F1852" s="6">
        <v>40</v>
      </c>
      <c r="G1852" s="7">
        <v>5</v>
      </c>
      <c r="H1852" s="6">
        <v>76</v>
      </c>
      <c r="I1852">
        <v>0</v>
      </c>
      <c r="J1852" s="6">
        <v>0</v>
      </c>
      <c r="K1852">
        <v>2</v>
      </c>
      <c r="L1852" s="6">
        <v>76</v>
      </c>
      <c r="M1852" s="6">
        <v>55.05</v>
      </c>
      <c r="N1852" s="6">
        <v>20.95</v>
      </c>
      <c r="O1852" s="6">
        <v>8.42</v>
      </c>
      <c r="P1852" s="6">
        <v>12.53</v>
      </c>
      <c r="Q1852" t="s">
        <v>81</v>
      </c>
      <c r="R1852" t="s">
        <v>86</v>
      </c>
      <c r="S1852" t="s">
        <v>76</v>
      </c>
    </row>
    <row r="1853" spans="1:19" x14ac:dyDescent="0.35">
      <c r="A1853" t="s">
        <v>1982</v>
      </c>
      <c r="B1853" s="5">
        <v>46022</v>
      </c>
      <c r="C1853" t="s">
        <v>73</v>
      </c>
      <c r="D1853" t="s">
        <v>74</v>
      </c>
      <c r="E1853">
        <v>2</v>
      </c>
      <c r="F1853" s="6">
        <v>280</v>
      </c>
      <c r="G1853" s="7">
        <v>0</v>
      </c>
      <c r="H1853" s="6">
        <v>560</v>
      </c>
      <c r="I1853">
        <v>0</v>
      </c>
      <c r="J1853" s="6">
        <v>0</v>
      </c>
      <c r="K1853">
        <v>2</v>
      </c>
      <c r="L1853" s="6">
        <v>560</v>
      </c>
      <c r="M1853" s="6">
        <v>425.07</v>
      </c>
      <c r="N1853" s="6">
        <v>134.93</v>
      </c>
      <c r="O1853" s="6">
        <v>63.24</v>
      </c>
      <c r="P1853" s="6">
        <v>71.69</v>
      </c>
      <c r="Q1853" t="s">
        <v>65</v>
      </c>
      <c r="R1853" t="s">
        <v>66</v>
      </c>
      <c r="S1853" t="s">
        <v>76</v>
      </c>
    </row>
    <row r="1854" spans="1:19" x14ac:dyDescent="0.35">
      <c r="A1854" t="s">
        <v>1983</v>
      </c>
      <c r="B1854" s="5">
        <v>45839</v>
      </c>
      <c r="C1854" t="s">
        <v>73</v>
      </c>
      <c r="D1854" t="s">
        <v>74</v>
      </c>
      <c r="E1854">
        <v>1</v>
      </c>
      <c r="F1854" s="6">
        <v>280</v>
      </c>
      <c r="G1854" s="7">
        <v>5</v>
      </c>
      <c r="H1854" s="6">
        <v>266</v>
      </c>
      <c r="I1854">
        <v>0</v>
      </c>
      <c r="J1854" s="6">
        <v>0</v>
      </c>
      <c r="K1854">
        <v>1</v>
      </c>
      <c r="L1854" s="6">
        <v>266</v>
      </c>
      <c r="M1854" s="6">
        <v>209.81</v>
      </c>
      <c r="N1854" s="6">
        <v>56.19</v>
      </c>
      <c r="O1854" s="6">
        <v>32.299999999999997</v>
      </c>
      <c r="P1854" s="6">
        <v>23.89</v>
      </c>
      <c r="Q1854" t="s">
        <v>75</v>
      </c>
      <c r="R1854" t="s">
        <v>66</v>
      </c>
      <c r="S1854" t="s">
        <v>67</v>
      </c>
    </row>
    <row r="1855" spans="1:19" x14ac:dyDescent="0.35">
      <c r="A1855" t="s">
        <v>1984</v>
      </c>
      <c r="B1855" s="5">
        <v>45710</v>
      </c>
      <c r="C1855" t="s">
        <v>121</v>
      </c>
      <c r="D1855" t="s">
        <v>70</v>
      </c>
      <c r="E1855">
        <v>2</v>
      </c>
      <c r="F1855" s="6">
        <v>110</v>
      </c>
      <c r="G1855" s="7">
        <v>10</v>
      </c>
      <c r="H1855" s="6">
        <v>198</v>
      </c>
      <c r="I1855">
        <v>0</v>
      </c>
      <c r="J1855" s="6">
        <v>0</v>
      </c>
      <c r="K1855">
        <v>2</v>
      </c>
      <c r="L1855" s="6">
        <v>198</v>
      </c>
      <c r="M1855" s="6">
        <v>132.88</v>
      </c>
      <c r="N1855" s="6">
        <v>65.12</v>
      </c>
      <c r="O1855" s="6">
        <v>14.94</v>
      </c>
      <c r="P1855" s="6">
        <v>50.18</v>
      </c>
      <c r="Q1855" t="s">
        <v>75</v>
      </c>
      <c r="R1855" t="s">
        <v>82</v>
      </c>
      <c r="S1855" t="s">
        <v>71</v>
      </c>
    </row>
    <row r="1856" spans="1:19" x14ac:dyDescent="0.35">
      <c r="A1856" t="s">
        <v>1985</v>
      </c>
      <c r="B1856" s="5">
        <v>45866</v>
      </c>
      <c r="C1856" t="s">
        <v>362</v>
      </c>
      <c r="D1856" t="s">
        <v>64</v>
      </c>
      <c r="E1856">
        <v>1</v>
      </c>
      <c r="F1856" s="6">
        <v>52</v>
      </c>
      <c r="G1856" s="7">
        <v>2</v>
      </c>
      <c r="H1856" s="6">
        <v>50.96</v>
      </c>
      <c r="I1856">
        <v>0</v>
      </c>
      <c r="J1856" s="6">
        <v>0</v>
      </c>
      <c r="K1856">
        <v>1</v>
      </c>
      <c r="L1856" s="6">
        <v>50.96</v>
      </c>
      <c r="M1856" s="6">
        <v>36.67</v>
      </c>
      <c r="N1856" s="6">
        <v>14.29</v>
      </c>
      <c r="O1856" s="6">
        <v>4.26</v>
      </c>
      <c r="P1856" s="6">
        <v>10.029999999999999</v>
      </c>
      <c r="Q1856" t="s">
        <v>75</v>
      </c>
      <c r="R1856" t="s">
        <v>82</v>
      </c>
      <c r="S1856" t="s">
        <v>67</v>
      </c>
    </row>
    <row r="1857" spans="1:19" x14ac:dyDescent="0.35">
      <c r="A1857" t="s">
        <v>1986</v>
      </c>
      <c r="B1857" s="5">
        <v>45777</v>
      </c>
      <c r="C1857" t="s">
        <v>56</v>
      </c>
      <c r="D1857" t="s">
        <v>57</v>
      </c>
      <c r="E1857">
        <v>5</v>
      </c>
      <c r="F1857" s="6">
        <v>40</v>
      </c>
      <c r="G1857" s="7">
        <v>2</v>
      </c>
      <c r="H1857" s="6">
        <v>196</v>
      </c>
      <c r="I1857">
        <v>0</v>
      </c>
      <c r="J1857" s="6">
        <v>0</v>
      </c>
      <c r="K1857">
        <v>5</v>
      </c>
      <c r="L1857" s="6">
        <v>196</v>
      </c>
      <c r="M1857" s="6">
        <v>122.59</v>
      </c>
      <c r="N1857" s="6">
        <v>73.41</v>
      </c>
      <c r="O1857" s="6">
        <v>20.56</v>
      </c>
      <c r="P1857" s="6">
        <v>52.85</v>
      </c>
      <c r="Q1857" t="s">
        <v>75</v>
      </c>
      <c r="R1857" t="s">
        <v>86</v>
      </c>
      <c r="S1857" t="s">
        <v>67</v>
      </c>
    </row>
    <row r="1858" spans="1:19" x14ac:dyDescent="0.35">
      <c r="A1858" t="s">
        <v>1987</v>
      </c>
      <c r="B1858" s="5">
        <v>45733</v>
      </c>
      <c r="C1858" t="s">
        <v>63</v>
      </c>
      <c r="D1858" t="s">
        <v>64</v>
      </c>
      <c r="E1858">
        <v>1</v>
      </c>
      <c r="F1858" s="6">
        <v>145</v>
      </c>
      <c r="G1858" s="7">
        <v>10</v>
      </c>
      <c r="H1858" s="6">
        <v>130.5</v>
      </c>
      <c r="I1858">
        <v>0</v>
      </c>
      <c r="J1858" s="6">
        <v>0</v>
      </c>
      <c r="K1858">
        <v>1</v>
      </c>
      <c r="L1858" s="6">
        <v>130.5</v>
      </c>
      <c r="M1858" s="6">
        <v>96.38</v>
      </c>
      <c r="N1858" s="6">
        <v>34.119999999999997</v>
      </c>
      <c r="O1858" s="6">
        <v>15.59</v>
      </c>
      <c r="P1858" s="6">
        <v>18.53</v>
      </c>
      <c r="Q1858" t="s">
        <v>59</v>
      </c>
      <c r="R1858" t="s">
        <v>86</v>
      </c>
      <c r="S1858" t="s">
        <v>76</v>
      </c>
    </row>
    <row r="1859" spans="1:19" x14ac:dyDescent="0.35">
      <c r="A1859" t="s">
        <v>1988</v>
      </c>
      <c r="B1859" s="5">
        <v>45859</v>
      </c>
      <c r="C1859" t="s">
        <v>1248</v>
      </c>
      <c r="D1859" t="s">
        <v>57</v>
      </c>
      <c r="E1859">
        <v>3</v>
      </c>
      <c r="F1859" s="6">
        <v>55</v>
      </c>
      <c r="G1859" s="7">
        <v>0</v>
      </c>
      <c r="H1859" s="6">
        <v>165</v>
      </c>
      <c r="I1859">
        <v>0</v>
      </c>
      <c r="J1859" s="6">
        <v>0</v>
      </c>
      <c r="K1859">
        <v>3</v>
      </c>
      <c r="L1859" s="6">
        <v>165</v>
      </c>
      <c r="M1859" s="6">
        <v>121.38</v>
      </c>
      <c r="N1859" s="6">
        <v>43.62</v>
      </c>
      <c r="O1859" s="6">
        <v>10.73</v>
      </c>
      <c r="P1859" s="6">
        <v>32.89</v>
      </c>
      <c r="Q1859" t="s">
        <v>81</v>
      </c>
      <c r="R1859" t="s">
        <v>82</v>
      </c>
      <c r="S1859" t="s">
        <v>67</v>
      </c>
    </row>
    <row r="1860" spans="1:19" x14ac:dyDescent="0.35">
      <c r="A1860" t="s">
        <v>1989</v>
      </c>
      <c r="B1860" s="5">
        <v>45849</v>
      </c>
      <c r="C1860" t="s">
        <v>109</v>
      </c>
      <c r="D1860" t="s">
        <v>85</v>
      </c>
      <c r="E1860">
        <v>2</v>
      </c>
      <c r="F1860" s="6">
        <v>180</v>
      </c>
      <c r="G1860" s="7">
        <v>0</v>
      </c>
      <c r="H1860" s="6">
        <v>360</v>
      </c>
      <c r="I1860">
        <v>0</v>
      </c>
      <c r="J1860" s="6">
        <v>0</v>
      </c>
      <c r="K1860">
        <v>2</v>
      </c>
      <c r="L1860" s="6">
        <v>360</v>
      </c>
      <c r="M1860" s="6">
        <v>253.26</v>
      </c>
      <c r="N1860" s="6">
        <v>106.74</v>
      </c>
      <c r="O1860" s="6">
        <v>36.770000000000003</v>
      </c>
      <c r="P1860" s="6">
        <v>69.97</v>
      </c>
      <c r="Q1860" t="s">
        <v>81</v>
      </c>
      <c r="R1860" t="s">
        <v>176</v>
      </c>
      <c r="S1860" t="s">
        <v>61</v>
      </c>
    </row>
    <row r="1861" spans="1:19" x14ac:dyDescent="0.35">
      <c r="A1861" t="s">
        <v>1990</v>
      </c>
      <c r="B1861" s="5">
        <v>45984</v>
      </c>
      <c r="C1861" t="s">
        <v>114</v>
      </c>
      <c r="D1861" t="s">
        <v>64</v>
      </c>
      <c r="E1861">
        <v>3</v>
      </c>
      <c r="F1861" s="6">
        <v>420</v>
      </c>
      <c r="G1861" s="7">
        <v>0</v>
      </c>
      <c r="H1861" s="6">
        <v>1260</v>
      </c>
      <c r="I1861">
        <v>0</v>
      </c>
      <c r="J1861" s="6">
        <v>0</v>
      </c>
      <c r="K1861">
        <v>3</v>
      </c>
      <c r="L1861" s="6">
        <v>1260</v>
      </c>
      <c r="M1861" s="6">
        <v>802.16</v>
      </c>
      <c r="N1861" s="6">
        <v>457.84</v>
      </c>
      <c r="O1861" s="6">
        <v>117.82</v>
      </c>
      <c r="P1861" s="6">
        <v>340.02</v>
      </c>
      <c r="Q1861" t="s">
        <v>81</v>
      </c>
      <c r="R1861" t="s">
        <v>66</v>
      </c>
      <c r="S1861" t="s">
        <v>76</v>
      </c>
    </row>
    <row r="1862" spans="1:19" x14ac:dyDescent="0.35">
      <c r="A1862" t="s">
        <v>1991</v>
      </c>
      <c r="B1862" s="5">
        <v>46021</v>
      </c>
      <c r="C1862" t="s">
        <v>280</v>
      </c>
      <c r="D1862" t="s">
        <v>64</v>
      </c>
      <c r="E1862">
        <v>5</v>
      </c>
      <c r="F1862" s="6">
        <v>310</v>
      </c>
      <c r="G1862" s="7">
        <v>0</v>
      </c>
      <c r="H1862" s="6">
        <v>1550</v>
      </c>
      <c r="I1862">
        <v>0</v>
      </c>
      <c r="J1862" s="6">
        <v>0</v>
      </c>
      <c r="K1862">
        <v>5</v>
      </c>
      <c r="L1862" s="6">
        <v>1550</v>
      </c>
      <c r="M1862" s="6">
        <v>1210.1500000000001</v>
      </c>
      <c r="N1862" s="6">
        <v>339.85</v>
      </c>
      <c r="O1862" s="6">
        <v>140.63999999999999</v>
      </c>
      <c r="P1862" s="6">
        <v>199.21</v>
      </c>
      <c r="Q1862" t="s">
        <v>65</v>
      </c>
      <c r="R1862" t="s">
        <v>82</v>
      </c>
      <c r="S1862" t="s">
        <v>76</v>
      </c>
    </row>
    <row r="1863" spans="1:19" x14ac:dyDescent="0.35">
      <c r="A1863" t="s">
        <v>1992</v>
      </c>
      <c r="B1863" s="5">
        <v>45732</v>
      </c>
      <c r="C1863" t="s">
        <v>125</v>
      </c>
      <c r="D1863" t="s">
        <v>85</v>
      </c>
      <c r="E1863">
        <v>1</v>
      </c>
      <c r="F1863" s="6">
        <v>125</v>
      </c>
      <c r="G1863" s="7">
        <v>0</v>
      </c>
      <c r="H1863" s="6">
        <v>125</v>
      </c>
      <c r="I1863">
        <v>1</v>
      </c>
      <c r="J1863" s="6">
        <v>125</v>
      </c>
      <c r="K1863">
        <v>0</v>
      </c>
      <c r="L1863" s="6">
        <v>0</v>
      </c>
      <c r="M1863" s="6">
        <v>0</v>
      </c>
      <c r="N1863" s="6">
        <v>0</v>
      </c>
      <c r="O1863" s="6">
        <v>0</v>
      </c>
      <c r="P1863" s="6">
        <v>0</v>
      </c>
      <c r="Q1863" t="s">
        <v>81</v>
      </c>
      <c r="R1863" t="s">
        <v>66</v>
      </c>
      <c r="S1863" t="s">
        <v>67</v>
      </c>
    </row>
    <row r="1864" spans="1:19" x14ac:dyDescent="0.35">
      <c r="A1864" t="s">
        <v>1993</v>
      </c>
      <c r="B1864" s="5">
        <v>45966</v>
      </c>
      <c r="C1864" t="s">
        <v>121</v>
      </c>
      <c r="D1864" t="s">
        <v>70</v>
      </c>
      <c r="E1864">
        <v>2</v>
      </c>
      <c r="F1864" s="6">
        <v>110</v>
      </c>
      <c r="G1864" s="7">
        <v>10</v>
      </c>
      <c r="H1864" s="6">
        <v>198</v>
      </c>
      <c r="I1864">
        <v>0</v>
      </c>
      <c r="J1864" s="6">
        <v>0</v>
      </c>
      <c r="K1864">
        <v>2</v>
      </c>
      <c r="L1864" s="6">
        <v>198</v>
      </c>
      <c r="M1864" s="6">
        <v>153.74</v>
      </c>
      <c r="N1864" s="6">
        <v>44.26</v>
      </c>
      <c r="O1864" s="6">
        <v>23.1</v>
      </c>
      <c r="P1864" s="6">
        <v>21.16</v>
      </c>
      <c r="Q1864" t="s">
        <v>59</v>
      </c>
      <c r="R1864" t="s">
        <v>86</v>
      </c>
      <c r="S1864" t="s">
        <v>61</v>
      </c>
    </row>
    <row r="1865" spans="1:19" x14ac:dyDescent="0.35">
      <c r="A1865" t="s">
        <v>1994</v>
      </c>
      <c r="B1865" s="5">
        <v>45721</v>
      </c>
      <c r="C1865" t="s">
        <v>63</v>
      </c>
      <c r="D1865" t="s">
        <v>64</v>
      </c>
      <c r="E1865">
        <v>3</v>
      </c>
      <c r="F1865" s="6">
        <v>145</v>
      </c>
      <c r="G1865" s="7">
        <v>0</v>
      </c>
      <c r="H1865" s="6">
        <v>435</v>
      </c>
      <c r="I1865">
        <v>0</v>
      </c>
      <c r="J1865" s="6">
        <v>0</v>
      </c>
      <c r="K1865">
        <v>3</v>
      </c>
      <c r="L1865" s="6">
        <v>435</v>
      </c>
      <c r="M1865" s="6">
        <v>282.69</v>
      </c>
      <c r="N1865" s="6">
        <v>152.31</v>
      </c>
      <c r="O1865" s="6">
        <v>26.54</v>
      </c>
      <c r="P1865" s="6">
        <v>125.77</v>
      </c>
      <c r="Q1865" t="s">
        <v>75</v>
      </c>
      <c r="R1865" t="s">
        <v>66</v>
      </c>
      <c r="S1865" t="s">
        <v>67</v>
      </c>
    </row>
    <row r="1866" spans="1:19" x14ac:dyDescent="0.35">
      <c r="A1866" t="s">
        <v>1995</v>
      </c>
      <c r="B1866" s="5">
        <v>45976</v>
      </c>
      <c r="C1866" t="s">
        <v>125</v>
      </c>
      <c r="D1866" t="s">
        <v>85</v>
      </c>
      <c r="E1866">
        <v>3</v>
      </c>
      <c r="F1866" s="6">
        <v>125</v>
      </c>
      <c r="G1866" s="7">
        <v>0</v>
      </c>
      <c r="H1866" s="6">
        <v>375</v>
      </c>
      <c r="I1866">
        <v>0</v>
      </c>
      <c r="J1866" s="6">
        <v>0</v>
      </c>
      <c r="K1866">
        <v>3</v>
      </c>
      <c r="L1866" s="6">
        <v>375</v>
      </c>
      <c r="M1866" s="6">
        <v>283.92</v>
      </c>
      <c r="N1866" s="6">
        <v>91.08</v>
      </c>
      <c r="O1866" s="6">
        <v>42.27</v>
      </c>
      <c r="P1866" s="6">
        <v>48.81</v>
      </c>
      <c r="Q1866" t="s">
        <v>65</v>
      </c>
      <c r="R1866" t="s">
        <v>66</v>
      </c>
      <c r="S1866" t="s">
        <v>71</v>
      </c>
    </row>
    <row r="1867" spans="1:19" x14ac:dyDescent="0.35">
      <c r="A1867" t="s">
        <v>1996</v>
      </c>
      <c r="B1867" s="5">
        <v>45928</v>
      </c>
      <c r="C1867" t="s">
        <v>73</v>
      </c>
      <c r="D1867" t="s">
        <v>74</v>
      </c>
      <c r="E1867">
        <v>6</v>
      </c>
      <c r="F1867" s="6">
        <v>280</v>
      </c>
      <c r="G1867" s="7">
        <v>5</v>
      </c>
      <c r="H1867" s="6">
        <v>1596</v>
      </c>
      <c r="I1867">
        <v>0</v>
      </c>
      <c r="J1867" s="6">
        <v>0</v>
      </c>
      <c r="K1867">
        <v>6</v>
      </c>
      <c r="L1867" s="6">
        <v>1596</v>
      </c>
      <c r="M1867" s="6">
        <v>1222.53</v>
      </c>
      <c r="N1867" s="6">
        <v>373.47</v>
      </c>
      <c r="O1867" s="6">
        <v>144.05000000000001</v>
      </c>
      <c r="P1867" s="6">
        <v>229.42</v>
      </c>
      <c r="Q1867" t="s">
        <v>59</v>
      </c>
      <c r="R1867" t="s">
        <v>86</v>
      </c>
      <c r="S1867" t="s">
        <v>61</v>
      </c>
    </row>
    <row r="1868" spans="1:19" x14ac:dyDescent="0.35">
      <c r="A1868" t="s">
        <v>1997</v>
      </c>
      <c r="B1868" s="5">
        <v>45997</v>
      </c>
      <c r="C1868" t="s">
        <v>97</v>
      </c>
      <c r="D1868" t="s">
        <v>57</v>
      </c>
      <c r="E1868">
        <v>1</v>
      </c>
      <c r="F1868" s="6">
        <v>55</v>
      </c>
      <c r="G1868" s="7">
        <v>0</v>
      </c>
      <c r="H1868" s="6">
        <v>55</v>
      </c>
      <c r="I1868">
        <v>0</v>
      </c>
      <c r="J1868" s="6">
        <v>0</v>
      </c>
      <c r="K1868">
        <v>1</v>
      </c>
      <c r="L1868" s="6">
        <v>55</v>
      </c>
      <c r="M1868" s="6">
        <v>45.49</v>
      </c>
      <c r="N1868" s="6">
        <v>9.51</v>
      </c>
      <c r="O1868" s="6">
        <v>6.46</v>
      </c>
      <c r="P1868" s="6">
        <v>3.05</v>
      </c>
      <c r="Q1868" t="s">
        <v>75</v>
      </c>
      <c r="R1868" t="s">
        <v>60</v>
      </c>
      <c r="S1868" t="s">
        <v>76</v>
      </c>
    </row>
    <row r="1869" spans="1:19" x14ac:dyDescent="0.35">
      <c r="A1869" t="s">
        <v>1998</v>
      </c>
      <c r="B1869" s="5">
        <v>45670</v>
      </c>
      <c r="C1869" t="s">
        <v>107</v>
      </c>
      <c r="D1869" t="s">
        <v>243</v>
      </c>
      <c r="E1869">
        <v>1</v>
      </c>
      <c r="F1869" s="6">
        <v>125</v>
      </c>
      <c r="G1869" s="7">
        <v>0</v>
      </c>
      <c r="H1869" s="6">
        <v>125</v>
      </c>
      <c r="I1869">
        <v>0</v>
      </c>
      <c r="J1869" s="6">
        <v>0</v>
      </c>
      <c r="K1869">
        <v>1</v>
      </c>
      <c r="L1869" s="6">
        <v>125</v>
      </c>
      <c r="M1869" s="6">
        <v>78.77</v>
      </c>
      <c r="N1869" s="6">
        <v>46.23</v>
      </c>
      <c r="O1869" s="6">
        <v>11.7</v>
      </c>
      <c r="P1869" s="6">
        <v>34.53</v>
      </c>
      <c r="Q1869" t="s">
        <v>81</v>
      </c>
      <c r="R1869" t="s">
        <v>66</v>
      </c>
      <c r="S1869" t="s">
        <v>76</v>
      </c>
    </row>
    <row r="1870" spans="1:19" x14ac:dyDescent="0.35">
      <c r="A1870" t="s">
        <v>1999</v>
      </c>
      <c r="B1870" s="5">
        <v>45729</v>
      </c>
      <c r="C1870" t="s">
        <v>264</v>
      </c>
      <c r="D1870" t="s">
        <v>85</v>
      </c>
      <c r="E1870">
        <v>3</v>
      </c>
      <c r="F1870" s="6">
        <v>20</v>
      </c>
      <c r="G1870" s="7">
        <v>5</v>
      </c>
      <c r="H1870" s="6">
        <v>57</v>
      </c>
      <c r="I1870">
        <v>0</v>
      </c>
      <c r="J1870" s="6">
        <v>0</v>
      </c>
      <c r="K1870">
        <v>3</v>
      </c>
      <c r="L1870" s="6">
        <v>57</v>
      </c>
      <c r="M1870" s="6">
        <v>37.67</v>
      </c>
      <c r="N1870" s="6">
        <v>19.329999999999998</v>
      </c>
      <c r="O1870" s="6">
        <v>6.9</v>
      </c>
      <c r="P1870" s="6">
        <v>12.43</v>
      </c>
      <c r="Q1870" t="s">
        <v>75</v>
      </c>
      <c r="R1870" t="s">
        <v>66</v>
      </c>
      <c r="S1870" t="s">
        <v>67</v>
      </c>
    </row>
    <row r="1871" spans="1:19" x14ac:dyDescent="0.35">
      <c r="A1871" t="s">
        <v>2000</v>
      </c>
      <c r="B1871" s="5">
        <v>45948</v>
      </c>
      <c r="C1871" t="s">
        <v>95</v>
      </c>
      <c r="D1871" t="s">
        <v>64</v>
      </c>
      <c r="E1871">
        <v>3</v>
      </c>
      <c r="F1871" s="6">
        <v>52</v>
      </c>
      <c r="G1871" s="7">
        <v>0</v>
      </c>
      <c r="H1871" s="6">
        <v>156</v>
      </c>
      <c r="I1871">
        <v>0</v>
      </c>
      <c r="J1871" s="6">
        <v>0</v>
      </c>
      <c r="K1871">
        <v>3</v>
      </c>
      <c r="L1871" s="6">
        <v>156</v>
      </c>
      <c r="M1871" s="6">
        <v>111.64</v>
      </c>
      <c r="N1871" s="6">
        <v>44.36</v>
      </c>
      <c r="O1871" s="6">
        <v>15.92</v>
      </c>
      <c r="P1871" s="6">
        <v>28.44</v>
      </c>
      <c r="Q1871" t="s">
        <v>81</v>
      </c>
      <c r="R1871" t="s">
        <v>86</v>
      </c>
      <c r="S1871" t="s">
        <v>71</v>
      </c>
    </row>
    <row r="1872" spans="1:19" x14ac:dyDescent="0.35">
      <c r="A1872" t="s">
        <v>2001</v>
      </c>
      <c r="B1872" s="5">
        <v>45744</v>
      </c>
      <c r="C1872" t="s">
        <v>100</v>
      </c>
      <c r="D1872" t="s">
        <v>64</v>
      </c>
      <c r="E1872">
        <v>2</v>
      </c>
      <c r="F1872" s="6">
        <v>310</v>
      </c>
      <c r="G1872" s="7">
        <v>0</v>
      </c>
      <c r="H1872" s="6">
        <v>620</v>
      </c>
      <c r="I1872">
        <v>0</v>
      </c>
      <c r="J1872" s="6">
        <v>0</v>
      </c>
      <c r="K1872">
        <v>2</v>
      </c>
      <c r="L1872" s="6">
        <v>620</v>
      </c>
      <c r="M1872" s="6">
        <v>495.52</v>
      </c>
      <c r="N1872" s="6">
        <v>124.48</v>
      </c>
      <c r="O1872" s="6">
        <v>35.130000000000003</v>
      </c>
      <c r="P1872" s="6">
        <v>89.35</v>
      </c>
      <c r="Q1872" t="s">
        <v>81</v>
      </c>
      <c r="R1872" t="s">
        <v>86</v>
      </c>
      <c r="S1872" t="s">
        <v>76</v>
      </c>
    </row>
    <row r="1873" spans="1:19" x14ac:dyDescent="0.35">
      <c r="A1873" t="s">
        <v>2002</v>
      </c>
      <c r="B1873" s="5">
        <v>45855</v>
      </c>
      <c r="C1873" t="s">
        <v>92</v>
      </c>
      <c r="D1873" t="s">
        <v>79</v>
      </c>
      <c r="E1873">
        <v>4</v>
      </c>
      <c r="F1873" s="6">
        <v>85</v>
      </c>
      <c r="G1873" s="7">
        <v>15</v>
      </c>
      <c r="H1873" s="6">
        <v>289</v>
      </c>
      <c r="I1873">
        <v>0</v>
      </c>
      <c r="J1873" s="6">
        <v>0</v>
      </c>
      <c r="K1873">
        <v>4</v>
      </c>
      <c r="L1873" s="6">
        <v>289</v>
      </c>
      <c r="M1873" s="6">
        <v>232.56</v>
      </c>
      <c r="N1873" s="6">
        <v>56.44</v>
      </c>
      <c r="O1873" s="6">
        <v>37.35</v>
      </c>
      <c r="P1873" s="6">
        <v>19.09</v>
      </c>
      <c r="Q1873" t="s">
        <v>65</v>
      </c>
      <c r="R1873" t="s">
        <v>60</v>
      </c>
      <c r="S1873" t="s">
        <v>61</v>
      </c>
    </row>
    <row r="1874" spans="1:19" x14ac:dyDescent="0.35">
      <c r="A1874" t="s">
        <v>2003</v>
      </c>
      <c r="B1874" s="5">
        <v>45713</v>
      </c>
      <c r="C1874" t="s">
        <v>114</v>
      </c>
      <c r="D1874" t="s">
        <v>64</v>
      </c>
      <c r="E1874">
        <v>4</v>
      </c>
      <c r="F1874" s="6">
        <v>420</v>
      </c>
      <c r="G1874" s="7">
        <v>5</v>
      </c>
      <c r="H1874" s="6">
        <v>1596</v>
      </c>
      <c r="I1874">
        <v>0</v>
      </c>
      <c r="J1874" s="6">
        <v>0</v>
      </c>
      <c r="K1874">
        <v>4</v>
      </c>
      <c r="L1874" s="6">
        <v>1596</v>
      </c>
      <c r="M1874" s="6">
        <v>1232.79</v>
      </c>
      <c r="N1874" s="6">
        <v>363.21</v>
      </c>
      <c r="O1874" s="6">
        <v>168.92</v>
      </c>
      <c r="P1874" s="6">
        <v>194.29</v>
      </c>
      <c r="Q1874" t="s">
        <v>75</v>
      </c>
      <c r="R1874" t="s">
        <v>60</v>
      </c>
      <c r="S1874" t="s">
        <v>67</v>
      </c>
    </row>
    <row r="1875" spans="1:19" x14ac:dyDescent="0.35">
      <c r="A1875" t="s">
        <v>2004</v>
      </c>
      <c r="B1875" s="5">
        <v>45945</v>
      </c>
      <c r="C1875" t="s">
        <v>100</v>
      </c>
      <c r="D1875" t="s">
        <v>128</v>
      </c>
      <c r="E1875" t="s">
        <v>58</v>
      </c>
      <c r="F1875" s="6">
        <v>310</v>
      </c>
      <c r="G1875" s="7">
        <v>0</v>
      </c>
      <c r="H1875" s="6">
        <v>1550</v>
      </c>
      <c r="I1875">
        <v>0</v>
      </c>
      <c r="J1875" s="6">
        <v>0</v>
      </c>
      <c r="K1875">
        <v>5</v>
      </c>
      <c r="L1875" s="6">
        <v>1550</v>
      </c>
      <c r="M1875" s="6">
        <v>1288.8</v>
      </c>
      <c r="N1875" s="6">
        <v>261.2</v>
      </c>
      <c r="O1875" s="6">
        <v>158.63999999999999</v>
      </c>
      <c r="P1875" s="6">
        <v>102.56</v>
      </c>
      <c r="Q1875" t="s">
        <v>81</v>
      </c>
      <c r="R1875" t="s">
        <v>60</v>
      </c>
      <c r="S1875" t="s">
        <v>67</v>
      </c>
    </row>
    <row r="1876" spans="1:19" x14ac:dyDescent="0.35">
      <c r="A1876" t="s">
        <v>2005</v>
      </c>
      <c r="B1876" s="5">
        <v>45759</v>
      </c>
      <c r="C1876" t="s">
        <v>97</v>
      </c>
      <c r="D1876" t="s">
        <v>57</v>
      </c>
      <c r="E1876">
        <v>2</v>
      </c>
      <c r="F1876" s="6">
        <v>55</v>
      </c>
      <c r="G1876" s="7">
        <v>2</v>
      </c>
      <c r="H1876" s="6">
        <v>107.8</v>
      </c>
      <c r="I1876">
        <v>0</v>
      </c>
      <c r="J1876" s="6">
        <v>0</v>
      </c>
      <c r="K1876">
        <v>2</v>
      </c>
      <c r="L1876" s="6">
        <v>107.8</v>
      </c>
      <c r="M1876" s="6">
        <v>85.66</v>
      </c>
      <c r="N1876" s="6">
        <v>22.14</v>
      </c>
      <c r="O1876" s="6">
        <v>13.18</v>
      </c>
      <c r="P1876" s="6">
        <v>8.9600000000000009</v>
      </c>
      <c r="Q1876" t="s">
        <v>65</v>
      </c>
      <c r="R1876" t="s">
        <v>66</v>
      </c>
      <c r="S1876" t="s">
        <v>61</v>
      </c>
    </row>
    <row r="1877" spans="1:19" x14ac:dyDescent="0.35">
      <c r="A1877" t="s">
        <v>2006</v>
      </c>
      <c r="B1877" s="5">
        <v>45743</v>
      </c>
      <c r="C1877" t="s">
        <v>56</v>
      </c>
      <c r="D1877" t="s">
        <v>57</v>
      </c>
      <c r="E1877">
        <v>6</v>
      </c>
      <c r="F1877" s="6">
        <v>40</v>
      </c>
      <c r="G1877" s="7">
        <v>0</v>
      </c>
      <c r="H1877" s="6">
        <v>240</v>
      </c>
      <c r="I1877">
        <v>1</v>
      </c>
      <c r="J1877" s="6">
        <v>40</v>
      </c>
      <c r="K1877">
        <v>5</v>
      </c>
      <c r="L1877" s="6">
        <v>200</v>
      </c>
      <c r="M1877" s="6">
        <v>149.66999999999999</v>
      </c>
      <c r="N1877" s="6">
        <v>50.33</v>
      </c>
      <c r="O1877" s="6">
        <v>10.14</v>
      </c>
      <c r="P1877" s="6">
        <v>40.19</v>
      </c>
      <c r="Q1877" t="s">
        <v>59</v>
      </c>
      <c r="R1877" t="s">
        <v>66</v>
      </c>
      <c r="S1877" t="s">
        <v>67</v>
      </c>
    </row>
    <row r="1878" spans="1:19" x14ac:dyDescent="0.35">
      <c r="A1878" t="s">
        <v>2007</v>
      </c>
      <c r="B1878" s="5">
        <v>45909</v>
      </c>
      <c r="C1878" t="s">
        <v>56</v>
      </c>
      <c r="D1878" t="s">
        <v>57</v>
      </c>
      <c r="E1878">
        <v>3</v>
      </c>
      <c r="F1878" s="6">
        <v>40</v>
      </c>
      <c r="G1878" s="7">
        <v>2</v>
      </c>
      <c r="H1878" s="6">
        <v>117.6</v>
      </c>
      <c r="I1878">
        <v>0</v>
      </c>
      <c r="J1878" s="6">
        <v>0</v>
      </c>
      <c r="K1878">
        <v>3</v>
      </c>
      <c r="L1878" s="6">
        <v>117.6</v>
      </c>
      <c r="M1878" s="6">
        <v>94.53</v>
      </c>
      <c r="N1878" s="6">
        <v>23.07</v>
      </c>
      <c r="O1878" s="6">
        <v>11.81</v>
      </c>
      <c r="P1878" s="6">
        <v>11.26</v>
      </c>
      <c r="Q1878" t="s">
        <v>75</v>
      </c>
      <c r="R1878" t="s">
        <v>60</v>
      </c>
      <c r="S1878" t="s">
        <v>71</v>
      </c>
    </row>
    <row r="1879" spans="1:19" x14ac:dyDescent="0.35">
      <c r="A1879" t="s">
        <v>2008</v>
      </c>
      <c r="B1879" s="5">
        <v>45914</v>
      </c>
      <c r="C1879" t="s">
        <v>95</v>
      </c>
      <c r="D1879" t="s">
        <v>64</v>
      </c>
      <c r="E1879">
        <v>3</v>
      </c>
      <c r="F1879" s="6">
        <v>52</v>
      </c>
      <c r="G1879" s="7">
        <v>5</v>
      </c>
      <c r="H1879" s="6">
        <v>148.19999999999999</v>
      </c>
      <c r="I1879">
        <v>0</v>
      </c>
      <c r="J1879" s="6">
        <v>0</v>
      </c>
      <c r="K1879">
        <v>3</v>
      </c>
      <c r="L1879" s="6">
        <v>148.19999999999999</v>
      </c>
      <c r="M1879" s="6">
        <v>96.86</v>
      </c>
      <c r="N1879" s="6">
        <v>51.34</v>
      </c>
      <c r="O1879" s="6">
        <v>10.210000000000001</v>
      </c>
      <c r="P1879" s="6">
        <v>41.13</v>
      </c>
      <c r="Q1879" t="s">
        <v>81</v>
      </c>
      <c r="R1879" t="s">
        <v>66</v>
      </c>
      <c r="S1879" t="s">
        <v>71</v>
      </c>
    </row>
    <row r="1880" spans="1:19" x14ac:dyDescent="0.35">
      <c r="A1880" t="s">
        <v>2009</v>
      </c>
      <c r="B1880" s="5">
        <v>45690</v>
      </c>
      <c r="C1880" t="s">
        <v>92</v>
      </c>
      <c r="D1880" t="s">
        <v>79</v>
      </c>
      <c r="E1880">
        <v>2</v>
      </c>
      <c r="F1880" s="6">
        <v>85</v>
      </c>
      <c r="G1880" s="7">
        <v>2</v>
      </c>
      <c r="H1880" s="6">
        <v>166.6</v>
      </c>
      <c r="I1880">
        <v>0</v>
      </c>
      <c r="J1880" s="6">
        <v>0</v>
      </c>
      <c r="K1880">
        <v>2</v>
      </c>
      <c r="L1880" s="6">
        <v>166.6</v>
      </c>
      <c r="M1880" s="6">
        <v>111.01</v>
      </c>
      <c r="N1880" s="6">
        <v>55.59</v>
      </c>
      <c r="O1880" s="6">
        <v>18.37</v>
      </c>
      <c r="P1880" s="6">
        <v>37.22</v>
      </c>
      <c r="Q1880" t="s">
        <v>81</v>
      </c>
      <c r="R1880" t="s">
        <v>66</v>
      </c>
      <c r="S1880" t="s">
        <v>67</v>
      </c>
    </row>
    <row r="1881" spans="1:19" x14ac:dyDescent="0.35">
      <c r="A1881" t="s">
        <v>2010</v>
      </c>
      <c r="B1881" s="5">
        <v>45795</v>
      </c>
      <c r="C1881" t="s">
        <v>114</v>
      </c>
      <c r="D1881" t="s">
        <v>64</v>
      </c>
      <c r="E1881">
        <v>8</v>
      </c>
      <c r="F1881" s="6">
        <v>420</v>
      </c>
      <c r="G1881" s="7">
        <v>10</v>
      </c>
      <c r="H1881" s="6">
        <v>3024</v>
      </c>
      <c r="I1881">
        <v>0</v>
      </c>
      <c r="J1881" s="6">
        <v>0</v>
      </c>
      <c r="K1881">
        <v>8</v>
      </c>
      <c r="L1881" s="6">
        <v>3024</v>
      </c>
      <c r="M1881" s="6">
        <v>2038.54</v>
      </c>
      <c r="N1881" s="6">
        <v>985.46</v>
      </c>
      <c r="O1881" s="6">
        <v>157.97999999999999</v>
      </c>
      <c r="P1881" s="6">
        <v>827.48</v>
      </c>
      <c r="Q1881" t="s">
        <v>81</v>
      </c>
      <c r="R1881" t="s">
        <v>60</v>
      </c>
      <c r="S1881" t="s">
        <v>61</v>
      </c>
    </row>
    <row r="1882" spans="1:19" x14ac:dyDescent="0.35">
      <c r="A1882" t="s">
        <v>2011</v>
      </c>
      <c r="B1882" s="5">
        <v>46007</v>
      </c>
      <c r="C1882" t="s">
        <v>100</v>
      </c>
      <c r="D1882" t="s">
        <v>128</v>
      </c>
      <c r="E1882">
        <v>2</v>
      </c>
      <c r="F1882" s="6">
        <v>310</v>
      </c>
      <c r="G1882" s="7">
        <v>0</v>
      </c>
      <c r="H1882" s="6">
        <v>620</v>
      </c>
      <c r="I1882">
        <v>0</v>
      </c>
      <c r="J1882" s="6">
        <v>0</v>
      </c>
      <c r="K1882">
        <v>2</v>
      </c>
      <c r="L1882" s="6">
        <v>620</v>
      </c>
      <c r="M1882" s="6">
        <v>442.87</v>
      </c>
      <c r="N1882" s="6">
        <v>177.13</v>
      </c>
      <c r="O1882" s="6">
        <v>54.31</v>
      </c>
      <c r="P1882" s="6">
        <v>122.82</v>
      </c>
      <c r="Q1882" t="s">
        <v>65</v>
      </c>
      <c r="R1882" t="s">
        <v>82</v>
      </c>
      <c r="S1882" t="s">
        <v>71</v>
      </c>
    </row>
    <row r="1883" spans="1:19" x14ac:dyDescent="0.35">
      <c r="A1883" t="s">
        <v>2012</v>
      </c>
      <c r="B1883" s="5">
        <v>45692</v>
      </c>
      <c r="C1883" t="s">
        <v>63</v>
      </c>
      <c r="D1883" t="s">
        <v>64</v>
      </c>
      <c r="E1883">
        <v>5</v>
      </c>
      <c r="F1883" s="6">
        <v>145</v>
      </c>
      <c r="G1883" s="7">
        <v>0</v>
      </c>
      <c r="H1883" s="6">
        <v>725</v>
      </c>
      <c r="I1883">
        <v>0</v>
      </c>
      <c r="J1883" s="6">
        <v>0</v>
      </c>
      <c r="K1883">
        <v>5</v>
      </c>
      <c r="L1883" s="6">
        <v>725</v>
      </c>
      <c r="M1883" s="6">
        <v>553.09</v>
      </c>
      <c r="N1883" s="6">
        <v>171.91</v>
      </c>
      <c r="O1883" s="6">
        <v>49.36</v>
      </c>
      <c r="P1883" s="6">
        <v>122.55</v>
      </c>
      <c r="Q1883" t="s">
        <v>81</v>
      </c>
      <c r="R1883" t="s">
        <v>82</v>
      </c>
      <c r="S1883" t="s">
        <v>71</v>
      </c>
    </row>
    <row r="1884" spans="1:19" x14ac:dyDescent="0.35">
      <c r="A1884" t="s">
        <v>2013</v>
      </c>
      <c r="B1884" s="5">
        <v>45888</v>
      </c>
      <c r="C1884" t="s">
        <v>271</v>
      </c>
      <c r="D1884" t="s">
        <v>74</v>
      </c>
      <c r="E1884">
        <v>8</v>
      </c>
      <c r="F1884" s="6">
        <v>280</v>
      </c>
      <c r="G1884" s="7">
        <v>15</v>
      </c>
      <c r="H1884" s="6">
        <v>1904</v>
      </c>
      <c r="I1884">
        <v>0</v>
      </c>
      <c r="J1884" s="6">
        <v>0</v>
      </c>
      <c r="K1884">
        <v>8</v>
      </c>
      <c r="L1884" s="6">
        <v>1904</v>
      </c>
      <c r="M1884" s="6">
        <v>1571.91</v>
      </c>
      <c r="N1884" s="6">
        <v>332.09</v>
      </c>
      <c r="O1884" s="6">
        <v>110.23</v>
      </c>
      <c r="P1884" s="6">
        <v>221.86</v>
      </c>
      <c r="Q1884" t="s">
        <v>75</v>
      </c>
      <c r="R1884" t="s">
        <v>66</v>
      </c>
      <c r="S1884" t="s">
        <v>76</v>
      </c>
    </row>
    <row r="1885" spans="1:19" x14ac:dyDescent="0.35">
      <c r="A1885" t="s">
        <v>2014</v>
      </c>
      <c r="B1885" s="5">
        <v>45796</v>
      </c>
      <c r="C1885" t="s">
        <v>90</v>
      </c>
      <c r="D1885" t="s">
        <v>70</v>
      </c>
      <c r="E1885">
        <v>2</v>
      </c>
      <c r="F1885" s="6">
        <v>38</v>
      </c>
      <c r="G1885" s="7">
        <v>0</v>
      </c>
      <c r="H1885" s="6">
        <v>76</v>
      </c>
      <c r="I1885">
        <v>0</v>
      </c>
      <c r="J1885" s="6">
        <v>0</v>
      </c>
      <c r="K1885">
        <v>2</v>
      </c>
      <c r="L1885" s="6">
        <v>76</v>
      </c>
      <c r="M1885" s="6">
        <v>49.46</v>
      </c>
      <c r="N1885" s="6">
        <v>26.54</v>
      </c>
      <c r="O1885" s="6">
        <v>7.19</v>
      </c>
      <c r="P1885" s="6">
        <v>19.350000000000001</v>
      </c>
      <c r="Q1885" t="s">
        <v>81</v>
      </c>
      <c r="R1885" t="s">
        <v>82</v>
      </c>
      <c r="S1885" t="s">
        <v>71</v>
      </c>
    </row>
    <row r="1886" spans="1:19" x14ac:dyDescent="0.35">
      <c r="A1886" t="s">
        <v>2015</v>
      </c>
      <c r="B1886" s="5">
        <v>45922</v>
      </c>
      <c r="C1886" t="s">
        <v>107</v>
      </c>
      <c r="D1886" t="s">
        <v>74</v>
      </c>
      <c r="E1886">
        <v>6</v>
      </c>
      <c r="F1886" s="6">
        <v>125</v>
      </c>
      <c r="G1886" s="7">
        <v>0</v>
      </c>
      <c r="H1886" s="6">
        <v>750</v>
      </c>
      <c r="I1886">
        <v>0</v>
      </c>
      <c r="J1886" s="6">
        <v>0</v>
      </c>
      <c r="K1886">
        <v>6</v>
      </c>
      <c r="L1886" s="6">
        <v>750</v>
      </c>
      <c r="M1886" s="6">
        <v>504</v>
      </c>
      <c r="N1886" s="6">
        <v>246</v>
      </c>
      <c r="O1886" s="6">
        <v>77.73</v>
      </c>
      <c r="P1886" s="6">
        <v>168.27</v>
      </c>
      <c r="Q1886" t="s">
        <v>81</v>
      </c>
      <c r="R1886" t="s">
        <v>66</v>
      </c>
      <c r="S1886" t="s">
        <v>67</v>
      </c>
    </row>
    <row r="1887" spans="1:19" x14ac:dyDescent="0.35">
      <c r="A1887" t="s">
        <v>2016</v>
      </c>
      <c r="B1887" s="5">
        <v>46019</v>
      </c>
      <c r="C1887" t="s">
        <v>84</v>
      </c>
      <c r="D1887" t="s">
        <v>85</v>
      </c>
      <c r="E1887">
        <v>1</v>
      </c>
      <c r="F1887" s="6">
        <v>48</v>
      </c>
      <c r="G1887" s="7">
        <v>0</v>
      </c>
      <c r="H1887" s="6">
        <v>48</v>
      </c>
      <c r="I1887">
        <v>0</v>
      </c>
      <c r="J1887" s="6">
        <v>0</v>
      </c>
      <c r="K1887">
        <v>1</v>
      </c>
      <c r="L1887" s="6">
        <v>48</v>
      </c>
      <c r="M1887" s="6">
        <v>36.78</v>
      </c>
      <c r="N1887" s="6">
        <v>11.22</v>
      </c>
      <c r="O1887" s="6">
        <v>3.45</v>
      </c>
      <c r="P1887" s="6">
        <v>7.77</v>
      </c>
      <c r="Q1887" t="s">
        <v>59</v>
      </c>
      <c r="R1887" t="s">
        <v>60</v>
      </c>
      <c r="S1887" t="s">
        <v>76</v>
      </c>
    </row>
    <row r="1888" spans="1:19" x14ac:dyDescent="0.35">
      <c r="A1888" t="s">
        <v>2017</v>
      </c>
      <c r="B1888" s="5">
        <v>45763</v>
      </c>
      <c r="C1888" t="s">
        <v>114</v>
      </c>
      <c r="D1888" t="s">
        <v>64</v>
      </c>
      <c r="E1888">
        <v>2</v>
      </c>
      <c r="F1888" s="6">
        <v>420</v>
      </c>
      <c r="G1888" s="7">
        <v>0</v>
      </c>
      <c r="H1888" s="6">
        <v>840</v>
      </c>
      <c r="I1888">
        <v>0</v>
      </c>
      <c r="J1888" s="6">
        <v>0</v>
      </c>
      <c r="K1888">
        <v>2</v>
      </c>
      <c r="L1888" s="6">
        <v>840</v>
      </c>
      <c r="M1888" s="6">
        <v>719.35</v>
      </c>
      <c r="N1888" s="6">
        <v>120.65</v>
      </c>
      <c r="O1888" s="6">
        <v>43.95</v>
      </c>
      <c r="P1888" s="6">
        <v>76.7</v>
      </c>
      <c r="Q1888" t="s">
        <v>59</v>
      </c>
      <c r="R1888" t="s">
        <v>66</v>
      </c>
      <c r="S1888" t="s">
        <v>71</v>
      </c>
    </row>
    <row r="1889" spans="1:19" x14ac:dyDescent="0.35">
      <c r="A1889" t="s">
        <v>2018</v>
      </c>
      <c r="B1889" s="5">
        <v>45991</v>
      </c>
      <c r="C1889" t="s">
        <v>73</v>
      </c>
      <c r="D1889" t="s">
        <v>74</v>
      </c>
      <c r="E1889">
        <v>2</v>
      </c>
      <c r="F1889" s="6">
        <v>280</v>
      </c>
      <c r="G1889" s="7">
        <v>0</v>
      </c>
      <c r="H1889" s="6">
        <v>560</v>
      </c>
      <c r="I1889">
        <v>0</v>
      </c>
      <c r="J1889" s="6">
        <v>0</v>
      </c>
      <c r="K1889">
        <v>2</v>
      </c>
      <c r="L1889" s="6">
        <v>560</v>
      </c>
      <c r="M1889" s="6">
        <v>457.32</v>
      </c>
      <c r="N1889" s="6">
        <v>102.68</v>
      </c>
      <c r="O1889" s="6">
        <v>71.98</v>
      </c>
      <c r="P1889" s="6">
        <v>30.7</v>
      </c>
      <c r="Q1889" t="s">
        <v>75</v>
      </c>
      <c r="R1889" t="s">
        <v>86</v>
      </c>
      <c r="S1889" t="s">
        <v>76</v>
      </c>
    </row>
    <row r="1890" spans="1:19" x14ac:dyDescent="0.35">
      <c r="A1890" t="s">
        <v>2019</v>
      </c>
      <c r="B1890" s="5">
        <v>45727</v>
      </c>
      <c r="C1890" t="s">
        <v>88</v>
      </c>
      <c r="D1890" t="s">
        <v>57</v>
      </c>
      <c r="E1890">
        <v>10</v>
      </c>
      <c r="F1890" s="6">
        <v>30</v>
      </c>
      <c r="G1890" s="7">
        <v>5</v>
      </c>
      <c r="H1890" s="6">
        <v>285</v>
      </c>
      <c r="I1890">
        <v>0</v>
      </c>
      <c r="J1890" s="6">
        <v>0</v>
      </c>
      <c r="K1890">
        <v>10</v>
      </c>
      <c r="L1890" s="6">
        <v>285</v>
      </c>
      <c r="M1890" s="6">
        <v>228.8</v>
      </c>
      <c r="N1890" s="6">
        <v>56.2</v>
      </c>
      <c r="O1890" s="6">
        <v>16.84</v>
      </c>
      <c r="P1890" s="6">
        <v>39.36</v>
      </c>
      <c r="Q1890" t="s">
        <v>75</v>
      </c>
      <c r="R1890" t="s">
        <v>60</v>
      </c>
      <c r="S1890" t="s">
        <v>71</v>
      </c>
    </row>
    <row r="1891" spans="1:19" x14ac:dyDescent="0.35">
      <c r="A1891" t="s">
        <v>2020</v>
      </c>
      <c r="B1891" s="5">
        <v>45840</v>
      </c>
      <c r="C1891" t="s">
        <v>107</v>
      </c>
      <c r="D1891" t="s">
        <v>74</v>
      </c>
      <c r="E1891">
        <v>2</v>
      </c>
      <c r="F1891" s="6">
        <v>125</v>
      </c>
      <c r="G1891" s="7">
        <v>5</v>
      </c>
      <c r="H1891" s="6">
        <v>237.5</v>
      </c>
      <c r="I1891">
        <v>0</v>
      </c>
      <c r="J1891" s="6">
        <v>0</v>
      </c>
      <c r="K1891">
        <v>2</v>
      </c>
      <c r="L1891" s="6">
        <v>237.5</v>
      </c>
      <c r="M1891" s="6">
        <v>175.18</v>
      </c>
      <c r="N1891" s="6">
        <v>62.32</v>
      </c>
      <c r="O1891" s="6">
        <v>19.61</v>
      </c>
      <c r="P1891" s="6">
        <v>42.71</v>
      </c>
      <c r="Q1891" t="s">
        <v>75</v>
      </c>
      <c r="R1891" t="s">
        <v>66</v>
      </c>
      <c r="S1891" t="s">
        <v>71</v>
      </c>
    </row>
    <row r="1892" spans="1:19" x14ac:dyDescent="0.35">
      <c r="A1892" t="s">
        <v>2021</v>
      </c>
      <c r="B1892" s="5">
        <v>45862</v>
      </c>
      <c r="C1892" t="s">
        <v>90</v>
      </c>
      <c r="D1892" t="s">
        <v>70</v>
      </c>
      <c r="E1892">
        <v>3</v>
      </c>
      <c r="F1892" s="6">
        <v>38</v>
      </c>
      <c r="G1892" s="7">
        <v>0</v>
      </c>
      <c r="H1892" s="6">
        <v>114</v>
      </c>
      <c r="I1892">
        <v>0</v>
      </c>
      <c r="J1892" s="6">
        <v>0</v>
      </c>
      <c r="K1892">
        <v>3</v>
      </c>
      <c r="L1892" s="6">
        <v>114</v>
      </c>
      <c r="M1892" s="6">
        <v>82.97</v>
      </c>
      <c r="N1892" s="6">
        <v>31.03</v>
      </c>
      <c r="O1892" s="6">
        <v>8.42</v>
      </c>
      <c r="P1892" s="6">
        <v>22.61</v>
      </c>
      <c r="Q1892" t="s">
        <v>59</v>
      </c>
      <c r="R1892" t="s">
        <v>86</v>
      </c>
      <c r="S1892" t="s">
        <v>76</v>
      </c>
    </row>
    <row r="1893" spans="1:19" x14ac:dyDescent="0.35">
      <c r="A1893" t="s">
        <v>2022</v>
      </c>
      <c r="B1893" s="5">
        <v>45785</v>
      </c>
      <c r="C1893" t="s">
        <v>78</v>
      </c>
      <c r="D1893" t="s">
        <v>79</v>
      </c>
      <c r="E1893">
        <v>2</v>
      </c>
      <c r="F1893" s="6">
        <v>120</v>
      </c>
      <c r="G1893" s="7">
        <v>0</v>
      </c>
      <c r="H1893" s="6">
        <v>240</v>
      </c>
      <c r="I1893">
        <v>0</v>
      </c>
      <c r="J1893" s="6">
        <v>0</v>
      </c>
      <c r="K1893">
        <v>2</v>
      </c>
      <c r="L1893" s="6">
        <v>240</v>
      </c>
      <c r="M1893" s="6">
        <v>206.3</v>
      </c>
      <c r="N1893" s="6">
        <v>33.700000000000003</v>
      </c>
      <c r="O1893" s="6">
        <v>27.46</v>
      </c>
      <c r="P1893" s="6">
        <v>6.24</v>
      </c>
      <c r="Q1893" t="s">
        <v>59</v>
      </c>
      <c r="R1893" t="s">
        <v>82</v>
      </c>
      <c r="S1893" t="s">
        <v>76</v>
      </c>
    </row>
    <row r="1894" spans="1:19" x14ac:dyDescent="0.35">
      <c r="A1894" t="s">
        <v>2023</v>
      </c>
      <c r="B1894" s="5">
        <v>45877</v>
      </c>
      <c r="C1894" t="s">
        <v>557</v>
      </c>
      <c r="D1894" t="s">
        <v>74</v>
      </c>
      <c r="E1894">
        <v>2</v>
      </c>
      <c r="F1894" s="6">
        <v>95</v>
      </c>
      <c r="G1894" s="7">
        <v>5</v>
      </c>
      <c r="H1894" s="6">
        <v>180.5</v>
      </c>
      <c r="I1894">
        <v>0</v>
      </c>
      <c r="J1894" s="6">
        <v>0</v>
      </c>
      <c r="K1894">
        <v>2</v>
      </c>
      <c r="L1894" s="6">
        <v>180.5</v>
      </c>
      <c r="M1894" s="6">
        <v>136.28</v>
      </c>
      <c r="N1894" s="6">
        <v>44.22</v>
      </c>
      <c r="O1894" s="6">
        <v>11.43</v>
      </c>
      <c r="P1894" s="6">
        <v>32.79</v>
      </c>
      <c r="Q1894" t="s">
        <v>59</v>
      </c>
      <c r="R1894" t="s">
        <v>60</v>
      </c>
      <c r="S1894" t="s">
        <v>61</v>
      </c>
    </row>
    <row r="1895" spans="1:19" x14ac:dyDescent="0.35">
      <c r="A1895" t="s">
        <v>2024</v>
      </c>
      <c r="B1895" s="5">
        <v>45934</v>
      </c>
      <c r="C1895" t="s">
        <v>97</v>
      </c>
      <c r="D1895" t="s">
        <v>57</v>
      </c>
      <c r="E1895">
        <v>1</v>
      </c>
      <c r="F1895" s="6">
        <v>55</v>
      </c>
      <c r="G1895" s="7">
        <v>0</v>
      </c>
      <c r="H1895" s="6">
        <v>55</v>
      </c>
      <c r="I1895">
        <v>0</v>
      </c>
      <c r="J1895" s="6">
        <v>0</v>
      </c>
      <c r="K1895">
        <v>1</v>
      </c>
      <c r="L1895" s="6">
        <v>55</v>
      </c>
      <c r="M1895" s="6">
        <v>36.159999999999997</v>
      </c>
      <c r="N1895" s="6">
        <v>18.84</v>
      </c>
      <c r="O1895" s="6">
        <v>5.91</v>
      </c>
      <c r="P1895" s="6">
        <v>12.93</v>
      </c>
      <c r="Q1895" t="s">
        <v>81</v>
      </c>
      <c r="R1895" t="s">
        <v>86</v>
      </c>
      <c r="S1895" t="s">
        <v>71</v>
      </c>
    </row>
    <row r="1896" spans="1:19" x14ac:dyDescent="0.35">
      <c r="A1896" t="s">
        <v>2025</v>
      </c>
      <c r="B1896" s="5">
        <v>45693</v>
      </c>
      <c r="C1896" t="s">
        <v>264</v>
      </c>
      <c r="D1896" t="s">
        <v>85</v>
      </c>
      <c r="E1896">
        <v>2</v>
      </c>
      <c r="F1896" s="6">
        <v>20</v>
      </c>
      <c r="G1896" s="7">
        <v>0</v>
      </c>
      <c r="H1896" s="6">
        <v>40</v>
      </c>
      <c r="I1896">
        <v>0</v>
      </c>
      <c r="J1896" s="6">
        <v>0</v>
      </c>
      <c r="K1896">
        <v>2</v>
      </c>
      <c r="L1896" s="6">
        <v>40</v>
      </c>
      <c r="M1896" s="6">
        <v>28.44</v>
      </c>
      <c r="N1896" s="6">
        <v>11.56</v>
      </c>
      <c r="O1896" s="6">
        <v>4.92</v>
      </c>
      <c r="P1896" s="6">
        <v>6.64</v>
      </c>
      <c r="Q1896" t="s">
        <v>59</v>
      </c>
      <c r="R1896" t="s">
        <v>82</v>
      </c>
      <c r="S1896" t="s">
        <v>61</v>
      </c>
    </row>
    <row r="1897" spans="1:19" x14ac:dyDescent="0.35">
      <c r="A1897" t="s">
        <v>2026</v>
      </c>
      <c r="B1897" s="5">
        <v>45776</v>
      </c>
      <c r="C1897" t="s">
        <v>63</v>
      </c>
      <c r="D1897" t="s">
        <v>64</v>
      </c>
      <c r="E1897">
        <v>1</v>
      </c>
      <c r="F1897" s="6">
        <v>145</v>
      </c>
      <c r="G1897" s="7">
        <v>0</v>
      </c>
      <c r="H1897" s="6">
        <v>145</v>
      </c>
      <c r="I1897">
        <v>0</v>
      </c>
      <c r="J1897" s="6">
        <v>0</v>
      </c>
      <c r="K1897">
        <v>1</v>
      </c>
      <c r="L1897" s="6">
        <v>145</v>
      </c>
      <c r="M1897" s="6">
        <v>97.84</v>
      </c>
      <c r="N1897" s="6">
        <v>47.16</v>
      </c>
      <c r="O1897" s="6">
        <v>14.39</v>
      </c>
      <c r="P1897" s="6">
        <v>32.770000000000003</v>
      </c>
      <c r="Q1897" t="s">
        <v>75</v>
      </c>
      <c r="R1897" t="s">
        <v>60</v>
      </c>
      <c r="S1897" t="s">
        <v>76</v>
      </c>
    </row>
    <row r="1898" spans="1:19" x14ac:dyDescent="0.35">
      <c r="A1898" t="s">
        <v>2027</v>
      </c>
      <c r="B1898" s="5">
        <v>45977</v>
      </c>
      <c r="C1898" t="s">
        <v>69</v>
      </c>
      <c r="D1898" t="s">
        <v>70</v>
      </c>
      <c r="E1898">
        <v>6</v>
      </c>
      <c r="F1898" s="6">
        <v>210</v>
      </c>
      <c r="G1898" s="7">
        <v>0</v>
      </c>
      <c r="H1898" s="6">
        <v>1260</v>
      </c>
      <c r="I1898">
        <v>0</v>
      </c>
      <c r="J1898" s="6">
        <v>0</v>
      </c>
      <c r="K1898">
        <v>6</v>
      </c>
      <c r="L1898" s="6">
        <v>1260</v>
      </c>
      <c r="M1898" s="6">
        <v>1040.5999999999999</v>
      </c>
      <c r="N1898" s="6">
        <v>219.4</v>
      </c>
      <c r="O1898" s="6">
        <v>116.07</v>
      </c>
      <c r="P1898" s="6">
        <v>103.33</v>
      </c>
      <c r="Q1898" t="s">
        <v>65</v>
      </c>
      <c r="R1898" t="s">
        <v>86</v>
      </c>
      <c r="S1898" t="s">
        <v>71</v>
      </c>
    </row>
    <row r="1899" spans="1:19" x14ac:dyDescent="0.35">
      <c r="A1899" t="s">
        <v>2028</v>
      </c>
      <c r="B1899" s="5">
        <v>45747</v>
      </c>
      <c r="C1899" t="s">
        <v>63</v>
      </c>
      <c r="D1899" t="s">
        <v>64</v>
      </c>
      <c r="E1899">
        <v>2</v>
      </c>
      <c r="F1899" s="6">
        <v>145</v>
      </c>
      <c r="G1899" s="7">
        <v>5</v>
      </c>
      <c r="H1899" s="6">
        <v>275.5</v>
      </c>
      <c r="I1899">
        <v>0</v>
      </c>
      <c r="J1899" s="6">
        <v>0</v>
      </c>
      <c r="K1899">
        <v>2</v>
      </c>
      <c r="L1899" s="6">
        <v>275.5</v>
      </c>
      <c r="M1899" s="6">
        <v>213.06</v>
      </c>
      <c r="N1899" s="6">
        <v>62.44</v>
      </c>
      <c r="O1899" s="6">
        <v>35.19</v>
      </c>
      <c r="P1899" s="6">
        <v>27.25</v>
      </c>
      <c r="Q1899" t="s">
        <v>65</v>
      </c>
      <c r="R1899" t="s">
        <v>86</v>
      </c>
      <c r="S1899" t="s">
        <v>61</v>
      </c>
    </row>
    <row r="1900" spans="1:19" x14ac:dyDescent="0.35">
      <c r="A1900" t="s">
        <v>2029</v>
      </c>
      <c r="B1900" s="5">
        <v>46009</v>
      </c>
      <c r="C1900" t="s">
        <v>104</v>
      </c>
      <c r="D1900" t="s">
        <v>105</v>
      </c>
      <c r="E1900">
        <v>1</v>
      </c>
      <c r="F1900" s="6">
        <v>65</v>
      </c>
      <c r="G1900" s="7">
        <v>0</v>
      </c>
      <c r="H1900" s="6">
        <v>65</v>
      </c>
      <c r="I1900">
        <v>0</v>
      </c>
      <c r="J1900" s="6">
        <v>0</v>
      </c>
      <c r="K1900">
        <v>1</v>
      </c>
      <c r="L1900" s="6">
        <v>65</v>
      </c>
      <c r="M1900" s="6">
        <v>53.25</v>
      </c>
      <c r="N1900" s="6">
        <v>11.75</v>
      </c>
      <c r="O1900" s="6">
        <v>4.22</v>
      </c>
      <c r="P1900" s="6">
        <v>7.53</v>
      </c>
      <c r="Q1900" t="s">
        <v>59</v>
      </c>
      <c r="R1900" t="s">
        <v>66</v>
      </c>
      <c r="S1900" t="s">
        <v>61</v>
      </c>
    </row>
    <row r="1901" spans="1:19" x14ac:dyDescent="0.35">
      <c r="A1901" t="s">
        <v>2030</v>
      </c>
      <c r="B1901" s="5">
        <v>45673</v>
      </c>
      <c r="C1901" t="s">
        <v>92</v>
      </c>
      <c r="D1901" t="s">
        <v>79</v>
      </c>
      <c r="E1901">
        <v>10</v>
      </c>
      <c r="F1901" s="6">
        <v>85</v>
      </c>
      <c r="G1901" s="7">
        <v>15</v>
      </c>
      <c r="H1901" s="6">
        <v>722.5</v>
      </c>
      <c r="I1901">
        <v>0</v>
      </c>
      <c r="J1901" s="6">
        <v>0</v>
      </c>
      <c r="K1901">
        <v>10</v>
      </c>
      <c r="L1901" s="6">
        <v>722.5</v>
      </c>
      <c r="M1901" s="6">
        <v>614.72</v>
      </c>
      <c r="N1901" s="6">
        <v>107.78</v>
      </c>
      <c r="O1901" s="6">
        <v>81.96</v>
      </c>
      <c r="P1901" s="6">
        <v>25.82</v>
      </c>
      <c r="Q1901" t="s">
        <v>75</v>
      </c>
      <c r="R1901" t="s">
        <v>66</v>
      </c>
      <c r="S1901" t="s">
        <v>67</v>
      </c>
    </row>
    <row r="1902" spans="1:19" x14ac:dyDescent="0.35">
      <c r="A1902" t="s">
        <v>2031</v>
      </c>
      <c r="B1902" s="5">
        <v>45778</v>
      </c>
      <c r="C1902" t="s">
        <v>92</v>
      </c>
      <c r="D1902" t="s">
        <v>79</v>
      </c>
      <c r="E1902">
        <v>3</v>
      </c>
      <c r="F1902" s="6">
        <v>85</v>
      </c>
      <c r="G1902" s="7">
        <v>0</v>
      </c>
      <c r="H1902" s="6">
        <v>255</v>
      </c>
      <c r="I1902">
        <v>0</v>
      </c>
      <c r="J1902" s="6">
        <v>0</v>
      </c>
      <c r="K1902">
        <v>3</v>
      </c>
      <c r="L1902" s="6">
        <v>255</v>
      </c>
      <c r="M1902" s="6">
        <v>216.52</v>
      </c>
      <c r="N1902" s="6">
        <v>38.479999999999997</v>
      </c>
      <c r="O1902" s="6">
        <v>16.61</v>
      </c>
      <c r="P1902" s="6">
        <v>21.87</v>
      </c>
      <c r="Q1902" t="s">
        <v>81</v>
      </c>
      <c r="R1902" t="s">
        <v>86</v>
      </c>
      <c r="S1902" t="s">
        <v>67</v>
      </c>
    </row>
    <row r="1903" spans="1:19" x14ac:dyDescent="0.35">
      <c r="A1903" t="s">
        <v>2032</v>
      </c>
      <c r="B1903" s="5">
        <v>45838</v>
      </c>
      <c r="C1903" t="s">
        <v>264</v>
      </c>
      <c r="D1903" t="s">
        <v>85</v>
      </c>
      <c r="E1903">
        <v>2</v>
      </c>
      <c r="F1903" s="6">
        <v>20</v>
      </c>
      <c r="G1903" s="7">
        <v>0</v>
      </c>
      <c r="H1903" s="6">
        <v>40</v>
      </c>
      <c r="I1903">
        <v>0</v>
      </c>
      <c r="J1903" s="6">
        <v>0</v>
      </c>
      <c r="K1903">
        <v>2</v>
      </c>
      <c r="L1903" s="6">
        <v>40</v>
      </c>
      <c r="M1903" s="6">
        <v>29.76</v>
      </c>
      <c r="N1903" s="6">
        <v>10.24</v>
      </c>
      <c r="O1903" s="6">
        <v>4.43</v>
      </c>
      <c r="P1903" s="6">
        <v>5.81</v>
      </c>
      <c r="Q1903" t="s">
        <v>81</v>
      </c>
      <c r="R1903" t="s">
        <v>82</v>
      </c>
      <c r="S1903" t="s">
        <v>71</v>
      </c>
    </row>
    <row r="1904" spans="1:19" x14ac:dyDescent="0.35">
      <c r="A1904" t="s">
        <v>2033</v>
      </c>
      <c r="B1904" s="5">
        <v>45741</v>
      </c>
      <c r="C1904" t="s">
        <v>73</v>
      </c>
      <c r="D1904" t="s">
        <v>74</v>
      </c>
      <c r="E1904">
        <v>1</v>
      </c>
      <c r="F1904" s="6">
        <v>280</v>
      </c>
      <c r="G1904" s="7">
        <v>5</v>
      </c>
      <c r="H1904" s="6">
        <v>266</v>
      </c>
      <c r="I1904">
        <v>0</v>
      </c>
      <c r="J1904" s="6">
        <v>0</v>
      </c>
      <c r="K1904">
        <v>1</v>
      </c>
      <c r="L1904" s="6">
        <v>266</v>
      </c>
      <c r="M1904" s="6">
        <v>205.89</v>
      </c>
      <c r="N1904" s="6">
        <v>60.11</v>
      </c>
      <c r="O1904" s="6">
        <v>31.01</v>
      </c>
      <c r="P1904" s="6">
        <v>29.1</v>
      </c>
      <c r="Q1904" t="s">
        <v>75</v>
      </c>
      <c r="R1904" t="s">
        <v>82</v>
      </c>
      <c r="S1904" t="s">
        <v>61</v>
      </c>
    </row>
    <row r="1905" spans="1:19" x14ac:dyDescent="0.35">
      <c r="A1905" t="s">
        <v>2034</v>
      </c>
      <c r="B1905" s="5">
        <v>45677</v>
      </c>
      <c r="C1905" t="s">
        <v>643</v>
      </c>
      <c r="D1905" t="s">
        <v>70</v>
      </c>
      <c r="E1905">
        <v>1</v>
      </c>
      <c r="F1905" s="6">
        <v>210</v>
      </c>
      <c r="G1905" s="7">
        <v>0</v>
      </c>
      <c r="H1905" s="6">
        <v>210</v>
      </c>
      <c r="I1905">
        <v>0</v>
      </c>
      <c r="J1905" s="6">
        <v>0</v>
      </c>
      <c r="K1905">
        <v>1</v>
      </c>
      <c r="L1905" s="6">
        <v>210</v>
      </c>
      <c r="M1905" s="6">
        <v>167.41</v>
      </c>
      <c r="N1905" s="6">
        <v>42.59</v>
      </c>
      <c r="O1905" s="6">
        <v>17.38</v>
      </c>
      <c r="P1905" s="6">
        <v>25.21</v>
      </c>
      <c r="Q1905" t="s">
        <v>59</v>
      </c>
      <c r="R1905" t="s">
        <v>82</v>
      </c>
      <c r="S1905" t="s">
        <v>76</v>
      </c>
    </row>
    <row r="1906" spans="1:19" x14ac:dyDescent="0.35">
      <c r="A1906" t="s">
        <v>2035</v>
      </c>
      <c r="B1906" s="5">
        <v>45667</v>
      </c>
      <c r="C1906" t="s">
        <v>264</v>
      </c>
      <c r="D1906" t="s">
        <v>85</v>
      </c>
      <c r="E1906">
        <v>5</v>
      </c>
      <c r="F1906" s="6">
        <v>20</v>
      </c>
      <c r="G1906" s="7">
        <v>0</v>
      </c>
      <c r="H1906" s="6">
        <v>100</v>
      </c>
      <c r="I1906">
        <v>0</v>
      </c>
      <c r="J1906" s="6">
        <v>0</v>
      </c>
      <c r="K1906">
        <v>5</v>
      </c>
      <c r="L1906" s="6">
        <v>100</v>
      </c>
      <c r="M1906" s="6">
        <v>73.66</v>
      </c>
      <c r="N1906" s="6">
        <v>26.34</v>
      </c>
      <c r="O1906" s="6">
        <v>10.199999999999999</v>
      </c>
      <c r="P1906" s="6">
        <v>16.14</v>
      </c>
      <c r="Q1906" t="s">
        <v>75</v>
      </c>
      <c r="R1906" t="s">
        <v>176</v>
      </c>
      <c r="S1906" t="s">
        <v>71</v>
      </c>
    </row>
    <row r="1907" spans="1:19" x14ac:dyDescent="0.35">
      <c r="A1907" t="s">
        <v>2036</v>
      </c>
      <c r="B1907" s="5">
        <v>45744</v>
      </c>
      <c r="C1907" t="s">
        <v>264</v>
      </c>
      <c r="D1907" t="s">
        <v>85</v>
      </c>
      <c r="E1907">
        <v>2</v>
      </c>
      <c r="F1907" s="6">
        <v>20</v>
      </c>
      <c r="G1907" s="7">
        <v>0</v>
      </c>
      <c r="H1907" s="6">
        <v>40</v>
      </c>
      <c r="I1907">
        <v>0</v>
      </c>
      <c r="J1907" s="6">
        <v>0</v>
      </c>
      <c r="K1907">
        <v>2</v>
      </c>
      <c r="L1907" s="6">
        <v>40</v>
      </c>
      <c r="M1907" s="6">
        <v>25.64</v>
      </c>
      <c r="N1907" s="6">
        <v>14.36</v>
      </c>
      <c r="O1907" s="6">
        <v>3.29</v>
      </c>
      <c r="P1907" s="6">
        <v>11.07</v>
      </c>
      <c r="Q1907" t="s">
        <v>75</v>
      </c>
      <c r="R1907" t="s">
        <v>66</v>
      </c>
      <c r="S1907" t="s">
        <v>61</v>
      </c>
    </row>
    <row r="1908" spans="1:19" x14ac:dyDescent="0.35">
      <c r="A1908" t="s">
        <v>2037</v>
      </c>
      <c r="B1908" s="5">
        <v>45949</v>
      </c>
      <c r="C1908" t="s">
        <v>114</v>
      </c>
      <c r="D1908" t="s">
        <v>64</v>
      </c>
      <c r="E1908">
        <v>4</v>
      </c>
      <c r="F1908" s="6">
        <v>420</v>
      </c>
      <c r="G1908" s="7">
        <v>0</v>
      </c>
      <c r="H1908" s="6">
        <v>1680</v>
      </c>
      <c r="I1908">
        <v>0</v>
      </c>
      <c r="J1908" s="6">
        <v>0</v>
      </c>
      <c r="K1908">
        <v>4</v>
      </c>
      <c r="L1908" s="6">
        <v>1680</v>
      </c>
      <c r="M1908" s="6">
        <v>1402.17</v>
      </c>
      <c r="N1908" s="6">
        <v>277.83</v>
      </c>
      <c r="O1908" s="6">
        <v>116.47</v>
      </c>
      <c r="P1908" s="6">
        <v>161.36000000000001</v>
      </c>
      <c r="Q1908" t="s">
        <v>75</v>
      </c>
      <c r="R1908" t="s">
        <v>86</v>
      </c>
      <c r="S1908" t="s">
        <v>71</v>
      </c>
    </row>
    <row r="1909" spans="1:19" x14ac:dyDescent="0.35">
      <c r="A1909" t="s">
        <v>2038</v>
      </c>
      <c r="B1909" s="5">
        <v>45897</v>
      </c>
      <c r="C1909" t="s">
        <v>125</v>
      </c>
      <c r="D1909" t="s">
        <v>85</v>
      </c>
      <c r="E1909">
        <v>4</v>
      </c>
      <c r="F1909" s="6">
        <v>125</v>
      </c>
      <c r="G1909" s="7">
        <v>0</v>
      </c>
      <c r="H1909" s="6">
        <v>500</v>
      </c>
      <c r="I1909">
        <v>0</v>
      </c>
      <c r="J1909" s="6">
        <v>0</v>
      </c>
      <c r="K1909">
        <v>4</v>
      </c>
      <c r="L1909" s="6">
        <v>500</v>
      </c>
      <c r="M1909" s="6">
        <v>428.75</v>
      </c>
      <c r="N1909" s="6">
        <v>71.25</v>
      </c>
      <c r="O1909" s="6">
        <v>34.130000000000003</v>
      </c>
      <c r="P1909" s="6">
        <v>37.119999999999997</v>
      </c>
      <c r="Q1909" t="s">
        <v>81</v>
      </c>
      <c r="R1909" t="s">
        <v>82</v>
      </c>
      <c r="S1909" t="s">
        <v>61</v>
      </c>
    </row>
    <row r="1910" spans="1:19" x14ac:dyDescent="0.35">
      <c r="A1910" t="s">
        <v>2039</v>
      </c>
      <c r="B1910" s="5">
        <v>45789</v>
      </c>
      <c r="C1910" t="s">
        <v>78</v>
      </c>
      <c r="D1910" t="s">
        <v>79</v>
      </c>
      <c r="E1910">
        <v>1</v>
      </c>
      <c r="F1910" s="6">
        <v>120</v>
      </c>
      <c r="G1910" s="7">
        <v>15</v>
      </c>
      <c r="H1910" s="6">
        <v>102</v>
      </c>
      <c r="I1910">
        <v>0</v>
      </c>
      <c r="J1910" s="6">
        <v>0</v>
      </c>
      <c r="K1910">
        <v>1</v>
      </c>
      <c r="L1910" s="6">
        <v>102</v>
      </c>
      <c r="M1910" s="6">
        <v>80.34</v>
      </c>
      <c r="N1910" s="6">
        <v>21.66</v>
      </c>
      <c r="O1910" s="6">
        <v>5.2</v>
      </c>
      <c r="P1910" s="6">
        <v>16.46</v>
      </c>
      <c r="Q1910" t="s">
        <v>75</v>
      </c>
      <c r="R1910" t="s">
        <v>86</v>
      </c>
      <c r="S1910" t="s">
        <v>76</v>
      </c>
    </row>
    <row r="1911" spans="1:19" x14ac:dyDescent="0.35">
      <c r="A1911" t="s">
        <v>2040</v>
      </c>
      <c r="B1911" s="5">
        <v>45949</v>
      </c>
      <c r="C1911" t="s">
        <v>114</v>
      </c>
      <c r="D1911" t="s">
        <v>64</v>
      </c>
      <c r="E1911">
        <v>2</v>
      </c>
      <c r="F1911" s="6">
        <v>420</v>
      </c>
      <c r="G1911" s="7">
        <v>0</v>
      </c>
      <c r="H1911" s="6">
        <v>840</v>
      </c>
      <c r="I1911">
        <v>0</v>
      </c>
      <c r="J1911" s="6">
        <v>0</v>
      </c>
      <c r="K1911">
        <v>2</v>
      </c>
      <c r="L1911" s="6">
        <v>840</v>
      </c>
      <c r="M1911" s="6">
        <v>618.6</v>
      </c>
      <c r="N1911" s="6">
        <v>221.4</v>
      </c>
      <c r="O1911" s="6">
        <v>66.84</v>
      </c>
      <c r="P1911" s="6">
        <v>154.56</v>
      </c>
      <c r="Q1911" t="s">
        <v>59</v>
      </c>
      <c r="R1911" t="s">
        <v>60</v>
      </c>
      <c r="S1911" t="s">
        <v>71</v>
      </c>
    </row>
    <row r="1912" spans="1:19" x14ac:dyDescent="0.35">
      <c r="A1912" t="s">
        <v>2041</v>
      </c>
      <c r="B1912" s="5">
        <v>45682</v>
      </c>
      <c r="C1912" t="s">
        <v>107</v>
      </c>
      <c r="D1912" t="s">
        <v>74</v>
      </c>
      <c r="E1912">
        <v>3</v>
      </c>
      <c r="F1912" s="6">
        <v>125</v>
      </c>
      <c r="G1912" s="7">
        <v>2</v>
      </c>
      <c r="H1912" s="6">
        <v>367.5</v>
      </c>
      <c r="I1912">
        <v>0</v>
      </c>
      <c r="J1912" s="6">
        <v>0</v>
      </c>
      <c r="K1912">
        <v>3</v>
      </c>
      <c r="L1912" s="6">
        <v>367.5</v>
      </c>
      <c r="M1912" s="6">
        <v>242.72</v>
      </c>
      <c r="N1912" s="6">
        <v>124.78</v>
      </c>
      <c r="O1912" s="6">
        <v>32.729999999999997</v>
      </c>
      <c r="P1912" s="6">
        <v>92.05</v>
      </c>
      <c r="Q1912" t="s">
        <v>75</v>
      </c>
      <c r="R1912" t="s">
        <v>66</v>
      </c>
      <c r="S1912" t="s">
        <v>67</v>
      </c>
    </row>
    <row r="1913" spans="1:19" x14ac:dyDescent="0.35">
      <c r="A1913" t="s">
        <v>2042</v>
      </c>
      <c r="B1913" s="5">
        <v>46021</v>
      </c>
      <c r="C1913" t="s">
        <v>97</v>
      </c>
      <c r="D1913" t="s">
        <v>57</v>
      </c>
      <c r="E1913" t="s">
        <v>1084</v>
      </c>
      <c r="F1913" s="6">
        <v>55</v>
      </c>
      <c r="G1913" s="7">
        <v>0</v>
      </c>
      <c r="H1913" s="6">
        <v>165</v>
      </c>
      <c r="I1913">
        <v>3</v>
      </c>
      <c r="J1913" s="6">
        <v>165</v>
      </c>
      <c r="K1913">
        <v>0</v>
      </c>
      <c r="L1913" s="6">
        <v>0</v>
      </c>
      <c r="M1913" s="6">
        <v>0</v>
      </c>
      <c r="N1913" s="6">
        <v>0</v>
      </c>
      <c r="O1913" s="6">
        <v>0</v>
      </c>
      <c r="P1913" s="6">
        <v>0</v>
      </c>
      <c r="Q1913" t="s">
        <v>59</v>
      </c>
      <c r="R1913" t="s">
        <v>86</v>
      </c>
      <c r="S1913" t="s">
        <v>71</v>
      </c>
    </row>
    <row r="1914" spans="1:19" x14ac:dyDescent="0.35">
      <c r="A1914" t="s">
        <v>2043</v>
      </c>
      <c r="B1914" s="5">
        <v>45856</v>
      </c>
      <c r="C1914" t="s">
        <v>109</v>
      </c>
      <c r="D1914" t="s">
        <v>85</v>
      </c>
      <c r="E1914">
        <v>1</v>
      </c>
      <c r="F1914" s="6">
        <v>180</v>
      </c>
      <c r="G1914" s="7">
        <v>0</v>
      </c>
      <c r="H1914" s="6">
        <v>180</v>
      </c>
      <c r="I1914">
        <v>0</v>
      </c>
      <c r="J1914" s="6">
        <v>0</v>
      </c>
      <c r="K1914">
        <v>1</v>
      </c>
      <c r="L1914" s="6">
        <v>180</v>
      </c>
      <c r="M1914" s="6">
        <v>117.73</v>
      </c>
      <c r="N1914" s="6">
        <v>62.27</v>
      </c>
      <c r="O1914" s="6">
        <v>9.32</v>
      </c>
      <c r="P1914" s="6">
        <v>52.95</v>
      </c>
      <c r="Q1914" t="s">
        <v>65</v>
      </c>
      <c r="R1914" t="s">
        <v>82</v>
      </c>
      <c r="S1914" t="s">
        <v>76</v>
      </c>
    </row>
    <row r="1915" spans="1:19" x14ac:dyDescent="0.35">
      <c r="A1915" t="s">
        <v>2044</v>
      </c>
      <c r="B1915" s="5">
        <v>46009</v>
      </c>
      <c r="C1915" t="s">
        <v>92</v>
      </c>
      <c r="D1915" t="s">
        <v>79</v>
      </c>
      <c r="E1915">
        <v>4</v>
      </c>
      <c r="F1915" s="6">
        <v>85</v>
      </c>
      <c r="G1915" s="7">
        <v>0</v>
      </c>
      <c r="H1915" s="6">
        <v>340</v>
      </c>
      <c r="I1915">
        <v>0</v>
      </c>
      <c r="J1915" s="6">
        <v>0</v>
      </c>
      <c r="K1915">
        <v>4</v>
      </c>
      <c r="L1915" s="6">
        <v>340</v>
      </c>
      <c r="M1915" s="6">
        <v>250.67</v>
      </c>
      <c r="N1915" s="6">
        <v>89.33</v>
      </c>
      <c r="O1915" s="6">
        <v>41.97</v>
      </c>
      <c r="P1915" s="6">
        <v>47.36</v>
      </c>
      <c r="Q1915" t="s">
        <v>81</v>
      </c>
      <c r="R1915" t="s">
        <v>82</v>
      </c>
      <c r="S1915" t="s">
        <v>71</v>
      </c>
    </row>
    <row r="1916" spans="1:19" x14ac:dyDescent="0.35">
      <c r="A1916" t="s">
        <v>2045</v>
      </c>
      <c r="B1916" s="5">
        <v>45949</v>
      </c>
      <c r="C1916" t="s">
        <v>114</v>
      </c>
      <c r="D1916" t="s">
        <v>64</v>
      </c>
      <c r="E1916">
        <v>1</v>
      </c>
      <c r="F1916" s="6">
        <v>420</v>
      </c>
      <c r="G1916" s="7">
        <v>2</v>
      </c>
      <c r="H1916" s="6">
        <v>411.6</v>
      </c>
      <c r="I1916">
        <v>0</v>
      </c>
      <c r="J1916" s="6">
        <v>0</v>
      </c>
      <c r="K1916">
        <v>1</v>
      </c>
      <c r="L1916" s="6">
        <v>411.6</v>
      </c>
      <c r="M1916" s="6">
        <v>305.86</v>
      </c>
      <c r="N1916" s="6">
        <v>105.74</v>
      </c>
      <c r="O1916" s="6">
        <v>36.32</v>
      </c>
      <c r="P1916" s="6">
        <v>69.42</v>
      </c>
      <c r="Q1916" t="s">
        <v>75</v>
      </c>
      <c r="R1916" t="s">
        <v>60</v>
      </c>
      <c r="S1916" t="s">
        <v>71</v>
      </c>
    </row>
    <row r="1917" spans="1:19" x14ac:dyDescent="0.35">
      <c r="A1917" t="s">
        <v>2046</v>
      </c>
      <c r="B1917" s="5">
        <v>45761</v>
      </c>
      <c r="C1917" t="s">
        <v>114</v>
      </c>
      <c r="D1917" t="s">
        <v>64</v>
      </c>
      <c r="E1917">
        <v>5</v>
      </c>
      <c r="F1917" s="6">
        <v>420</v>
      </c>
      <c r="G1917" s="7">
        <v>0</v>
      </c>
      <c r="H1917" s="6">
        <v>2100</v>
      </c>
      <c r="I1917">
        <v>0</v>
      </c>
      <c r="J1917" s="6">
        <v>0</v>
      </c>
      <c r="K1917">
        <v>5</v>
      </c>
      <c r="L1917" s="6">
        <v>2100</v>
      </c>
      <c r="M1917" s="6">
        <v>1736.28</v>
      </c>
      <c r="N1917" s="6">
        <v>363.72</v>
      </c>
      <c r="O1917" s="6">
        <v>105.68</v>
      </c>
      <c r="P1917" s="6">
        <v>258.04000000000002</v>
      </c>
      <c r="Q1917" t="s">
        <v>75</v>
      </c>
      <c r="R1917" t="s">
        <v>60</v>
      </c>
      <c r="S1917" t="s">
        <v>71</v>
      </c>
    </row>
    <row r="1918" spans="1:19" x14ac:dyDescent="0.35">
      <c r="A1918" t="s">
        <v>2047</v>
      </c>
      <c r="B1918" s="5">
        <v>45980</v>
      </c>
      <c r="C1918" t="s">
        <v>88</v>
      </c>
      <c r="D1918" t="s">
        <v>57</v>
      </c>
      <c r="E1918">
        <v>4</v>
      </c>
      <c r="F1918" s="6">
        <v>30</v>
      </c>
      <c r="G1918" s="7">
        <v>0</v>
      </c>
      <c r="H1918" s="6">
        <v>120</v>
      </c>
      <c r="I1918">
        <v>0</v>
      </c>
      <c r="J1918" s="6">
        <v>0</v>
      </c>
      <c r="K1918">
        <v>4</v>
      </c>
      <c r="L1918" s="6">
        <v>120</v>
      </c>
      <c r="M1918" s="6">
        <v>75.569999999999993</v>
      </c>
      <c r="N1918" s="6">
        <v>44.43</v>
      </c>
      <c r="O1918" s="6">
        <v>14.08</v>
      </c>
      <c r="P1918" s="6">
        <v>30.35</v>
      </c>
      <c r="Q1918" t="s">
        <v>65</v>
      </c>
      <c r="R1918" t="s">
        <v>86</v>
      </c>
      <c r="S1918" t="s">
        <v>76</v>
      </c>
    </row>
    <row r="1919" spans="1:19" x14ac:dyDescent="0.35">
      <c r="A1919" t="s">
        <v>2048</v>
      </c>
      <c r="B1919" s="5">
        <v>45962</v>
      </c>
      <c r="C1919" t="s">
        <v>97</v>
      </c>
      <c r="D1919" t="s">
        <v>57</v>
      </c>
      <c r="E1919">
        <v>4</v>
      </c>
      <c r="F1919" s="6">
        <v>55</v>
      </c>
      <c r="G1919" s="7">
        <v>10</v>
      </c>
      <c r="H1919" s="6">
        <v>198</v>
      </c>
      <c r="I1919">
        <v>0</v>
      </c>
      <c r="J1919" s="6">
        <v>0</v>
      </c>
      <c r="K1919">
        <v>4</v>
      </c>
      <c r="L1919" s="6">
        <v>198</v>
      </c>
      <c r="M1919" s="6">
        <v>156.65</v>
      </c>
      <c r="N1919" s="6">
        <v>41.35</v>
      </c>
      <c r="O1919" s="6">
        <v>24.2</v>
      </c>
      <c r="P1919" s="6">
        <v>17.149999999999999</v>
      </c>
      <c r="Q1919" t="s">
        <v>59</v>
      </c>
      <c r="R1919" t="s">
        <v>66</v>
      </c>
      <c r="S1919" t="s">
        <v>61</v>
      </c>
    </row>
    <row r="1920" spans="1:19" x14ac:dyDescent="0.35">
      <c r="A1920" t="s">
        <v>2049</v>
      </c>
      <c r="B1920" s="5">
        <v>45667</v>
      </c>
      <c r="C1920" t="s">
        <v>88</v>
      </c>
      <c r="D1920" t="s">
        <v>57</v>
      </c>
      <c r="E1920">
        <v>2</v>
      </c>
      <c r="F1920" s="6">
        <v>30</v>
      </c>
      <c r="G1920" s="7">
        <v>2</v>
      </c>
      <c r="H1920" s="6">
        <v>58.8</v>
      </c>
      <c r="I1920">
        <v>0</v>
      </c>
      <c r="J1920" s="6">
        <v>0</v>
      </c>
      <c r="K1920">
        <v>2</v>
      </c>
      <c r="L1920" s="6">
        <v>58.8</v>
      </c>
      <c r="M1920" s="6">
        <v>43.83</v>
      </c>
      <c r="N1920" s="6">
        <v>14.97</v>
      </c>
      <c r="O1920" s="6">
        <v>3.62</v>
      </c>
      <c r="P1920" s="6">
        <v>11.35</v>
      </c>
      <c r="Q1920" t="s">
        <v>59</v>
      </c>
      <c r="R1920" t="s">
        <v>86</v>
      </c>
      <c r="S1920" t="s">
        <v>67</v>
      </c>
    </row>
    <row r="1921" spans="1:19" x14ac:dyDescent="0.35">
      <c r="A1921" t="s">
        <v>2050</v>
      </c>
      <c r="B1921" s="5">
        <v>45732</v>
      </c>
      <c r="C1921" t="s">
        <v>84</v>
      </c>
      <c r="D1921" t="s">
        <v>85</v>
      </c>
      <c r="E1921">
        <v>5</v>
      </c>
      <c r="F1921" s="6">
        <v>48</v>
      </c>
      <c r="G1921" s="7">
        <v>0</v>
      </c>
      <c r="H1921" s="6">
        <v>240</v>
      </c>
      <c r="I1921">
        <v>0</v>
      </c>
      <c r="J1921" s="6">
        <v>0</v>
      </c>
      <c r="K1921">
        <v>5</v>
      </c>
      <c r="L1921" s="6">
        <v>240</v>
      </c>
      <c r="M1921" s="6">
        <v>188.22</v>
      </c>
      <c r="N1921" s="6">
        <v>51.78</v>
      </c>
      <c r="O1921" s="6">
        <v>14.94</v>
      </c>
      <c r="P1921" s="6">
        <v>36.840000000000003</v>
      </c>
      <c r="Q1921" t="s">
        <v>81</v>
      </c>
      <c r="R1921" t="s">
        <v>82</v>
      </c>
      <c r="S1921" t="s">
        <v>76</v>
      </c>
    </row>
    <row r="1922" spans="1:19" x14ac:dyDescent="0.35">
      <c r="A1922" t="s">
        <v>2051</v>
      </c>
      <c r="B1922" s="5">
        <v>45792</v>
      </c>
      <c r="C1922" t="s">
        <v>114</v>
      </c>
      <c r="D1922" t="s">
        <v>64</v>
      </c>
      <c r="E1922">
        <v>2</v>
      </c>
      <c r="F1922" s="6">
        <v>420</v>
      </c>
      <c r="G1922" s="7">
        <v>10</v>
      </c>
      <c r="H1922" s="6">
        <v>756</v>
      </c>
      <c r="I1922">
        <v>0</v>
      </c>
      <c r="J1922" s="6">
        <v>0</v>
      </c>
      <c r="K1922">
        <v>2</v>
      </c>
      <c r="L1922" s="6">
        <v>756</v>
      </c>
      <c r="M1922" s="6">
        <v>500.95</v>
      </c>
      <c r="N1922" s="6">
        <v>255.05</v>
      </c>
      <c r="O1922" s="6">
        <v>59.34</v>
      </c>
      <c r="P1922" s="6">
        <v>195.71</v>
      </c>
      <c r="Q1922" t="s">
        <v>75</v>
      </c>
      <c r="R1922" t="s">
        <v>82</v>
      </c>
      <c r="S1922" t="s">
        <v>67</v>
      </c>
    </row>
    <row r="1923" spans="1:19" x14ac:dyDescent="0.35">
      <c r="A1923" t="s">
        <v>2052</v>
      </c>
      <c r="B1923" s="5">
        <v>45699</v>
      </c>
      <c r="C1923" t="s">
        <v>73</v>
      </c>
      <c r="D1923" t="s">
        <v>74</v>
      </c>
      <c r="E1923">
        <v>2</v>
      </c>
      <c r="F1923" s="6">
        <v>280</v>
      </c>
      <c r="G1923" s="7">
        <v>2</v>
      </c>
      <c r="H1923" s="6">
        <v>548.79999999999995</v>
      </c>
      <c r="I1923">
        <v>0</v>
      </c>
      <c r="J1923" s="6">
        <v>0</v>
      </c>
      <c r="K1923">
        <v>2</v>
      </c>
      <c r="L1923" s="6">
        <v>548.79999999999995</v>
      </c>
      <c r="M1923" s="6">
        <v>439.43</v>
      </c>
      <c r="N1923" s="6">
        <v>109.37</v>
      </c>
      <c r="O1923" s="6">
        <v>45.03</v>
      </c>
      <c r="P1923" s="6">
        <v>64.34</v>
      </c>
      <c r="Q1923" t="s">
        <v>81</v>
      </c>
      <c r="R1923" t="s">
        <v>86</v>
      </c>
      <c r="S1923" t="s">
        <v>71</v>
      </c>
    </row>
    <row r="1924" spans="1:19" x14ac:dyDescent="0.35">
      <c r="A1924" t="s">
        <v>2053</v>
      </c>
      <c r="B1924" s="5">
        <v>45733</v>
      </c>
      <c r="C1924" t="s">
        <v>293</v>
      </c>
      <c r="D1924" t="s">
        <v>85</v>
      </c>
      <c r="E1924">
        <v>4</v>
      </c>
      <c r="F1924" s="6">
        <v>180</v>
      </c>
      <c r="G1924" s="7">
        <v>0</v>
      </c>
      <c r="H1924" s="6">
        <v>720</v>
      </c>
      <c r="I1924">
        <v>0</v>
      </c>
      <c r="J1924" s="6">
        <v>0</v>
      </c>
      <c r="K1924">
        <v>4</v>
      </c>
      <c r="L1924" s="6">
        <v>720</v>
      </c>
      <c r="M1924" s="6">
        <v>568.98</v>
      </c>
      <c r="N1924" s="6">
        <v>151.02000000000001</v>
      </c>
      <c r="O1924" s="6">
        <v>68.56</v>
      </c>
      <c r="P1924" s="6">
        <v>82.46</v>
      </c>
      <c r="Q1924" t="s">
        <v>65</v>
      </c>
      <c r="R1924" t="s">
        <v>86</v>
      </c>
      <c r="S1924" t="s">
        <v>61</v>
      </c>
    </row>
    <row r="1925" spans="1:19" x14ac:dyDescent="0.35">
      <c r="A1925" t="s">
        <v>2054</v>
      </c>
      <c r="B1925" s="5">
        <v>45934</v>
      </c>
      <c r="C1925" t="s">
        <v>63</v>
      </c>
      <c r="D1925" t="s">
        <v>64</v>
      </c>
      <c r="E1925">
        <v>6</v>
      </c>
      <c r="F1925" s="6">
        <v>145</v>
      </c>
      <c r="G1925" s="7">
        <v>0</v>
      </c>
      <c r="H1925" s="6">
        <v>870</v>
      </c>
      <c r="I1925">
        <v>0</v>
      </c>
      <c r="J1925" s="6">
        <v>0</v>
      </c>
      <c r="K1925">
        <v>6</v>
      </c>
      <c r="L1925" s="6">
        <v>870</v>
      </c>
      <c r="M1925" s="6">
        <v>547.96</v>
      </c>
      <c r="N1925" s="6">
        <v>322.04000000000002</v>
      </c>
      <c r="O1925" s="6">
        <v>48.16</v>
      </c>
      <c r="P1925" s="6">
        <v>273.88</v>
      </c>
      <c r="Q1925" t="s">
        <v>75</v>
      </c>
      <c r="R1925" t="s">
        <v>86</v>
      </c>
      <c r="S1925" t="s">
        <v>67</v>
      </c>
    </row>
    <row r="1926" spans="1:19" x14ac:dyDescent="0.35">
      <c r="A1926" t="s">
        <v>2055</v>
      </c>
      <c r="B1926" s="5">
        <v>45895</v>
      </c>
      <c r="C1926" t="s">
        <v>117</v>
      </c>
      <c r="D1926" t="s">
        <v>74</v>
      </c>
      <c r="E1926">
        <v>5</v>
      </c>
      <c r="F1926" s="6">
        <v>95</v>
      </c>
      <c r="G1926" s="7">
        <v>0</v>
      </c>
      <c r="H1926" s="6">
        <v>475</v>
      </c>
      <c r="I1926">
        <v>5</v>
      </c>
      <c r="J1926" s="6">
        <v>475</v>
      </c>
      <c r="K1926">
        <v>0</v>
      </c>
      <c r="L1926" s="6">
        <v>0</v>
      </c>
      <c r="M1926" s="6">
        <v>0</v>
      </c>
      <c r="N1926" s="6">
        <v>0</v>
      </c>
      <c r="O1926" s="6">
        <v>0</v>
      </c>
      <c r="P1926" s="6">
        <v>0</v>
      </c>
      <c r="Q1926" t="s">
        <v>65</v>
      </c>
      <c r="R1926" t="s">
        <v>82</v>
      </c>
      <c r="S1926" t="s">
        <v>61</v>
      </c>
    </row>
    <row r="1927" spans="1:19" x14ac:dyDescent="0.35">
      <c r="A1927" t="s">
        <v>2056</v>
      </c>
      <c r="B1927" s="5">
        <v>45851</v>
      </c>
      <c r="C1927" t="s">
        <v>1414</v>
      </c>
      <c r="D1927" t="s">
        <v>70</v>
      </c>
      <c r="E1927">
        <v>3</v>
      </c>
      <c r="F1927" s="6">
        <v>38</v>
      </c>
      <c r="G1927" s="7">
        <v>0</v>
      </c>
      <c r="H1927" s="6">
        <v>114</v>
      </c>
      <c r="I1927">
        <v>0</v>
      </c>
      <c r="J1927" s="6">
        <v>0</v>
      </c>
      <c r="K1927">
        <v>3</v>
      </c>
      <c r="L1927" s="6">
        <v>114</v>
      </c>
      <c r="M1927" s="6">
        <v>83.48</v>
      </c>
      <c r="N1927" s="6">
        <v>30.52</v>
      </c>
      <c r="O1927" s="6">
        <v>9.6999999999999993</v>
      </c>
      <c r="P1927" s="6">
        <v>20.82</v>
      </c>
      <c r="Q1927" t="s">
        <v>59</v>
      </c>
      <c r="R1927" t="s">
        <v>86</v>
      </c>
      <c r="S1927" t="s">
        <v>61</v>
      </c>
    </row>
    <row r="1928" spans="1:19" x14ac:dyDescent="0.35">
      <c r="A1928" t="s">
        <v>2057</v>
      </c>
      <c r="B1928" s="5">
        <v>45985</v>
      </c>
      <c r="C1928" t="s">
        <v>84</v>
      </c>
      <c r="D1928" t="s">
        <v>85</v>
      </c>
      <c r="E1928">
        <v>3</v>
      </c>
      <c r="F1928" s="6">
        <v>48</v>
      </c>
      <c r="G1928" s="7">
        <v>2</v>
      </c>
      <c r="H1928" s="6">
        <v>141.12</v>
      </c>
      <c r="I1928">
        <v>0</v>
      </c>
      <c r="J1928" s="6">
        <v>0</v>
      </c>
      <c r="K1928">
        <v>3</v>
      </c>
      <c r="L1928" s="6">
        <v>141.12</v>
      </c>
      <c r="M1928" s="6">
        <v>93.13</v>
      </c>
      <c r="N1928" s="6">
        <v>47.99</v>
      </c>
      <c r="O1928" s="6">
        <v>9.67</v>
      </c>
      <c r="P1928" s="6">
        <v>38.32</v>
      </c>
      <c r="Q1928" t="s">
        <v>75</v>
      </c>
      <c r="R1928" t="s">
        <v>60</v>
      </c>
      <c r="S1928" t="s">
        <v>71</v>
      </c>
    </row>
    <row r="1929" spans="1:19" x14ac:dyDescent="0.35">
      <c r="A1929" t="s">
        <v>2058</v>
      </c>
      <c r="B1929" s="5">
        <v>45670</v>
      </c>
      <c r="C1929" t="s">
        <v>63</v>
      </c>
      <c r="D1929" t="s">
        <v>64</v>
      </c>
      <c r="E1929">
        <v>4</v>
      </c>
      <c r="F1929" s="6">
        <v>145</v>
      </c>
      <c r="G1929" s="7">
        <v>5</v>
      </c>
      <c r="H1929" s="6">
        <v>551</v>
      </c>
      <c r="I1929">
        <v>0</v>
      </c>
      <c r="J1929" s="6">
        <v>0</v>
      </c>
      <c r="K1929">
        <v>4</v>
      </c>
      <c r="L1929" s="6">
        <v>551</v>
      </c>
      <c r="M1929" s="6">
        <v>391.48</v>
      </c>
      <c r="N1929" s="6">
        <v>159.52000000000001</v>
      </c>
      <c r="O1929" s="6">
        <v>62.35</v>
      </c>
      <c r="P1929" s="6">
        <v>97.17</v>
      </c>
      <c r="Q1929" t="s">
        <v>65</v>
      </c>
      <c r="R1929" t="s">
        <v>82</v>
      </c>
      <c r="S1929" t="s">
        <v>76</v>
      </c>
    </row>
    <row r="1930" spans="1:19" x14ac:dyDescent="0.35">
      <c r="A1930" t="s">
        <v>2059</v>
      </c>
      <c r="B1930" s="5">
        <v>45701</v>
      </c>
      <c r="C1930" t="s">
        <v>78</v>
      </c>
      <c r="D1930" t="s">
        <v>79</v>
      </c>
      <c r="E1930">
        <v>3</v>
      </c>
      <c r="F1930" s="6">
        <v>120</v>
      </c>
      <c r="G1930" s="7">
        <v>10</v>
      </c>
      <c r="H1930" s="6">
        <v>324</v>
      </c>
      <c r="I1930">
        <v>0</v>
      </c>
      <c r="J1930" s="6">
        <v>0</v>
      </c>
      <c r="K1930">
        <v>3</v>
      </c>
      <c r="L1930" s="6">
        <v>324</v>
      </c>
      <c r="M1930" s="6">
        <v>262.38</v>
      </c>
      <c r="N1930" s="6">
        <v>61.62</v>
      </c>
      <c r="O1930" s="6">
        <v>18.18</v>
      </c>
      <c r="P1930" s="6">
        <v>43.44</v>
      </c>
      <c r="Q1930" t="s">
        <v>59</v>
      </c>
      <c r="R1930" t="s">
        <v>82</v>
      </c>
      <c r="S1930" t="s">
        <v>71</v>
      </c>
    </row>
    <row r="1931" spans="1:19" x14ac:dyDescent="0.35">
      <c r="A1931" t="s">
        <v>2060</v>
      </c>
      <c r="B1931" s="5">
        <v>45707</v>
      </c>
      <c r="C1931" t="s">
        <v>107</v>
      </c>
      <c r="D1931" t="s">
        <v>74</v>
      </c>
      <c r="E1931">
        <v>1</v>
      </c>
      <c r="F1931" s="6">
        <v>125</v>
      </c>
      <c r="G1931" s="7">
        <v>5</v>
      </c>
      <c r="H1931" s="6">
        <v>118.75</v>
      </c>
      <c r="I1931">
        <v>0</v>
      </c>
      <c r="J1931" s="6">
        <v>0</v>
      </c>
      <c r="K1931">
        <v>1</v>
      </c>
      <c r="L1931" s="6">
        <v>118.75</v>
      </c>
      <c r="M1931" s="6">
        <v>89.2</v>
      </c>
      <c r="N1931" s="6">
        <v>29.55</v>
      </c>
      <c r="O1931" s="6">
        <v>7.68</v>
      </c>
      <c r="P1931" s="6">
        <v>21.87</v>
      </c>
      <c r="Q1931" t="s">
        <v>65</v>
      </c>
      <c r="R1931" t="s">
        <v>66</v>
      </c>
      <c r="S1931" t="s">
        <v>71</v>
      </c>
    </row>
    <row r="1932" spans="1:19" x14ac:dyDescent="0.35">
      <c r="A1932" t="s">
        <v>2061</v>
      </c>
      <c r="B1932" s="5">
        <v>45788</v>
      </c>
      <c r="C1932" t="s">
        <v>100</v>
      </c>
      <c r="D1932" t="s">
        <v>64</v>
      </c>
      <c r="E1932">
        <v>1</v>
      </c>
      <c r="F1932" s="6">
        <v>310</v>
      </c>
      <c r="G1932" s="7">
        <v>0</v>
      </c>
      <c r="H1932" s="6">
        <v>310</v>
      </c>
      <c r="I1932">
        <v>0</v>
      </c>
      <c r="J1932" s="6">
        <v>0</v>
      </c>
      <c r="K1932">
        <v>1</v>
      </c>
      <c r="L1932" s="6">
        <v>310</v>
      </c>
      <c r="M1932" s="6">
        <v>216.79</v>
      </c>
      <c r="N1932" s="6">
        <v>93.21</v>
      </c>
      <c r="O1932" s="6">
        <v>38.299999999999997</v>
      </c>
      <c r="P1932" s="6">
        <v>54.91</v>
      </c>
      <c r="Q1932" t="s">
        <v>75</v>
      </c>
      <c r="R1932" t="s">
        <v>66</v>
      </c>
      <c r="S1932" t="s">
        <v>67</v>
      </c>
    </row>
    <row r="1933" spans="1:19" x14ac:dyDescent="0.35">
      <c r="A1933" t="s">
        <v>2062</v>
      </c>
      <c r="B1933" s="5">
        <v>45966</v>
      </c>
      <c r="C1933" t="s">
        <v>104</v>
      </c>
      <c r="D1933" t="s">
        <v>105</v>
      </c>
      <c r="E1933">
        <v>2</v>
      </c>
      <c r="F1933" s="6">
        <v>65</v>
      </c>
      <c r="G1933" s="7">
        <v>0</v>
      </c>
      <c r="H1933" s="6">
        <v>130</v>
      </c>
      <c r="I1933">
        <v>0</v>
      </c>
      <c r="J1933" s="6">
        <v>0</v>
      </c>
      <c r="K1933">
        <v>2</v>
      </c>
      <c r="L1933" s="6">
        <v>130</v>
      </c>
      <c r="M1933" s="6">
        <v>105.86</v>
      </c>
      <c r="N1933" s="6">
        <v>24.14</v>
      </c>
      <c r="O1933" s="6">
        <v>6.78</v>
      </c>
      <c r="P1933" s="6">
        <v>17.36</v>
      </c>
      <c r="Q1933" t="s">
        <v>75</v>
      </c>
      <c r="R1933" t="s">
        <v>199</v>
      </c>
      <c r="S1933" t="s">
        <v>76</v>
      </c>
    </row>
    <row r="1934" spans="1:19" x14ac:dyDescent="0.35">
      <c r="A1934" t="s">
        <v>2063</v>
      </c>
      <c r="B1934" s="5">
        <v>45889</v>
      </c>
      <c r="C1934" t="s">
        <v>107</v>
      </c>
      <c r="D1934" t="s">
        <v>74</v>
      </c>
      <c r="E1934">
        <v>2</v>
      </c>
      <c r="F1934" s="6">
        <v>125</v>
      </c>
      <c r="G1934" s="7">
        <v>0</v>
      </c>
      <c r="H1934" s="6">
        <v>250</v>
      </c>
      <c r="I1934">
        <v>0</v>
      </c>
      <c r="J1934" s="6">
        <v>0</v>
      </c>
      <c r="K1934">
        <v>2</v>
      </c>
      <c r="L1934" s="6">
        <v>250</v>
      </c>
      <c r="M1934" s="6">
        <v>190.36</v>
      </c>
      <c r="N1934" s="6">
        <v>59.64</v>
      </c>
      <c r="O1934" s="6">
        <v>19.79</v>
      </c>
      <c r="P1934" s="6">
        <v>39.85</v>
      </c>
      <c r="Q1934" t="s">
        <v>81</v>
      </c>
      <c r="R1934" t="s">
        <v>86</v>
      </c>
      <c r="S1934" t="s">
        <v>67</v>
      </c>
    </row>
    <row r="1935" spans="1:19" x14ac:dyDescent="0.35">
      <c r="A1935" t="s">
        <v>2064</v>
      </c>
      <c r="B1935" s="5">
        <v>45770</v>
      </c>
      <c r="C1935" t="s">
        <v>264</v>
      </c>
      <c r="D1935" t="s">
        <v>110</v>
      </c>
      <c r="E1935">
        <v>1</v>
      </c>
      <c r="F1935" s="6">
        <v>20</v>
      </c>
      <c r="G1935" s="7">
        <v>0</v>
      </c>
      <c r="H1935" s="6">
        <v>20</v>
      </c>
      <c r="I1935">
        <v>0</v>
      </c>
      <c r="J1935" s="6">
        <v>0</v>
      </c>
      <c r="K1935">
        <v>1</v>
      </c>
      <c r="L1935" s="6">
        <v>20</v>
      </c>
      <c r="M1935" s="6">
        <v>16.14</v>
      </c>
      <c r="N1935" s="6">
        <v>3.86</v>
      </c>
      <c r="O1935" s="6">
        <v>2.16</v>
      </c>
      <c r="P1935" s="6">
        <v>1.7</v>
      </c>
      <c r="Q1935" t="s">
        <v>81</v>
      </c>
      <c r="R1935" t="s">
        <v>86</v>
      </c>
      <c r="S1935" t="s">
        <v>61</v>
      </c>
    </row>
    <row r="1936" spans="1:19" x14ac:dyDescent="0.35">
      <c r="A1936" t="s">
        <v>2065</v>
      </c>
      <c r="B1936" s="5">
        <v>45966</v>
      </c>
      <c r="C1936" t="s">
        <v>84</v>
      </c>
      <c r="D1936" t="s">
        <v>85</v>
      </c>
      <c r="E1936">
        <v>2</v>
      </c>
      <c r="F1936" s="6">
        <v>48</v>
      </c>
      <c r="G1936" s="7">
        <v>0</v>
      </c>
      <c r="H1936" s="6">
        <v>96</v>
      </c>
      <c r="I1936">
        <v>2</v>
      </c>
      <c r="J1936" s="6">
        <v>96</v>
      </c>
      <c r="K1936">
        <v>0</v>
      </c>
      <c r="L1936" s="6">
        <v>0</v>
      </c>
      <c r="M1936" s="6">
        <v>0</v>
      </c>
      <c r="N1936" s="6">
        <v>0</v>
      </c>
      <c r="O1936" s="6">
        <v>0</v>
      </c>
      <c r="P1936" s="6">
        <v>0</v>
      </c>
      <c r="Q1936" t="s">
        <v>81</v>
      </c>
      <c r="R1936" t="s">
        <v>82</v>
      </c>
      <c r="S1936" t="s">
        <v>76</v>
      </c>
    </row>
    <row r="1937" spans="1:19" x14ac:dyDescent="0.35">
      <c r="A1937" t="s">
        <v>2066</v>
      </c>
      <c r="B1937" s="5">
        <v>45704</v>
      </c>
      <c r="C1937" t="s">
        <v>107</v>
      </c>
      <c r="D1937" t="s">
        <v>74</v>
      </c>
      <c r="E1937">
        <v>1</v>
      </c>
      <c r="F1937" s="6">
        <v>125</v>
      </c>
      <c r="G1937" s="7">
        <v>5</v>
      </c>
      <c r="H1937" s="6">
        <v>118.75</v>
      </c>
      <c r="I1937">
        <v>0</v>
      </c>
      <c r="J1937" s="6">
        <v>0</v>
      </c>
      <c r="K1937">
        <v>1</v>
      </c>
      <c r="L1937" s="6">
        <v>118.75</v>
      </c>
      <c r="M1937" s="6">
        <v>93.86</v>
      </c>
      <c r="N1937" s="6">
        <v>24.89</v>
      </c>
      <c r="O1937" s="6">
        <v>10.83</v>
      </c>
      <c r="P1937" s="6">
        <v>14.06</v>
      </c>
      <c r="Q1937" t="s">
        <v>59</v>
      </c>
      <c r="R1937" t="s">
        <v>86</v>
      </c>
      <c r="S1937" t="s">
        <v>61</v>
      </c>
    </row>
    <row r="1938" spans="1:19" x14ac:dyDescent="0.35">
      <c r="A1938" t="s">
        <v>2067</v>
      </c>
      <c r="B1938" s="5">
        <v>45920</v>
      </c>
      <c r="C1938" t="s">
        <v>97</v>
      </c>
      <c r="D1938" t="s">
        <v>57</v>
      </c>
      <c r="E1938">
        <v>3</v>
      </c>
      <c r="F1938" s="6">
        <v>55</v>
      </c>
      <c r="G1938" s="7">
        <v>0</v>
      </c>
      <c r="H1938" s="6">
        <v>165</v>
      </c>
      <c r="I1938">
        <v>0</v>
      </c>
      <c r="J1938" s="6">
        <v>0</v>
      </c>
      <c r="K1938">
        <v>3</v>
      </c>
      <c r="L1938" s="6">
        <v>165</v>
      </c>
      <c r="M1938" s="6">
        <v>110.54</v>
      </c>
      <c r="N1938" s="6">
        <v>54.46</v>
      </c>
      <c r="O1938" s="6">
        <v>15.47</v>
      </c>
      <c r="P1938" s="6">
        <v>38.99</v>
      </c>
      <c r="Q1938" t="s">
        <v>81</v>
      </c>
      <c r="R1938" t="s">
        <v>86</v>
      </c>
      <c r="S1938" t="s">
        <v>71</v>
      </c>
    </row>
    <row r="1939" spans="1:19" x14ac:dyDescent="0.35">
      <c r="A1939" t="s">
        <v>2068</v>
      </c>
      <c r="B1939" s="5">
        <v>45814</v>
      </c>
      <c r="C1939" t="s">
        <v>84</v>
      </c>
      <c r="D1939" t="s">
        <v>85</v>
      </c>
      <c r="E1939">
        <v>2</v>
      </c>
      <c r="F1939" s="6">
        <v>48</v>
      </c>
      <c r="G1939" s="7">
        <v>0</v>
      </c>
      <c r="H1939" s="6">
        <v>96</v>
      </c>
      <c r="I1939">
        <v>0</v>
      </c>
      <c r="J1939" s="6">
        <v>0</v>
      </c>
      <c r="K1939">
        <v>2</v>
      </c>
      <c r="L1939" s="6">
        <v>96</v>
      </c>
      <c r="M1939" s="6">
        <v>60.64</v>
      </c>
      <c r="N1939" s="6">
        <v>35.36</v>
      </c>
      <c r="O1939" s="6">
        <v>10.53</v>
      </c>
      <c r="P1939" s="6">
        <v>24.83</v>
      </c>
      <c r="Q1939" t="s">
        <v>75</v>
      </c>
      <c r="R1939" t="s">
        <v>66</v>
      </c>
      <c r="S1939" t="s">
        <v>71</v>
      </c>
    </row>
    <row r="1940" spans="1:19" x14ac:dyDescent="0.35">
      <c r="A1940" t="s">
        <v>2069</v>
      </c>
      <c r="B1940" s="5">
        <v>45859</v>
      </c>
      <c r="C1940" t="s">
        <v>100</v>
      </c>
      <c r="D1940" t="s">
        <v>64</v>
      </c>
      <c r="E1940">
        <v>2</v>
      </c>
      <c r="F1940" s="6">
        <v>310</v>
      </c>
      <c r="G1940" s="7">
        <v>0</v>
      </c>
      <c r="H1940" s="6">
        <v>620</v>
      </c>
      <c r="I1940">
        <v>0</v>
      </c>
      <c r="J1940" s="6">
        <v>0</v>
      </c>
      <c r="K1940">
        <v>2</v>
      </c>
      <c r="L1940" s="6">
        <v>620</v>
      </c>
      <c r="M1940" s="6">
        <v>443.08</v>
      </c>
      <c r="N1940" s="6">
        <v>176.92</v>
      </c>
      <c r="O1940" s="6">
        <v>77.56</v>
      </c>
      <c r="P1940" s="6">
        <v>99.36</v>
      </c>
      <c r="Q1940" t="s">
        <v>75</v>
      </c>
      <c r="R1940" t="s">
        <v>86</v>
      </c>
      <c r="S1940" t="s">
        <v>61</v>
      </c>
    </row>
    <row r="1941" spans="1:19" x14ac:dyDescent="0.35">
      <c r="A1941" t="s">
        <v>2070</v>
      </c>
      <c r="B1941" s="5">
        <v>45920</v>
      </c>
      <c r="C1941" t="s">
        <v>264</v>
      </c>
      <c r="D1941" t="s">
        <v>110</v>
      </c>
      <c r="E1941">
        <v>6</v>
      </c>
      <c r="F1941" s="6">
        <v>20</v>
      </c>
      <c r="G1941" s="7">
        <v>10</v>
      </c>
      <c r="H1941" s="6">
        <v>108</v>
      </c>
      <c r="I1941">
        <v>0</v>
      </c>
      <c r="J1941" s="6">
        <v>0</v>
      </c>
      <c r="K1941">
        <v>6</v>
      </c>
      <c r="L1941" s="6">
        <v>108</v>
      </c>
      <c r="M1941" s="6">
        <v>90.81</v>
      </c>
      <c r="N1941" s="6">
        <v>17.190000000000001</v>
      </c>
      <c r="O1941" s="6">
        <v>9.9600000000000009</v>
      </c>
      <c r="P1941" s="6">
        <v>7.23</v>
      </c>
      <c r="Q1941" t="s">
        <v>81</v>
      </c>
      <c r="R1941" t="s">
        <v>66</v>
      </c>
      <c r="S1941" t="s">
        <v>71</v>
      </c>
    </row>
    <row r="1942" spans="1:19" x14ac:dyDescent="0.35">
      <c r="A1942" t="s">
        <v>2071</v>
      </c>
      <c r="B1942" s="5">
        <v>45808</v>
      </c>
      <c r="C1942" t="s">
        <v>121</v>
      </c>
      <c r="D1942" t="s">
        <v>70</v>
      </c>
      <c r="E1942">
        <v>1</v>
      </c>
      <c r="F1942" s="6">
        <v>110</v>
      </c>
      <c r="G1942" s="7">
        <v>0</v>
      </c>
      <c r="H1942" s="6">
        <v>110</v>
      </c>
      <c r="I1942">
        <v>0</v>
      </c>
      <c r="J1942" s="6">
        <v>0</v>
      </c>
      <c r="K1942">
        <v>1</v>
      </c>
      <c r="L1942" s="6">
        <v>110</v>
      </c>
      <c r="M1942" s="6">
        <v>93.39</v>
      </c>
      <c r="N1942" s="6">
        <v>16.61</v>
      </c>
      <c r="O1942" s="6">
        <v>11.96</v>
      </c>
      <c r="P1942" s="6">
        <v>4.6500000000000004</v>
      </c>
      <c r="Q1942" t="s">
        <v>59</v>
      </c>
      <c r="R1942" t="s">
        <v>86</v>
      </c>
      <c r="S1942" t="s">
        <v>67</v>
      </c>
    </row>
    <row r="1943" spans="1:19" x14ac:dyDescent="0.35">
      <c r="A1943" t="s">
        <v>2072</v>
      </c>
      <c r="B1943" s="5">
        <v>45991</v>
      </c>
      <c r="C1943" t="s">
        <v>95</v>
      </c>
      <c r="D1943" t="s">
        <v>64</v>
      </c>
      <c r="E1943">
        <v>1</v>
      </c>
      <c r="F1943" s="6">
        <v>52</v>
      </c>
      <c r="G1943" s="7">
        <v>0</v>
      </c>
      <c r="H1943" s="6">
        <v>52</v>
      </c>
      <c r="I1943">
        <v>0</v>
      </c>
      <c r="J1943" s="6">
        <v>0</v>
      </c>
      <c r="K1943">
        <v>1</v>
      </c>
      <c r="L1943" s="6">
        <v>52</v>
      </c>
      <c r="M1943" s="6">
        <v>39.42</v>
      </c>
      <c r="N1943" s="6">
        <v>12.58</v>
      </c>
      <c r="O1943" s="6">
        <v>5.35</v>
      </c>
      <c r="P1943" s="6">
        <v>7.23</v>
      </c>
      <c r="Q1943" t="s">
        <v>65</v>
      </c>
      <c r="R1943" t="s">
        <v>60</v>
      </c>
      <c r="S1943" t="s">
        <v>71</v>
      </c>
    </row>
    <row r="1944" spans="1:19" x14ac:dyDescent="0.35">
      <c r="A1944" t="s">
        <v>2073</v>
      </c>
      <c r="B1944" s="5">
        <v>45754</v>
      </c>
      <c r="C1944" t="s">
        <v>84</v>
      </c>
      <c r="D1944" t="s">
        <v>85</v>
      </c>
      <c r="E1944">
        <v>6</v>
      </c>
      <c r="F1944" s="6">
        <v>48</v>
      </c>
      <c r="G1944" s="7">
        <v>0</v>
      </c>
      <c r="H1944" s="6">
        <v>288</v>
      </c>
      <c r="I1944">
        <v>0</v>
      </c>
      <c r="J1944" s="6">
        <v>0</v>
      </c>
      <c r="K1944">
        <v>6</v>
      </c>
      <c r="L1944" s="6">
        <v>288</v>
      </c>
      <c r="M1944" s="6">
        <v>222.37</v>
      </c>
      <c r="N1944" s="6">
        <v>65.63</v>
      </c>
      <c r="O1944" s="6">
        <v>37.06</v>
      </c>
      <c r="P1944" s="6">
        <v>28.57</v>
      </c>
      <c r="Q1944" t="s">
        <v>75</v>
      </c>
      <c r="R1944" t="s">
        <v>82</v>
      </c>
      <c r="S1944" t="s">
        <v>61</v>
      </c>
    </row>
    <row r="1945" spans="1:19" x14ac:dyDescent="0.35">
      <c r="A1945" t="s">
        <v>2074</v>
      </c>
      <c r="B1945" s="5">
        <v>45826</v>
      </c>
      <c r="C1945" t="s">
        <v>376</v>
      </c>
      <c r="D1945" t="s">
        <v>64</v>
      </c>
      <c r="E1945">
        <v>1</v>
      </c>
      <c r="F1945" s="6">
        <v>145</v>
      </c>
      <c r="G1945" s="7">
        <v>0</v>
      </c>
      <c r="H1945" s="6">
        <v>145</v>
      </c>
      <c r="I1945">
        <v>0</v>
      </c>
      <c r="J1945" s="6">
        <v>0</v>
      </c>
      <c r="K1945">
        <v>1</v>
      </c>
      <c r="L1945" s="6">
        <v>145</v>
      </c>
      <c r="M1945" s="6">
        <v>112.76</v>
      </c>
      <c r="N1945" s="6">
        <v>32.24</v>
      </c>
      <c r="O1945" s="6">
        <v>15.47</v>
      </c>
      <c r="P1945" s="6">
        <v>16.77</v>
      </c>
      <c r="Q1945" t="s">
        <v>81</v>
      </c>
      <c r="R1945" t="s">
        <v>60</v>
      </c>
      <c r="S1945" t="s">
        <v>61</v>
      </c>
    </row>
    <row r="1946" spans="1:19" x14ac:dyDescent="0.35">
      <c r="A1946" t="s">
        <v>2075</v>
      </c>
      <c r="B1946" s="5">
        <v>45795</v>
      </c>
      <c r="C1946" t="s">
        <v>264</v>
      </c>
      <c r="D1946" t="s">
        <v>85</v>
      </c>
      <c r="E1946">
        <v>1</v>
      </c>
      <c r="F1946" s="6">
        <v>20</v>
      </c>
      <c r="G1946" s="7">
        <v>5</v>
      </c>
      <c r="H1946" s="6">
        <v>19</v>
      </c>
      <c r="I1946">
        <v>0</v>
      </c>
      <c r="J1946" s="6">
        <v>0</v>
      </c>
      <c r="K1946">
        <v>1</v>
      </c>
      <c r="L1946" s="6">
        <v>19</v>
      </c>
      <c r="M1946" s="6">
        <v>15.19</v>
      </c>
      <c r="N1946" s="6">
        <v>3.81</v>
      </c>
      <c r="O1946" s="6">
        <v>1.47</v>
      </c>
      <c r="P1946" s="6">
        <v>2.34</v>
      </c>
      <c r="Q1946" t="s">
        <v>59</v>
      </c>
      <c r="R1946" t="s">
        <v>82</v>
      </c>
      <c r="S1946" t="s">
        <v>61</v>
      </c>
    </row>
    <row r="1947" spans="1:19" x14ac:dyDescent="0.35">
      <c r="A1947" t="s">
        <v>2076</v>
      </c>
      <c r="B1947" s="5">
        <v>45714</v>
      </c>
      <c r="C1947" t="s">
        <v>90</v>
      </c>
      <c r="D1947" t="s">
        <v>70</v>
      </c>
      <c r="E1947">
        <v>1</v>
      </c>
      <c r="F1947" s="6">
        <v>38</v>
      </c>
      <c r="G1947" s="7">
        <v>0</v>
      </c>
      <c r="H1947" s="6">
        <v>38</v>
      </c>
      <c r="I1947">
        <v>0</v>
      </c>
      <c r="J1947" s="6">
        <v>0</v>
      </c>
      <c r="K1947">
        <v>1</v>
      </c>
      <c r="L1947" s="6">
        <v>38</v>
      </c>
      <c r="M1947" s="6">
        <v>30</v>
      </c>
      <c r="N1947" s="6">
        <v>8</v>
      </c>
      <c r="O1947" s="6">
        <v>3.84</v>
      </c>
      <c r="P1947" s="6">
        <v>4.16</v>
      </c>
      <c r="Q1947" t="s">
        <v>81</v>
      </c>
      <c r="R1947" t="s">
        <v>82</v>
      </c>
      <c r="S1947" t="s">
        <v>67</v>
      </c>
    </row>
    <row r="1948" spans="1:19" x14ac:dyDescent="0.35">
      <c r="A1948" t="s">
        <v>2077</v>
      </c>
      <c r="B1948" s="5">
        <v>45714</v>
      </c>
      <c r="C1948" t="s">
        <v>109</v>
      </c>
      <c r="D1948" t="s">
        <v>85</v>
      </c>
      <c r="E1948">
        <v>10</v>
      </c>
      <c r="F1948" s="6">
        <v>180</v>
      </c>
      <c r="G1948" s="7">
        <v>0</v>
      </c>
      <c r="H1948" s="6">
        <v>1800</v>
      </c>
      <c r="I1948">
        <v>0</v>
      </c>
      <c r="J1948" s="6">
        <v>0</v>
      </c>
      <c r="K1948">
        <v>10</v>
      </c>
      <c r="L1948" s="6">
        <v>1800</v>
      </c>
      <c r="M1948" s="6">
        <v>1312.64</v>
      </c>
      <c r="N1948" s="6">
        <v>487.36</v>
      </c>
      <c r="O1948" s="6">
        <v>151.68</v>
      </c>
      <c r="P1948" s="6">
        <v>335.68</v>
      </c>
      <c r="Q1948" t="s">
        <v>81</v>
      </c>
      <c r="R1948" t="s">
        <v>86</v>
      </c>
      <c r="S1948" t="s">
        <v>61</v>
      </c>
    </row>
    <row r="1949" spans="1:19" x14ac:dyDescent="0.35">
      <c r="A1949" t="s">
        <v>2078</v>
      </c>
      <c r="B1949" s="5">
        <v>46022</v>
      </c>
      <c r="C1949" t="s">
        <v>84</v>
      </c>
      <c r="D1949" t="s">
        <v>85</v>
      </c>
      <c r="E1949">
        <v>5</v>
      </c>
      <c r="F1949" s="6">
        <v>48</v>
      </c>
      <c r="G1949" s="7">
        <v>5</v>
      </c>
      <c r="H1949" s="6">
        <v>228</v>
      </c>
      <c r="I1949">
        <v>0</v>
      </c>
      <c r="J1949" s="6">
        <v>0</v>
      </c>
      <c r="K1949">
        <v>5</v>
      </c>
      <c r="L1949" s="6">
        <v>228</v>
      </c>
      <c r="M1949" s="6">
        <v>166.71</v>
      </c>
      <c r="N1949" s="6">
        <v>61.29</v>
      </c>
      <c r="O1949" s="6">
        <v>22.5</v>
      </c>
      <c r="P1949" s="6">
        <v>38.79</v>
      </c>
      <c r="Q1949" t="s">
        <v>59</v>
      </c>
      <c r="R1949" t="s">
        <v>86</v>
      </c>
      <c r="S1949" t="s">
        <v>71</v>
      </c>
    </row>
    <row r="1950" spans="1:19" x14ac:dyDescent="0.35">
      <c r="A1950" t="s">
        <v>2079</v>
      </c>
      <c r="B1950" s="5">
        <v>45877</v>
      </c>
      <c r="C1950" t="s">
        <v>90</v>
      </c>
      <c r="D1950" t="s">
        <v>70</v>
      </c>
      <c r="E1950">
        <v>2</v>
      </c>
      <c r="F1950" s="6">
        <v>38</v>
      </c>
      <c r="G1950" s="7">
        <v>0</v>
      </c>
      <c r="H1950" s="6">
        <v>76</v>
      </c>
      <c r="I1950">
        <v>0</v>
      </c>
      <c r="J1950" s="6">
        <v>0</v>
      </c>
      <c r="K1950">
        <v>2</v>
      </c>
      <c r="L1950" s="6">
        <v>76</v>
      </c>
      <c r="M1950" s="6">
        <v>64.95</v>
      </c>
      <c r="N1950" s="6">
        <v>11.05</v>
      </c>
      <c r="O1950" s="6">
        <v>6.28</v>
      </c>
      <c r="P1950" s="6">
        <v>4.7699999999999996</v>
      </c>
      <c r="Q1950" t="s">
        <v>65</v>
      </c>
      <c r="R1950" t="s">
        <v>86</v>
      </c>
      <c r="S1950" t="s">
        <v>61</v>
      </c>
    </row>
    <row r="1951" spans="1:19" x14ac:dyDescent="0.35">
      <c r="A1951" t="s">
        <v>2080</v>
      </c>
      <c r="B1951" s="5">
        <v>45845</v>
      </c>
      <c r="C1951" t="s">
        <v>109</v>
      </c>
      <c r="D1951" t="s">
        <v>85</v>
      </c>
      <c r="E1951">
        <v>1</v>
      </c>
      <c r="F1951" s="6">
        <v>180</v>
      </c>
      <c r="G1951" s="7">
        <v>0</v>
      </c>
      <c r="H1951" s="6">
        <v>180</v>
      </c>
      <c r="I1951">
        <v>0</v>
      </c>
      <c r="J1951" s="6">
        <v>0</v>
      </c>
      <c r="K1951">
        <v>1</v>
      </c>
      <c r="L1951" s="6">
        <v>180</v>
      </c>
      <c r="M1951" s="6">
        <v>150.44999999999999</v>
      </c>
      <c r="N1951" s="6">
        <v>29.55</v>
      </c>
      <c r="O1951" s="6">
        <v>18.55</v>
      </c>
      <c r="P1951" s="6">
        <v>11</v>
      </c>
      <c r="Q1951" t="s">
        <v>81</v>
      </c>
      <c r="R1951" t="s">
        <v>60</v>
      </c>
    </row>
    <row r="1952" spans="1:19" x14ac:dyDescent="0.35">
      <c r="A1952" t="s">
        <v>2081</v>
      </c>
      <c r="B1952" s="5">
        <v>46012</v>
      </c>
      <c r="C1952" t="s">
        <v>107</v>
      </c>
      <c r="D1952" t="s">
        <v>74</v>
      </c>
      <c r="E1952">
        <v>8</v>
      </c>
      <c r="F1952" s="6">
        <v>125</v>
      </c>
      <c r="G1952" s="7">
        <v>5</v>
      </c>
      <c r="H1952" s="6">
        <v>950</v>
      </c>
      <c r="I1952">
        <v>0</v>
      </c>
      <c r="J1952" s="6">
        <v>0</v>
      </c>
      <c r="K1952">
        <v>8</v>
      </c>
      <c r="L1952" s="6">
        <v>950</v>
      </c>
      <c r="M1952" s="6">
        <v>776.1</v>
      </c>
      <c r="N1952" s="6">
        <v>173.9</v>
      </c>
      <c r="O1952" s="6">
        <v>58.39</v>
      </c>
      <c r="P1952" s="6">
        <v>115.51</v>
      </c>
      <c r="Q1952" t="s">
        <v>75</v>
      </c>
      <c r="R1952" t="s">
        <v>66</v>
      </c>
      <c r="S1952" t="s">
        <v>67</v>
      </c>
    </row>
    <row r="1953" spans="1:19" x14ac:dyDescent="0.35">
      <c r="A1953" t="s">
        <v>2082</v>
      </c>
      <c r="B1953" s="5">
        <v>46021</v>
      </c>
      <c r="C1953" t="s">
        <v>88</v>
      </c>
      <c r="D1953" t="s">
        <v>57</v>
      </c>
      <c r="E1953">
        <v>5</v>
      </c>
      <c r="F1953" s="6">
        <v>30</v>
      </c>
      <c r="G1953" s="7">
        <v>0</v>
      </c>
      <c r="H1953" s="6">
        <v>150</v>
      </c>
      <c r="I1953">
        <v>0</v>
      </c>
      <c r="J1953" s="6">
        <v>0</v>
      </c>
      <c r="K1953">
        <v>5</v>
      </c>
      <c r="L1953" s="6">
        <v>150</v>
      </c>
      <c r="M1953" s="6">
        <v>100.25</v>
      </c>
      <c r="N1953" s="6">
        <v>49.75</v>
      </c>
      <c r="O1953" s="6">
        <v>19.14</v>
      </c>
      <c r="P1953" s="6">
        <v>30.61</v>
      </c>
      <c r="Q1953" t="s">
        <v>75</v>
      </c>
      <c r="R1953" t="s">
        <v>66</v>
      </c>
      <c r="S1953" t="s">
        <v>71</v>
      </c>
    </row>
    <row r="1954" spans="1:19" x14ac:dyDescent="0.35">
      <c r="A1954" t="s">
        <v>2083</v>
      </c>
      <c r="B1954" s="5">
        <v>45816</v>
      </c>
      <c r="C1954" t="s">
        <v>90</v>
      </c>
      <c r="D1954" t="s">
        <v>70</v>
      </c>
      <c r="E1954">
        <v>2</v>
      </c>
      <c r="F1954" s="6">
        <v>38</v>
      </c>
      <c r="G1954" s="7">
        <v>2</v>
      </c>
      <c r="H1954" s="6">
        <v>74.48</v>
      </c>
      <c r="I1954">
        <v>0</v>
      </c>
      <c r="J1954" s="6">
        <v>0</v>
      </c>
      <c r="K1954">
        <v>2</v>
      </c>
      <c r="L1954" s="6">
        <v>74.48</v>
      </c>
      <c r="M1954" s="6">
        <v>59</v>
      </c>
      <c r="N1954" s="6">
        <v>15.48</v>
      </c>
      <c r="O1954" s="6">
        <v>8.93</v>
      </c>
      <c r="P1954" s="6">
        <v>6.55</v>
      </c>
      <c r="Q1954" t="s">
        <v>81</v>
      </c>
      <c r="R1954" t="s">
        <v>86</v>
      </c>
      <c r="S1954" t="s">
        <v>71</v>
      </c>
    </row>
    <row r="1955" spans="1:19" x14ac:dyDescent="0.35">
      <c r="A1955" t="s">
        <v>2084</v>
      </c>
      <c r="B1955" s="5">
        <v>45994</v>
      </c>
      <c r="C1955" t="s">
        <v>107</v>
      </c>
      <c r="D1955" t="s">
        <v>74</v>
      </c>
      <c r="E1955">
        <v>3</v>
      </c>
      <c r="F1955" s="6">
        <v>125</v>
      </c>
      <c r="G1955" s="7">
        <v>0</v>
      </c>
      <c r="H1955" s="6">
        <v>375</v>
      </c>
      <c r="I1955">
        <v>0</v>
      </c>
      <c r="J1955" s="6">
        <v>0</v>
      </c>
      <c r="K1955">
        <v>3</v>
      </c>
      <c r="L1955" s="6">
        <v>375</v>
      </c>
      <c r="M1955" s="6">
        <v>287.97000000000003</v>
      </c>
      <c r="N1955" s="6">
        <v>87.03</v>
      </c>
      <c r="O1955" s="6">
        <v>24.68</v>
      </c>
      <c r="P1955" s="6">
        <v>62.35</v>
      </c>
      <c r="Q1955" t="s">
        <v>75</v>
      </c>
      <c r="R1955" t="s">
        <v>66</v>
      </c>
      <c r="S1955" t="s">
        <v>67</v>
      </c>
    </row>
    <row r="1956" spans="1:19" x14ac:dyDescent="0.35">
      <c r="A1956" t="s">
        <v>2085</v>
      </c>
      <c r="B1956" s="5">
        <v>45740</v>
      </c>
      <c r="C1956" t="s">
        <v>56</v>
      </c>
      <c r="D1956" t="s">
        <v>57</v>
      </c>
      <c r="E1956">
        <v>2</v>
      </c>
      <c r="F1956" s="6">
        <v>40</v>
      </c>
      <c r="G1956" s="7">
        <v>2</v>
      </c>
      <c r="H1956" s="6">
        <v>78.400000000000006</v>
      </c>
      <c r="I1956">
        <v>0</v>
      </c>
      <c r="J1956" s="6">
        <v>0</v>
      </c>
      <c r="K1956">
        <v>2</v>
      </c>
      <c r="L1956" s="6">
        <v>78.400000000000006</v>
      </c>
      <c r="M1956" s="6">
        <v>65.819999999999993</v>
      </c>
      <c r="N1956" s="6">
        <v>12.58</v>
      </c>
      <c r="O1956" s="6">
        <v>9.06</v>
      </c>
      <c r="P1956" s="6">
        <v>3.52</v>
      </c>
      <c r="Q1956" t="s">
        <v>59</v>
      </c>
      <c r="R1956" t="s">
        <v>60</v>
      </c>
      <c r="S1956" t="s">
        <v>76</v>
      </c>
    </row>
    <row r="1957" spans="1:19" x14ac:dyDescent="0.35">
      <c r="A1957" t="s">
        <v>2086</v>
      </c>
      <c r="B1957" s="5">
        <v>45841</v>
      </c>
      <c r="C1957" t="s">
        <v>109</v>
      </c>
      <c r="D1957" t="s">
        <v>85</v>
      </c>
      <c r="E1957">
        <v>10</v>
      </c>
      <c r="F1957" s="6">
        <v>180</v>
      </c>
      <c r="G1957" s="7">
        <v>0</v>
      </c>
      <c r="H1957" s="6">
        <v>1800</v>
      </c>
      <c r="I1957">
        <v>0</v>
      </c>
      <c r="J1957" s="6">
        <v>0</v>
      </c>
      <c r="K1957">
        <v>10</v>
      </c>
      <c r="L1957" s="6">
        <v>1800</v>
      </c>
      <c r="M1957" s="6">
        <v>1374.06</v>
      </c>
      <c r="N1957" s="6">
        <v>425.94</v>
      </c>
      <c r="O1957" s="6">
        <v>131.66999999999999</v>
      </c>
      <c r="P1957" s="6">
        <v>294.27</v>
      </c>
      <c r="Q1957" t="s">
        <v>59</v>
      </c>
      <c r="R1957" t="s">
        <v>82</v>
      </c>
      <c r="S1957" t="s">
        <v>67</v>
      </c>
    </row>
    <row r="1958" spans="1:19" x14ac:dyDescent="0.35">
      <c r="A1958" t="s">
        <v>2087</v>
      </c>
      <c r="B1958" s="5">
        <v>45681</v>
      </c>
      <c r="C1958" t="s">
        <v>107</v>
      </c>
      <c r="D1958" t="s">
        <v>74</v>
      </c>
      <c r="E1958">
        <v>4</v>
      </c>
      <c r="F1958" s="6">
        <v>125</v>
      </c>
      <c r="G1958" s="7">
        <v>0</v>
      </c>
      <c r="H1958" s="6">
        <v>500</v>
      </c>
      <c r="I1958">
        <v>0</v>
      </c>
      <c r="J1958" s="6">
        <v>0</v>
      </c>
      <c r="K1958">
        <v>4</v>
      </c>
      <c r="L1958" s="6">
        <v>500</v>
      </c>
      <c r="M1958" s="6">
        <v>319.98</v>
      </c>
      <c r="N1958" s="6">
        <v>180.02</v>
      </c>
      <c r="O1958" s="6">
        <v>45.81</v>
      </c>
      <c r="P1958" s="6">
        <v>134.21</v>
      </c>
      <c r="Q1958" t="s">
        <v>81</v>
      </c>
      <c r="R1958" t="s">
        <v>60</v>
      </c>
      <c r="S1958" t="s">
        <v>71</v>
      </c>
    </row>
    <row r="1959" spans="1:19" x14ac:dyDescent="0.35">
      <c r="A1959" t="s">
        <v>2088</v>
      </c>
      <c r="B1959" s="5">
        <v>45803</v>
      </c>
      <c r="C1959" t="s">
        <v>97</v>
      </c>
      <c r="D1959" t="s">
        <v>57</v>
      </c>
      <c r="E1959">
        <v>3</v>
      </c>
      <c r="F1959" s="6">
        <v>55</v>
      </c>
      <c r="G1959" s="7">
        <v>2</v>
      </c>
      <c r="H1959" s="6">
        <v>161.69999999999999</v>
      </c>
      <c r="I1959">
        <v>0</v>
      </c>
      <c r="J1959" s="6">
        <v>0</v>
      </c>
      <c r="K1959">
        <v>3</v>
      </c>
      <c r="L1959" s="6">
        <v>161.69999999999999</v>
      </c>
      <c r="M1959" s="6">
        <v>103.08</v>
      </c>
      <c r="N1959" s="6">
        <v>58.62</v>
      </c>
      <c r="O1959" s="6">
        <v>14.02</v>
      </c>
      <c r="P1959" s="6">
        <v>44.6</v>
      </c>
      <c r="Q1959" t="s">
        <v>59</v>
      </c>
      <c r="R1959" t="s">
        <v>86</v>
      </c>
      <c r="S1959" t="s">
        <v>67</v>
      </c>
    </row>
    <row r="1960" spans="1:19" x14ac:dyDescent="0.35">
      <c r="A1960" t="s">
        <v>2089</v>
      </c>
      <c r="B1960" s="5">
        <v>45742</v>
      </c>
      <c r="C1960" t="s">
        <v>109</v>
      </c>
      <c r="D1960" t="s">
        <v>85</v>
      </c>
      <c r="E1960">
        <v>1</v>
      </c>
      <c r="F1960" s="6">
        <v>180</v>
      </c>
      <c r="G1960" s="7">
        <v>2</v>
      </c>
      <c r="H1960" s="6">
        <v>176.4</v>
      </c>
      <c r="I1960">
        <v>0</v>
      </c>
      <c r="J1960" s="6">
        <v>0</v>
      </c>
      <c r="K1960">
        <v>1</v>
      </c>
      <c r="L1960" s="6">
        <v>176.4</v>
      </c>
      <c r="M1960" s="6">
        <v>132.63999999999999</v>
      </c>
      <c r="N1960" s="6">
        <v>43.76</v>
      </c>
      <c r="O1960" s="6">
        <v>22.13</v>
      </c>
      <c r="P1960" s="6">
        <v>21.63</v>
      </c>
      <c r="Q1960" t="s">
        <v>65</v>
      </c>
      <c r="R1960" t="s">
        <v>82</v>
      </c>
      <c r="S1960" t="s">
        <v>61</v>
      </c>
    </row>
    <row r="1961" spans="1:19" x14ac:dyDescent="0.35">
      <c r="A1961" t="s">
        <v>2090</v>
      </c>
      <c r="B1961" s="5">
        <v>45751</v>
      </c>
      <c r="C1961" t="s">
        <v>88</v>
      </c>
      <c r="D1961" t="s">
        <v>57</v>
      </c>
      <c r="E1961">
        <v>1</v>
      </c>
      <c r="F1961" s="6">
        <v>30</v>
      </c>
      <c r="G1961" s="7">
        <v>2</v>
      </c>
      <c r="H1961" s="6">
        <v>29.4</v>
      </c>
      <c r="I1961">
        <v>0</v>
      </c>
      <c r="J1961" s="6">
        <v>0</v>
      </c>
      <c r="K1961">
        <v>1</v>
      </c>
      <c r="L1961" s="6">
        <v>29.4</v>
      </c>
      <c r="M1961" s="6">
        <v>19.440000000000001</v>
      </c>
      <c r="N1961" s="6">
        <v>9.9600000000000009</v>
      </c>
      <c r="O1961" s="6">
        <v>3.08</v>
      </c>
      <c r="P1961" s="6">
        <v>6.88</v>
      </c>
      <c r="Q1961" t="s">
        <v>81</v>
      </c>
      <c r="R1961" t="s">
        <v>60</v>
      </c>
      <c r="S1961" t="s">
        <v>67</v>
      </c>
    </row>
    <row r="1962" spans="1:19" x14ac:dyDescent="0.35">
      <c r="A1962" t="s">
        <v>2091</v>
      </c>
      <c r="B1962" s="5">
        <v>45889</v>
      </c>
      <c r="C1962" t="s">
        <v>599</v>
      </c>
      <c r="D1962" t="s">
        <v>70</v>
      </c>
      <c r="E1962">
        <v>8</v>
      </c>
      <c r="F1962" s="6">
        <v>110</v>
      </c>
      <c r="G1962" s="7">
        <v>0</v>
      </c>
      <c r="H1962" s="6">
        <v>880</v>
      </c>
      <c r="I1962">
        <v>0</v>
      </c>
      <c r="J1962" s="6">
        <v>0</v>
      </c>
      <c r="K1962">
        <v>8</v>
      </c>
      <c r="L1962" s="6">
        <v>880</v>
      </c>
      <c r="M1962" s="6">
        <v>646.83000000000004</v>
      </c>
      <c r="N1962" s="6">
        <v>233.17</v>
      </c>
      <c r="O1962" s="6">
        <v>71.680000000000007</v>
      </c>
      <c r="P1962" s="6">
        <v>161.49</v>
      </c>
      <c r="Q1962" t="s">
        <v>65</v>
      </c>
      <c r="R1962" t="s">
        <v>82</v>
      </c>
      <c r="S1962" t="s">
        <v>71</v>
      </c>
    </row>
    <row r="1963" spans="1:19" x14ac:dyDescent="0.35">
      <c r="A1963" t="s">
        <v>2092</v>
      </c>
      <c r="B1963" s="5">
        <v>45958</v>
      </c>
      <c r="C1963" t="s">
        <v>100</v>
      </c>
      <c r="D1963" t="s">
        <v>64</v>
      </c>
      <c r="E1963">
        <v>2</v>
      </c>
      <c r="F1963" s="6">
        <v>310</v>
      </c>
      <c r="G1963" s="7">
        <v>0</v>
      </c>
      <c r="H1963" s="6">
        <v>620</v>
      </c>
      <c r="I1963">
        <v>0</v>
      </c>
      <c r="J1963" s="6">
        <v>0</v>
      </c>
      <c r="K1963">
        <v>2</v>
      </c>
      <c r="L1963" s="6">
        <v>620</v>
      </c>
      <c r="M1963" s="6">
        <v>455.07</v>
      </c>
      <c r="N1963" s="6">
        <v>164.93</v>
      </c>
      <c r="O1963" s="6">
        <v>59.32</v>
      </c>
      <c r="P1963" s="6">
        <v>105.61</v>
      </c>
      <c r="Q1963" t="s">
        <v>81</v>
      </c>
      <c r="R1963" t="s">
        <v>86</v>
      </c>
      <c r="S1963" t="s">
        <v>76</v>
      </c>
    </row>
    <row r="1964" spans="1:19" x14ac:dyDescent="0.35">
      <c r="A1964" t="s">
        <v>2093</v>
      </c>
      <c r="B1964" s="5">
        <v>45927</v>
      </c>
      <c r="C1964" t="s">
        <v>100</v>
      </c>
      <c r="D1964" t="s">
        <v>64</v>
      </c>
      <c r="E1964">
        <v>2</v>
      </c>
      <c r="F1964" s="6">
        <v>310</v>
      </c>
      <c r="G1964" s="7">
        <v>0</v>
      </c>
      <c r="H1964" s="6">
        <v>620</v>
      </c>
      <c r="I1964">
        <v>0</v>
      </c>
      <c r="J1964" s="6">
        <v>0</v>
      </c>
      <c r="K1964">
        <v>2</v>
      </c>
      <c r="L1964" s="6">
        <v>620</v>
      </c>
      <c r="M1964" s="6">
        <v>490.44</v>
      </c>
      <c r="N1964" s="6">
        <v>129.56</v>
      </c>
      <c r="O1964" s="6">
        <v>64.069999999999993</v>
      </c>
      <c r="P1964" s="6">
        <v>65.489999999999995</v>
      </c>
      <c r="Q1964" t="s">
        <v>59</v>
      </c>
      <c r="R1964" t="s">
        <v>66</v>
      </c>
      <c r="S1964" t="s">
        <v>76</v>
      </c>
    </row>
    <row r="1965" spans="1:19" x14ac:dyDescent="0.35">
      <c r="A1965" t="s">
        <v>2094</v>
      </c>
      <c r="B1965" s="5">
        <v>45724</v>
      </c>
      <c r="C1965" t="s">
        <v>97</v>
      </c>
      <c r="D1965" t="s">
        <v>57</v>
      </c>
      <c r="E1965">
        <v>1</v>
      </c>
      <c r="F1965" s="6">
        <v>55</v>
      </c>
      <c r="G1965" s="7">
        <v>0</v>
      </c>
      <c r="H1965" s="6">
        <v>55</v>
      </c>
      <c r="I1965">
        <v>0</v>
      </c>
      <c r="J1965" s="6">
        <v>0</v>
      </c>
      <c r="K1965">
        <v>1</v>
      </c>
      <c r="L1965" s="6">
        <v>55</v>
      </c>
      <c r="M1965" s="6">
        <v>34.6</v>
      </c>
      <c r="N1965" s="6">
        <v>20.399999999999999</v>
      </c>
      <c r="O1965" s="6">
        <v>6.38</v>
      </c>
      <c r="P1965" s="6">
        <v>14.02</v>
      </c>
      <c r="Q1965" t="s">
        <v>59</v>
      </c>
      <c r="R1965" t="s">
        <v>82</v>
      </c>
      <c r="S1965" t="s">
        <v>67</v>
      </c>
    </row>
    <row r="1966" spans="1:19" x14ac:dyDescent="0.35">
      <c r="A1966" t="s">
        <v>2095</v>
      </c>
      <c r="B1966" s="5">
        <v>45674</v>
      </c>
      <c r="C1966" t="s">
        <v>95</v>
      </c>
      <c r="D1966" t="s">
        <v>64</v>
      </c>
      <c r="E1966">
        <v>10</v>
      </c>
      <c r="F1966" s="6">
        <v>52</v>
      </c>
      <c r="G1966" s="7">
        <v>2</v>
      </c>
      <c r="H1966" s="6">
        <v>509.6</v>
      </c>
      <c r="I1966">
        <v>0</v>
      </c>
      <c r="J1966" s="6">
        <v>0</v>
      </c>
      <c r="K1966">
        <v>10</v>
      </c>
      <c r="L1966" s="6">
        <v>509.6</v>
      </c>
      <c r="M1966" s="6">
        <v>371.51</v>
      </c>
      <c r="N1966" s="6">
        <v>138.09</v>
      </c>
      <c r="O1966" s="6">
        <v>53.79</v>
      </c>
      <c r="P1966" s="6">
        <v>84.3</v>
      </c>
      <c r="Q1966" t="s">
        <v>81</v>
      </c>
      <c r="R1966" t="s">
        <v>82</v>
      </c>
      <c r="S1966" t="s">
        <v>61</v>
      </c>
    </row>
    <row r="1967" spans="1:19" x14ac:dyDescent="0.35">
      <c r="A1967" t="s">
        <v>2096</v>
      </c>
      <c r="B1967" s="5">
        <v>45785</v>
      </c>
      <c r="C1967" t="s">
        <v>107</v>
      </c>
      <c r="D1967" t="s">
        <v>74</v>
      </c>
      <c r="E1967">
        <v>1</v>
      </c>
      <c r="F1967" s="6">
        <v>125</v>
      </c>
      <c r="G1967" s="7">
        <v>0</v>
      </c>
      <c r="H1967" s="6">
        <v>125</v>
      </c>
      <c r="I1967">
        <v>0</v>
      </c>
      <c r="J1967" s="6">
        <v>0</v>
      </c>
      <c r="K1967">
        <v>1</v>
      </c>
      <c r="L1967" s="6">
        <v>125</v>
      </c>
      <c r="M1967" s="6">
        <v>82.93</v>
      </c>
      <c r="N1967" s="6">
        <v>42.07</v>
      </c>
      <c r="O1967" s="6">
        <v>12.41</v>
      </c>
      <c r="P1967" s="6">
        <v>29.66</v>
      </c>
      <c r="Q1967" t="s">
        <v>65</v>
      </c>
      <c r="R1967" t="s">
        <v>82</v>
      </c>
      <c r="S1967" t="s">
        <v>76</v>
      </c>
    </row>
    <row r="1968" spans="1:19" x14ac:dyDescent="0.35">
      <c r="A1968" t="s">
        <v>2097</v>
      </c>
      <c r="B1968" s="5">
        <v>46013</v>
      </c>
      <c r="C1968" t="s">
        <v>73</v>
      </c>
      <c r="D1968" t="s">
        <v>74</v>
      </c>
      <c r="E1968">
        <v>1</v>
      </c>
      <c r="F1968" s="6">
        <v>280</v>
      </c>
      <c r="G1968" s="7">
        <v>5</v>
      </c>
      <c r="H1968" s="6">
        <v>266</v>
      </c>
      <c r="I1968">
        <v>0</v>
      </c>
      <c r="J1968" s="6">
        <v>0</v>
      </c>
      <c r="K1968">
        <v>1</v>
      </c>
      <c r="L1968" s="6">
        <v>266</v>
      </c>
      <c r="M1968" s="6">
        <v>223.07</v>
      </c>
      <c r="N1968" s="6">
        <v>42.93</v>
      </c>
      <c r="O1968" s="6">
        <v>15.47</v>
      </c>
      <c r="P1968" s="6">
        <v>27.46</v>
      </c>
      <c r="Q1968" t="s">
        <v>65</v>
      </c>
      <c r="R1968" t="s">
        <v>60</v>
      </c>
      <c r="S1968" t="s">
        <v>71</v>
      </c>
    </row>
    <row r="1969" spans="1:19" x14ac:dyDescent="0.35">
      <c r="A1969" t="s">
        <v>2098</v>
      </c>
      <c r="B1969" s="5">
        <v>45992</v>
      </c>
      <c r="C1969" t="s">
        <v>121</v>
      </c>
      <c r="D1969" t="s">
        <v>70</v>
      </c>
      <c r="E1969">
        <v>10</v>
      </c>
      <c r="F1969" s="6">
        <v>110</v>
      </c>
      <c r="G1969" s="7">
        <v>0</v>
      </c>
      <c r="H1969" s="6">
        <v>1100</v>
      </c>
      <c r="I1969">
        <v>0</v>
      </c>
      <c r="J1969" s="6">
        <v>0</v>
      </c>
      <c r="K1969">
        <v>10</v>
      </c>
      <c r="L1969" s="6">
        <v>1100</v>
      </c>
      <c r="M1969" s="6">
        <v>862.22</v>
      </c>
      <c r="N1969" s="6">
        <v>237.78</v>
      </c>
      <c r="O1969" s="6">
        <v>89.49</v>
      </c>
      <c r="P1969" s="6">
        <v>148.29</v>
      </c>
      <c r="Q1969" t="s">
        <v>65</v>
      </c>
      <c r="R1969" t="s">
        <v>86</v>
      </c>
      <c r="S1969" t="s">
        <v>67</v>
      </c>
    </row>
    <row r="1970" spans="1:19" x14ac:dyDescent="0.35">
      <c r="A1970" t="s">
        <v>2099</v>
      </c>
      <c r="B1970" s="5">
        <v>45842</v>
      </c>
      <c r="C1970" t="s">
        <v>56</v>
      </c>
      <c r="D1970" t="s">
        <v>57</v>
      </c>
      <c r="E1970">
        <v>5</v>
      </c>
      <c r="F1970" s="6">
        <v>40</v>
      </c>
      <c r="G1970" s="7">
        <v>0</v>
      </c>
      <c r="H1970" s="6">
        <v>200</v>
      </c>
      <c r="I1970">
        <v>0</v>
      </c>
      <c r="J1970" s="6">
        <v>0</v>
      </c>
      <c r="K1970">
        <v>5</v>
      </c>
      <c r="L1970" s="6">
        <v>200</v>
      </c>
      <c r="M1970" s="6">
        <v>136.29</v>
      </c>
      <c r="N1970" s="6">
        <v>63.71</v>
      </c>
      <c r="O1970" s="6">
        <v>18.78</v>
      </c>
      <c r="P1970" s="6">
        <v>44.93</v>
      </c>
      <c r="Q1970" t="s">
        <v>65</v>
      </c>
      <c r="R1970" t="s">
        <v>82</v>
      </c>
      <c r="S1970" t="s">
        <v>76</v>
      </c>
    </row>
    <row r="1971" spans="1:19" x14ac:dyDescent="0.35">
      <c r="A1971" t="s">
        <v>2100</v>
      </c>
      <c r="B1971" s="5">
        <v>45802</v>
      </c>
      <c r="C1971" t="s">
        <v>95</v>
      </c>
      <c r="D1971" t="s">
        <v>64</v>
      </c>
      <c r="E1971">
        <v>3</v>
      </c>
      <c r="F1971" s="6">
        <v>52</v>
      </c>
      <c r="G1971" s="7">
        <v>10</v>
      </c>
      <c r="H1971" s="6">
        <v>140.4</v>
      </c>
      <c r="I1971">
        <v>0</v>
      </c>
      <c r="J1971" s="6">
        <v>0</v>
      </c>
      <c r="K1971">
        <v>3</v>
      </c>
      <c r="L1971" s="6">
        <v>140.4</v>
      </c>
      <c r="M1971" s="6">
        <v>110.51</v>
      </c>
      <c r="N1971" s="6">
        <v>29.89</v>
      </c>
      <c r="O1971" s="6">
        <v>14.31</v>
      </c>
      <c r="P1971" s="6">
        <v>15.58</v>
      </c>
      <c r="Q1971" t="s">
        <v>81</v>
      </c>
      <c r="R1971" t="s">
        <v>66</v>
      </c>
      <c r="S1971" t="s">
        <v>71</v>
      </c>
    </row>
    <row r="1972" spans="1:19" x14ac:dyDescent="0.35">
      <c r="A1972" t="s">
        <v>2101</v>
      </c>
      <c r="B1972" s="5">
        <v>45682</v>
      </c>
      <c r="C1972" t="s">
        <v>109</v>
      </c>
      <c r="D1972" t="s">
        <v>85</v>
      </c>
      <c r="E1972">
        <v>3</v>
      </c>
      <c r="F1972" s="6">
        <v>180</v>
      </c>
      <c r="G1972" s="7">
        <v>0</v>
      </c>
      <c r="H1972" s="6">
        <v>540</v>
      </c>
      <c r="I1972">
        <v>0</v>
      </c>
      <c r="J1972" s="6">
        <v>0</v>
      </c>
      <c r="K1972">
        <v>3</v>
      </c>
      <c r="L1972" s="6">
        <v>540</v>
      </c>
      <c r="M1972" s="6">
        <v>349.31</v>
      </c>
      <c r="N1972" s="6">
        <v>190.69</v>
      </c>
      <c r="O1972" s="6">
        <v>62.47</v>
      </c>
      <c r="P1972" s="6">
        <v>128.22</v>
      </c>
      <c r="Q1972" t="s">
        <v>81</v>
      </c>
      <c r="R1972" t="s">
        <v>60</v>
      </c>
      <c r="S1972" t="s">
        <v>61</v>
      </c>
    </row>
    <row r="1973" spans="1:19" x14ac:dyDescent="0.35">
      <c r="A1973" t="s">
        <v>2102</v>
      </c>
      <c r="B1973" s="5">
        <v>45675</v>
      </c>
      <c r="C1973" t="s">
        <v>69</v>
      </c>
      <c r="D1973" t="s">
        <v>70</v>
      </c>
      <c r="E1973">
        <v>4</v>
      </c>
      <c r="F1973" s="6">
        <v>210</v>
      </c>
      <c r="G1973" s="7">
        <v>0</v>
      </c>
      <c r="H1973" s="6">
        <v>840</v>
      </c>
      <c r="I1973">
        <v>0</v>
      </c>
      <c r="J1973" s="6">
        <v>0</v>
      </c>
      <c r="K1973">
        <v>4</v>
      </c>
      <c r="L1973" s="6">
        <v>840</v>
      </c>
      <c r="M1973" s="6">
        <v>654.71</v>
      </c>
      <c r="N1973" s="6">
        <v>185.29</v>
      </c>
      <c r="O1973" s="6">
        <v>90.82</v>
      </c>
      <c r="P1973" s="6">
        <v>94.47</v>
      </c>
      <c r="S1973" t="s">
        <v>67</v>
      </c>
    </row>
    <row r="1974" spans="1:19" x14ac:dyDescent="0.35">
      <c r="A1974" t="s">
        <v>2103</v>
      </c>
      <c r="B1974" s="5">
        <v>45918</v>
      </c>
      <c r="C1974" t="s">
        <v>84</v>
      </c>
      <c r="D1974" t="s">
        <v>85</v>
      </c>
      <c r="E1974">
        <v>1</v>
      </c>
      <c r="F1974" s="6">
        <v>48</v>
      </c>
      <c r="G1974" s="7">
        <v>0</v>
      </c>
      <c r="H1974" s="6">
        <v>48</v>
      </c>
      <c r="I1974">
        <v>0</v>
      </c>
      <c r="J1974" s="6">
        <v>0</v>
      </c>
      <c r="K1974">
        <v>1</v>
      </c>
      <c r="L1974" s="6">
        <v>48</v>
      </c>
      <c r="M1974" s="6">
        <v>39.76</v>
      </c>
      <c r="N1974" s="6">
        <v>8.24</v>
      </c>
      <c r="O1974" s="6">
        <v>4.6100000000000003</v>
      </c>
      <c r="P1974" s="6">
        <v>3.63</v>
      </c>
      <c r="Q1974" t="s">
        <v>65</v>
      </c>
      <c r="R1974" t="s">
        <v>60</v>
      </c>
      <c r="S1974" t="s">
        <v>61</v>
      </c>
    </row>
    <row r="1975" spans="1:19" x14ac:dyDescent="0.35">
      <c r="A1975" t="s">
        <v>2104</v>
      </c>
      <c r="B1975" s="5">
        <v>45825</v>
      </c>
      <c r="C1975" t="s">
        <v>63</v>
      </c>
      <c r="D1975" t="s">
        <v>64</v>
      </c>
      <c r="E1975">
        <v>5</v>
      </c>
      <c r="F1975" s="6">
        <v>145</v>
      </c>
      <c r="G1975" s="7">
        <v>0</v>
      </c>
      <c r="H1975" s="6">
        <v>725</v>
      </c>
      <c r="I1975">
        <v>0</v>
      </c>
      <c r="J1975" s="6">
        <v>0</v>
      </c>
      <c r="K1975">
        <v>5</v>
      </c>
      <c r="L1975" s="6">
        <v>725</v>
      </c>
      <c r="M1975" s="6">
        <v>479.01</v>
      </c>
      <c r="N1975" s="6">
        <v>245.99</v>
      </c>
      <c r="O1975" s="6">
        <v>65.14</v>
      </c>
      <c r="P1975" s="6">
        <v>180.85</v>
      </c>
      <c r="Q1975" t="s">
        <v>59</v>
      </c>
      <c r="R1975" t="s">
        <v>66</v>
      </c>
      <c r="S1975" t="s">
        <v>76</v>
      </c>
    </row>
    <row r="1976" spans="1:19" x14ac:dyDescent="0.35">
      <c r="A1976" t="s">
        <v>2105</v>
      </c>
      <c r="B1976" s="5">
        <v>45670</v>
      </c>
      <c r="C1976" t="s">
        <v>73</v>
      </c>
      <c r="D1976" t="s">
        <v>243</v>
      </c>
      <c r="E1976">
        <v>4</v>
      </c>
      <c r="F1976" s="6">
        <v>280</v>
      </c>
      <c r="G1976" s="7">
        <v>0</v>
      </c>
      <c r="H1976" s="6">
        <v>1120</v>
      </c>
      <c r="I1976">
        <v>0</v>
      </c>
      <c r="J1976" s="6">
        <v>0</v>
      </c>
      <c r="K1976">
        <v>4</v>
      </c>
      <c r="L1976" s="6">
        <v>1120</v>
      </c>
      <c r="M1976" s="6">
        <v>824.29</v>
      </c>
      <c r="N1976" s="6">
        <v>295.70999999999998</v>
      </c>
      <c r="O1976" s="6">
        <v>62.05</v>
      </c>
      <c r="P1976" s="6">
        <v>233.66</v>
      </c>
      <c r="Q1976" t="s">
        <v>59</v>
      </c>
      <c r="R1976" t="s">
        <v>86</v>
      </c>
      <c r="S1976" t="s">
        <v>61</v>
      </c>
    </row>
    <row r="1977" spans="1:19" x14ac:dyDescent="0.35">
      <c r="A1977" t="s">
        <v>2106</v>
      </c>
      <c r="B1977" s="5">
        <v>45735</v>
      </c>
      <c r="C1977" t="s">
        <v>97</v>
      </c>
      <c r="D1977" t="s">
        <v>57</v>
      </c>
      <c r="E1977">
        <v>3</v>
      </c>
      <c r="F1977" s="6">
        <v>55</v>
      </c>
      <c r="G1977" s="7">
        <v>5</v>
      </c>
      <c r="H1977" s="6">
        <v>156.75</v>
      </c>
      <c r="I1977">
        <v>0</v>
      </c>
      <c r="J1977" s="6">
        <v>0</v>
      </c>
      <c r="K1977">
        <v>3</v>
      </c>
      <c r="L1977" s="6">
        <v>156.75</v>
      </c>
      <c r="M1977" s="6">
        <v>126.28</v>
      </c>
      <c r="N1977" s="6">
        <v>30.47</v>
      </c>
      <c r="O1977" s="6">
        <v>13.41</v>
      </c>
      <c r="P1977" s="6">
        <v>17.059999999999999</v>
      </c>
      <c r="Q1977" t="s">
        <v>75</v>
      </c>
      <c r="R1977" t="s">
        <v>82</v>
      </c>
      <c r="S1977" t="s">
        <v>71</v>
      </c>
    </row>
    <row r="1978" spans="1:19" x14ac:dyDescent="0.35">
      <c r="A1978" t="s">
        <v>2107</v>
      </c>
      <c r="B1978" s="5">
        <v>45957</v>
      </c>
      <c r="C1978" t="s">
        <v>56</v>
      </c>
      <c r="D1978" t="s">
        <v>57</v>
      </c>
      <c r="E1978">
        <v>2</v>
      </c>
      <c r="F1978" s="6">
        <v>40</v>
      </c>
      <c r="G1978" s="7">
        <v>0</v>
      </c>
      <c r="H1978" s="6">
        <v>80</v>
      </c>
      <c r="I1978">
        <v>0</v>
      </c>
      <c r="J1978" s="6">
        <v>0</v>
      </c>
      <c r="K1978">
        <v>2</v>
      </c>
      <c r="L1978" s="6">
        <v>80</v>
      </c>
      <c r="M1978" s="6">
        <v>52.26</v>
      </c>
      <c r="N1978" s="6">
        <v>27.74</v>
      </c>
      <c r="O1978" s="6">
        <v>5.92</v>
      </c>
      <c r="P1978" s="6">
        <v>21.82</v>
      </c>
      <c r="Q1978" t="s">
        <v>81</v>
      </c>
      <c r="R1978" t="s">
        <v>60</v>
      </c>
      <c r="S1978" t="s">
        <v>67</v>
      </c>
    </row>
    <row r="1979" spans="1:19" x14ac:dyDescent="0.35">
      <c r="A1979" t="s">
        <v>2108</v>
      </c>
      <c r="B1979" s="5">
        <v>45765</v>
      </c>
      <c r="C1979" t="s">
        <v>84</v>
      </c>
      <c r="D1979" t="s">
        <v>85</v>
      </c>
      <c r="E1979">
        <v>2</v>
      </c>
      <c r="F1979" s="6">
        <v>48</v>
      </c>
      <c r="G1979" s="7">
        <v>0</v>
      </c>
      <c r="H1979" s="6">
        <v>96</v>
      </c>
      <c r="I1979">
        <v>0</v>
      </c>
      <c r="J1979" s="6">
        <v>0</v>
      </c>
      <c r="K1979">
        <v>2</v>
      </c>
      <c r="L1979" s="6">
        <v>96</v>
      </c>
      <c r="M1979" s="6">
        <v>77.88</v>
      </c>
      <c r="N1979" s="6">
        <v>18.12</v>
      </c>
      <c r="O1979" s="6">
        <v>6.2</v>
      </c>
      <c r="P1979" s="6">
        <v>11.92</v>
      </c>
      <c r="Q1979" t="s">
        <v>65</v>
      </c>
      <c r="R1979" t="s">
        <v>82</v>
      </c>
      <c r="S1979" t="s">
        <v>76</v>
      </c>
    </row>
    <row r="1980" spans="1:19" x14ac:dyDescent="0.35">
      <c r="A1980" t="s">
        <v>2109</v>
      </c>
      <c r="B1980" s="5">
        <v>45940</v>
      </c>
      <c r="C1980" t="s">
        <v>125</v>
      </c>
      <c r="D1980" t="s">
        <v>85</v>
      </c>
      <c r="E1980">
        <v>6</v>
      </c>
      <c r="F1980" s="6">
        <v>125</v>
      </c>
      <c r="G1980" s="7">
        <v>0</v>
      </c>
      <c r="H1980" s="6">
        <v>750</v>
      </c>
      <c r="I1980">
        <v>0</v>
      </c>
      <c r="J1980" s="6">
        <v>0</v>
      </c>
      <c r="K1980">
        <v>6</v>
      </c>
      <c r="L1980" s="6">
        <v>750</v>
      </c>
      <c r="M1980" s="6">
        <v>523.64</v>
      </c>
      <c r="N1980" s="6">
        <v>226.36</v>
      </c>
      <c r="O1980" s="6">
        <v>76.58</v>
      </c>
      <c r="P1980" s="6">
        <v>149.78</v>
      </c>
      <c r="Q1980" t="s">
        <v>81</v>
      </c>
      <c r="R1980" t="s">
        <v>82</v>
      </c>
      <c r="S1980" t="s">
        <v>61</v>
      </c>
    </row>
    <row r="1981" spans="1:19" x14ac:dyDescent="0.35">
      <c r="A1981" t="s">
        <v>2110</v>
      </c>
      <c r="B1981" s="5">
        <v>46016</v>
      </c>
      <c r="C1981" t="s">
        <v>88</v>
      </c>
      <c r="D1981" t="s">
        <v>153</v>
      </c>
      <c r="E1981">
        <v>2</v>
      </c>
      <c r="F1981" s="6">
        <v>30</v>
      </c>
      <c r="G1981" s="7">
        <v>2</v>
      </c>
      <c r="H1981" s="6">
        <v>58.8</v>
      </c>
      <c r="I1981">
        <v>0</v>
      </c>
      <c r="J1981" s="6">
        <v>0</v>
      </c>
      <c r="K1981">
        <v>2</v>
      </c>
      <c r="L1981" s="6">
        <v>58.8</v>
      </c>
      <c r="M1981" s="6">
        <v>41.44</v>
      </c>
      <c r="N1981" s="6">
        <v>17.36</v>
      </c>
      <c r="O1981" s="6">
        <v>7.1</v>
      </c>
      <c r="P1981" s="6">
        <v>10.26</v>
      </c>
      <c r="Q1981" t="s">
        <v>65</v>
      </c>
      <c r="R1981" t="s">
        <v>66</v>
      </c>
      <c r="S1981" t="s">
        <v>76</v>
      </c>
    </row>
    <row r="1982" spans="1:19" x14ac:dyDescent="0.35">
      <c r="A1982" t="s">
        <v>2111</v>
      </c>
      <c r="B1982" s="5">
        <v>45942</v>
      </c>
      <c r="C1982" t="s">
        <v>104</v>
      </c>
      <c r="D1982" t="s">
        <v>105</v>
      </c>
      <c r="E1982">
        <v>5</v>
      </c>
      <c r="F1982" s="6">
        <v>65</v>
      </c>
      <c r="G1982" s="7">
        <v>0</v>
      </c>
      <c r="H1982" s="6">
        <v>325</v>
      </c>
      <c r="I1982">
        <v>0</v>
      </c>
      <c r="J1982" s="6">
        <v>0</v>
      </c>
      <c r="K1982">
        <v>5</v>
      </c>
      <c r="L1982" s="6">
        <v>325</v>
      </c>
      <c r="M1982" s="6">
        <v>255.13</v>
      </c>
      <c r="N1982" s="6">
        <v>69.87</v>
      </c>
      <c r="O1982" s="6">
        <v>29.56</v>
      </c>
      <c r="P1982" s="6">
        <v>40.31</v>
      </c>
      <c r="Q1982" t="s">
        <v>75</v>
      </c>
      <c r="R1982" t="s">
        <v>60</v>
      </c>
      <c r="S1982" t="s">
        <v>76</v>
      </c>
    </row>
    <row r="1983" spans="1:19" x14ac:dyDescent="0.35">
      <c r="A1983" t="s">
        <v>2112</v>
      </c>
      <c r="B1983" s="5">
        <v>45752</v>
      </c>
      <c r="C1983" t="s">
        <v>599</v>
      </c>
      <c r="D1983" t="s">
        <v>70</v>
      </c>
      <c r="E1983">
        <v>3</v>
      </c>
      <c r="F1983" s="6">
        <v>110</v>
      </c>
      <c r="G1983" s="7">
        <v>0</v>
      </c>
      <c r="H1983" s="6">
        <v>330</v>
      </c>
      <c r="I1983">
        <v>0</v>
      </c>
      <c r="J1983" s="6">
        <v>0</v>
      </c>
      <c r="K1983">
        <v>3</v>
      </c>
      <c r="L1983" s="6">
        <v>330</v>
      </c>
      <c r="M1983" s="6">
        <v>263.11</v>
      </c>
      <c r="N1983" s="6">
        <v>66.89</v>
      </c>
      <c r="O1983" s="6">
        <v>27.79</v>
      </c>
      <c r="P1983" s="6">
        <v>39.1</v>
      </c>
      <c r="Q1983" t="s">
        <v>81</v>
      </c>
      <c r="R1983" t="s">
        <v>86</v>
      </c>
      <c r="S1983" t="s">
        <v>61</v>
      </c>
    </row>
    <row r="1984" spans="1:19" x14ac:dyDescent="0.35">
      <c r="A1984" t="s">
        <v>2113</v>
      </c>
      <c r="B1984" s="5">
        <v>45910</v>
      </c>
      <c r="C1984" t="s">
        <v>97</v>
      </c>
      <c r="D1984" t="s">
        <v>57</v>
      </c>
      <c r="E1984">
        <v>1</v>
      </c>
      <c r="F1984" s="6">
        <v>55</v>
      </c>
      <c r="G1984" s="7">
        <v>15</v>
      </c>
      <c r="H1984" s="6">
        <v>46.75</v>
      </c>
      <c r="I1984">
        <v>0</v>
      </c>
      <c r="J1984" s="6">
        <v>0</v>
      </c>
      <c r="K1984">
        <v>1</v>
      </c>
      <c r="L1984" s="6">
        <v>46.75</v>
      </c>
      <c r="M1984" s="6">
        <v>33.130000000000003</v>
      </c>
      <c r="N1984" s="6">
        <v>13.62</v>
      </c>
      <c r="O1984" s="6">
        <v>4.17</v>
      </c>
      <c r="P1984" s="6">
        <v>9.4499999999999993</v>
      </c>
      <c r="Q1984" t="s">
        <v>65</v>
      </c>
      <c r="R1984" t="s">
        <v>66</v>
      </c>
      <c r="S1984" t="s">
        <v>67</v>
      </c>
    </row>
    <row r="1985" spans="1:19" x14ac:dyDescent="0.35">
      <c r="A1985" t="s">
        <v>2114</v>
      </c>
      <c r="B1985" s="5">
        <v>45821</v>
      </c>
      <c r="C1985" t="s">
        <v>117</v>
      </c>
      <c r="D1985" t="s">
        <v>74</v>
      </c>
      <c r="E1985">
        <v>1</v>
      </c>
      <c r="F1985" s="6">
        <v>95</v>
      </c>
      <c r="G1985" s="7">
        <v>0</v>
      </c>
      <c r="H1985" s="6">
        <v>95</v>
      </c>
      <c r="I1985">
        <v>0</v>
      </c>
      <c r="J1985" s="6">
        <v>0</v>
      </c>
      <c r="K1985">
        <v>1</v>
      </c>
      <c r="L1985" s="6">
        <v>95</v>
      </c>
      <c r="M1985" s="6">
        <v>64.510000000000005</v>
      </c>
      <c r="N1985" s="6">
        <v>30.49</v>
      </c>
      <c r="O1985" s="6">
        <v>10.49</v>
      </c>
      <c r="P1985" s="6">
        <v>20</v>
      </c>
      <c r="Q1985" t="s">
        <v>75</v>
      </c>
      <c r="R1985" t="s">
        <v>60</v>
      </c>
      <c r="S1985" t="s">
        <v>71</v>
      </c>
    </row>
    <row r="1986" spans="1:19" x14ac:dyDescent="0.35">
      <c r="A1986" t="s">
        <v>2115</v>
      </c>
      <c r="B1986" s="5">
        <v>45950</v>
      </c>
      <c r="C1986" t="s">
        <v>95</v>
      </c>
      <c r="D1986" t="s">
        <v>64</v>
      </c>
      <c r="E1986">
        <v>1</v>
      </c>
      <c r="F1986" s="6">
        <v>52</v>
      </c>
      <c r="G1986" s="7">
        <v>0</v>
      </c>
      <c r="H1986" s="6">
        <v>52</v>
      </c>
      <c r="I1986">
        <v>0</v>
      </c>
      <c r="J1986" s="6">
        <v>0</v>
      </c>
      <c r="K1986">
        <v>1</v>
      </c>
      <c r="L1986" s="6">
        <v>52</v>
      </c>
      <c r="M1986" s="6">
        <v>33.56</v>
      </c>
      <c r="N1986" s="6">
        <v>18.440000000000001</v>
      </c>
      <c r="O1986" s="6">
        <v>5.18</v>
      </c>
      <c r="P1986" s="6">
        <v>13.26</v>
      </c>
      <c r="Q1986" t="s">
        <v>75</v>
      </c>
      <c r="R1986" t="s">
        <v>60</v>
      </c>
      <c r="S1986" t="s">
        <v>61</v>
      </c>
    </row>
    <row r="1987" spans="1:19" x14ac:dyDescent="0.35">
      <c r="A1987" t="s">
        <v>2116</v>
      </c>
      <c r="B1987" s="5">
        <v>45810</v>
      </c>
      <c r="C1987" t="s">
        <v>109</v>
      </c>
      <c r="D1987" t="s">
        <v>85</v>
      </c>
      <c r="E1987">
        <v>3</v>
      </c>
      <c r="F1987" s="6">
        <v>180</v>
      </c>
      <c r="G1987" s="7">
        <v>0</v>
      </c>
      <c r="H1987" s="6">
        <v>540</v>
      </c>
      <c r="I1987">
        <v>0</v>
      </c>
      <c r="J1987" s="6">
        <v>0</v>
      </c>
      <c r="K1987">
        <v>3</v>
      </c>
      <c r="L1987" s="6">
        <v>540</v>
      </c>
      <c r="M1987" s="6">
        <v>372.09</v>
      </c>
      <c r="N1987" s="6">
        <v>167.91</v>
      </c>
      <c r="O1987" s="6">
        <v>28.81</v>
      </c>
      <c r="P1987" s="6">
        <v>139.1</v>
      </c>
      <c r="Q1987" t="s">
        <v>59</v>
      </c>
      <c r="R1987" t="s">
        <v>66</v>
      </c>
      <c r="S1987" t="s">
        <v>61</v>
      </c>
    </row>
    <row r="1988" spans="1:19" x14ac:dyDescent="0.35">
      <c r="A1988" t="s">
        <v>2117</v>
      </c>
      <c r="B1988" s="5">
        <v>45838</v>
      </c>
      <c r="C1988" t="s">
        <v>69</v>
      </c>
      <c r="D1988" t="s">
        <v>70</v>
      </c>
      <c r="E1988">
        <v>3</v>
      </c>
      <c r="F1988" s="6">
        <v>210</v>
      </c>
      <c r="G1988" s="7">
        <v>0</v>
      </c>
      <c r="H1988" s="6">
        <v>630</v>
      </c>
      <c r="I1988">
        <v>0</v>
      </c>
      <c r="J1988" s="6">
        <v>0</v>
      </c>
      <c r="K1988">
        <v>3</v>
      </c>
      <c r="L1988" s="6">
        <v>630</v>
      </c>
      <c r="M1988" s="6">
        <v>410.99</v>
      </c>
      <c r="N1988" s="6">
        <v>219.01</v>
      </c>
      <c r="O1988" s="6">
        <v>80.56</v>
      </c>
      <c r="P1988" s="6">
        <v>138.44999999999999</v>
      </c>
      <c r="Q1988" t="s">
        <v>65</v>
      </c>
      <c r="R1988" t="s">
        <v>66</v>
      </c>
      <c r="S1988" t="s">
        <v>67</v>
      </c>
    </row>
    <row r="1989" spans="1:19" x14ac:dyDescent="0.35">
      <c r="A1989" t="s">
        <v>2118</v>
      </c>
      <c r="B1989" s="5">
        <v>45945</v>
      </c>
      <c r="C1989" t="s">
        <v>100</v>
      </c>
      <c r="D1989" t="s">
        <v>64</v>
      </c>
      <c r="E1989">
        <v>6</v>
      </c>
      <c r="F1989" s="6">
        <v>310</v>
      </c>
      <c r="G1989" s="7">
        <v>0</v>
      </c>
      <c r="H1989" s="6">
        <v>1860</v>
      </c>
      <c r="I1989">
        <v>0</v>
      </c>
      <c r="J1989" s="6">
        <v>0</v>
      </c>
      <c r="K1989">
        <v>6</v>
      </c>
      <c r="L1989" s="6">
        <v>1860</v>
      </c>
      <c r="M1989" s="6">
        <v>1275.42</v>
      </c>
      <c r="N1989" s="6">
        <v>584.58000000000004</v>
      </c>
      <c r="O1989" s="6">
        <v>114.15</v>
      </c>
      <c r="P1989" s="6">
        <v>470.43</v>
      </c>
      <c r="Q1989" t="s">
        <v>81</v>
      </c>
      <c r="R1989" t="s">
        <v>82</v>
      </c>
      <c r="S1989" t="s">
        <v>71</v>
      </c>
    </row>
    <row r="1990" spans="1:19" x14ac:dyDescent="0.35">
      <c r="A1990" t="s">
        <v>2119</v>
      </c>
      <c r="B1990" s="5">
        <v>45966</v>
      </c>
      <c r="C1990" t="s">
        <v>78</v>
      </c>
      <c r="D1990" t="s">
        <v>79</v>
      </c>
      <c r="E1990">
        <v>1</v>
      </c>
      <c r="F1990" s="6">
        <v>120</v>
      </c>
      <c r="G1990" s="7">
        <v>10</v>
      </c>
      <c r="H1990" s="6">
        <v>108</v>
      </c>
      <c r="I1990">
        <v>0</v>
      </c>
      <c r="J1990" s="6">
        <v>0</v>
      </c>
      <c r="K1990">
        <v>1</v>
      </c>
      <c r="L1990" s="6">
        <v>108</v>
      </c>
      <c r="M1990" s="6">
        <v>90.83</v>
      </c>
      <c r="N1990" s="6">
        <v>17.170000000000002</v>
      </c>
      <c r="O1990" s="6">
        <v>6.9</v>
      </c>
      <c r="P1990" s="6">
        <v>10.27</v>
      </c>
      <c r="Q1990" t="s">
        <v>59</v>
      </c>
      <c r="R1990" t="s">
        <v>66</v>
      </c>
      <c r="S1990" t="s">
        <v>61</v>
      </c>
    </row>
    <row r="1991" spans="1:19" x14ac:dyDescent="0.35">
      <c r="A1991" t="s">
        <v>2120</v>
      </c>
      <c r="B1991" s="5">
        <v>45875</v>
      </c>
      <c r="C1991" t="s">
        <v>95</v>
      </c>
      <c r="D1991" t="s">
        <v>64</v>
      </c>
      <c r="E1991">
        <v>5</v>
      </c>
      <c r="F1991" s="6">
        <v>52</v>
      </c>
      <c r="G1991" s="7">
        <v>5</v>
      </c>
      <c r="H1991" s="6">
        <v>247</v>
      </c>
      <c r="I1991">
        <v>0</v>
      </c>
      <c r="J1991" s="6">
        <v>0</v>
      </c>
      <c r="K1991">
        <v>5</v>
      </c>
      <c r="L1991" s="6">
        <v>247</v>
      </c>
      <c r="M1991" s="6">
        <v>181.86</v>
      </c>
      <c r="N1991" s="6">
        <v>65.14</v>
      </c>
      <c r="O1991" s="6">
        <v>13.53</v>
      </c>
      <c r="P1991" s="6">
        <v>51.61</v>
      </c>
      <c r="Q1991" t="s">
        <v>75</v>
      </c>
      <c r="R1991" t="s">
        <v>60</v>
      </c>
      <c r="S1991" t="s">
        <v>71</v>
      </c>
    </row>
    <row r="1992" spans="1:19" x14ac:dyDescent="0.35">
      <c r="A1992" t="s">
        <v>2121</v>
      </c>
      <c r="B1992" s="5">
        <v>45915</v>
      </c>
      <c r="C1992" t="s">
        <v>84</v>
      </c>
      <c r="D1992" t="s">
        <v>85</v>
      </c>
      <c r="E1992">
        <v>1</v>
      </c>
      <c r="F1992" s="6">
        <v>48</v>
      </c>
      <c r="G1992" s="7">
        <v>0</v>
      </c>
      <c r="H1992" s="6">
        <v>48</v>
      </c>
      <c r="I1992">
        <v>0</v>
      </c>
      <c r="J1992" s="6">
        <v>0</v>
      </c>
      <c r="K1992">
        <v>1</v>
      </c>
      <c r="L1992" s="6">
        <v>48</v>
      </c>
      <c r="M1992" s="6">
        <v>34.86</v>
      </c>
      <c r="N1992" s="6">
        <v>13.14</v>
      </c>
      <c r="O1992" s="6">
        <v>3.42</v>
      </c>
      <c r="P1992" s="6">
        <v>9.7200000000000006</v>
      </c>
      <c r="Q1992" t="s">
        <v>59</v>
      </c>
      <c r="R1992" t="s">
        <v>86</v>
      </c>
      <c r="S1992" t="s">
        <v>76</v>
      </c>
    </row>
    <row r="1993" spans="1:19" x14ac:dyDescent="0.35">
      <c r="A1993" t="s">
        <v>2122</v>
      </c>
      <c r="B1993" s="5">
        <v>45985</v>
      </c>
      <c r="C1993" t="s">
        <v>100</v>
      </c>
      <c r="D1993" t="s">
        <v>64</v>
      </c>
      <c r="E1993">
        <v>3</v>
      </c>
      <c r="F1993" s="6">
        <v>310</v>
      </c>
      <c r="G1993" s="7">
        <v>0</v>
      </c>
      <c r="H1993" s="6">
        <v>930</v>
      </c>
      <c r="I1993">
        <v>0</v>
      </c>
      <c r="J1993" s="6">
        <v>0</v>
      </c>
      <c r="K1993">
        <v>3</v>
      </c>
      <c r="L1993" s="6">
        <v>930</v>
      </c>
      <c r="M1993" s="6">
        <v>584.27</v>
      </c>
      <c r="N1993" s="6">
        <v>345.73</v>
      </c>
      <c r="O1993" s="6">
        <v>114.91</v>
      </c>
      <c r="P1993" s="6">
        <v>230.82</v>
      </c>
      <c r="Q1993" t="s">
        <v>81</v>
      </c>
      <c r="R1993" t="s">
        <v>66</v>
      </c>
      <c r="S1993" t="s">
        <v>61</v>
      </c>
    </row>
    <row r="1994" spans="1:19" x14ac:dyDescent="0.35">
      <c r="A1994" t="s">
        <v>2123</v>
      </c>
      <c r="B1994" s="5">
        <v>45718</v>
      </c>
      <c r="C1994" t="s">
        <v>109</v>
      </c>
      <c r="D1994" t="s">
        <v>85</v>
      </c>
      <c r="E1994">
        <v>3</v>
      </c>
      <c r="F1994" s="6">
        <v>180</v>
      </c>
      <c r="G1994" s="7">
        <v>5</v>
      </c>
      <c r="H1994" s="6">
        <v>513</v>
      </c>
      <c r="I1994">
        <v>0</v>
      </c>
      <c r="J1994" s="6">
        <v>0</v>
      </c>
      <c r="K1994">
        <v>3</v>
      </c>
      <c r="L1994" s="6">
        <v>513</v>
      </c>
      <c r="M1994" s="6">
        <v>361.51</v>
      </c>
      <c r="N1994" s="6">
        <v>151.49</v>
      </c>
      <c r="O1994" s="6">
        <v>64.91</v>
      </c>
      <c r="P1994" s="6">
        <v>86.58</v>
      </c>
      <c r="Q1994" t="s">
        <v>75</v>
      </c>
      <c r="R1994" t="s">
        <v>86</v>
      </c>
      <c r="S1994" t="s">
        <v>76</v>
      </c>
    </row>
    <row r="1995" spans="1:19" x14ac:dyDescent="0.35">
      <c r="A1995" t="s">
        <v>2124</v>
      </c>
      <c r="B1995" s="5">
        <v>45751</v>
      </c>
      <c r="C1995" t="s">
        <v>56</v>
      </c>
      <c r="D1995" t="s">
        <v>57</v>
      </c>
      <c r="E1995">
        <v>2</v>
      </c>
      <c r="F1995" s="6">
        <v>40</v>
      </c>
      <c r="G1995" s="7">
        <v>5</v>
      </c>
      <c r="H1995" s="6">
        <v>76</v>
      </c>
      <c r="I1995">
        <v>0</v>
      </c>
      <c r="J1995" s="6">
        <v>0</v>
      </c>
      <c r="K1995">
        <v>2</v>
      </c>
      <c r="L1995" s="6">
        <v>76</v>
      </c>
      <c r="M1995" s="6">
        <v>56.82</v>
      </c>
      <c r="N1995" s="6">
        <v>19.18</v>
      </c>
      <c r="O1995" s="6">
        <v>6.19</v>
      </c>
      <c r="P1995" s="6">
        <v>12.99</v>
      </c>
      <c r="Q1995" t="s">
        <v>81</v>
      </c>
      <c r="R1995" t="s">
        <v>86</v>
      </c>
      <c r="S1995" t="s">
        <v>71</v>
      </c>
    </row>
    <row r="1996" spans="1:19" x14ac:dyDescent="0.35">
      <c r="A1996" t="s">
        <v>2125</v>
      </c>
      <c r="B1996" s="5">
        <v>45834</v>
      </c>
      <c r="C1996" t="s">
        <v>84</v>
      </c>
      <c r="D1996" t="s">
        <v>85</v>
      </c>
      <c r="E1996">
        <v>1</v>
      </c>
      <c r="F1996" s="6">
        <v>48</v>
      </c>
      <c r="G1996" s="7">
        <v>2</v>
      </c>
      <c r="H1996" s="6">
        <v>47.04</v>
      </c>
      <c r="I1996">
        <v>0</v>
      </c>
      <c r="J1996" s="6">
        <v>0</v>
      </c>
      <c r="K1996">
        <v>1</v>
      </c>
      <c r="L1996" s="6">
        <v>47.04</v>
      </c>
      <c r="M1996" s="6">
        <v>37.26</v>
      </c>
      <c r="N1996" s="6">
        <v>9.7799999999999994</v>
      </c>
      <c r="O1996" s="6">
        <v>5.76</v>
      </c>
      <c r="P1996" s="6">
        <v>4.0199999999999996</v>
      </c>
      <c r="Q1996" t="s">
        <v>59</v>
      </c>
      <c r="R1996" t="s">
        <v>60</v>
      </c>
      <c r="S1996" t="s">
        <v>61</v>
      </c>
    </row>
    <row r="1997" spans="1:19" x14ac:dyDescent="0.35">
      <c r="A1997" t="s">
        <v>2126</v>
      </c>
      <c r="B1997" s="5">
        <v>45935</v>
      </c>
      <c r="C1997" t="s">
        <v>100</v>
      </c>
      <c r="D1997" t="s">
        <v>64</v>
      </c>
      <c r="E1997">
        <v>1</v>
      </c>
      <c r="F1997" s="6">
        <v>310</v>
      </c>
      <c r="G1997" s="7">
        <v>15</v>
      </c>
      <c r="H1997" s="6">
        <v>263.5</v>
      </c>
      <c r="I1997">
        <v>0</v>
      </c>
      <c r="J1997" s="6">
        <v>0</v>
      </c>
      <c r="K1997">
        <v>1</v>
      </c>
      <c r="L1997" s="6">
        <v>263.5</v>
      </c>
      <c r="M1997" s="6">
        <v>177.41</v>
      </c>
      <c r="N1997" s="6">
        <v>86.09</v>
      </c>
      <c r="O1997" s="6">
        <v>14.46</v>
      </c>
      <c r="P1997" s="6">
        <v>71.63</v>
      </c>
      <c r="Q1997" t="s">
        <v>81</v>
      </c>
      <c r="R1997" t="s">
        <v>86</v>
      </c>
      <c r="S1997" t="s">
        <v>71</v>
      </c>
    </row>
    <row r="1998" spans="1:19" x14ac:dyDescent="0.35">
      <c r="A1998" t="s">
        <v>2127</v>
      </c>
      <c r="B1998" s="5">
        <v>45718</v>
      </c>
      <c r="C1998" t="s">
        <v>114</v>
      </c>
      <c r="D1998" t="s">
        <v>64</v>
      </c>
      <c r="E1998">
        <v>3</v>
      </c>
      <c r="F1998" s="6">
        <v>420</v>
      </c>
      <c r="G1998" s="7">
        <v>2</v>
      </c>
      <c r="H1998" s="6">
        <v>1234.8</v>
      </c>
      <c r="I1998">
        <v>0</v>
      </c>
      <c r="J1998" s="6">
        <v>0</v>
      </c>
      <c r="K1998">
        <v>3</v>
      </c>
      <c r="L1998" s="6">
        <v>1234.8</v>
      </c>
      <c r="M1998" s="6">
        <v>852.01</v>
      </c>
      <c r="N1998" s="6">
        <v>382.79</v>
      </c>
      <c r="O1998" s="6">
        <v>102.47</v>
      </c>
      <c r="P1998" s="6">
        <v>280.32</v>
      </c>
      <c r="Q1998" t="s">
        <v>75</v>
      </c>
      <c r="R1998" t="s">
        <v>66</v>
      </c>
      <c r="S1998" t="s">
        <v>71</v>
      </c>
    </row>
    <row r="1999" spans="1:19" x14ac:dyDescent="0.35">
      <c r="A1999" t="s">
        <v>2128</v>
      </c>
      <c r="B1999" s="5">
        <v>45791</v>
      </c>
      <c r="C1999" t="s">
        <v>90</v>
      </c>
      <c r="D1999" t="s">
        <v>70</v>
      </c>
      <c r="E1999">
        <v>1</v>
      </c>
      <c r="F1999" s="6">
        <v>38</v>
      </c>
      <c r="G1999" s="7">
        <v>5</v>
      </c>
      <c r="H1999" s="6">
        <v>36.1</v>
      </c>
      <c r="I1999">
        <v>0</v>
      </c>
      <c r="J1999" s="6">
        <v>0</v>
      </c>
      <c r="K1999">
        <v>1</v>
      </c>
      <c r="L1999" s="6">
        <v>36.1</v>
      </c>
      <c r="M1999" s="6">
        <v>23.3</v>
      </c>
      <c r="N1999" s="6">
        <v>12.8</v>
      </c>
      <c r="O1999" s="6">
        <v>3.45</v>
      </c>
      <c r="P1999" s="6">
        <v>9.35</v>
      </c>
      <c r="Q1999" t="s">
        <v>75</v>
      </c>
      <c r="R1999" t="s">
        <v>60</v>
      </c>
      <c r="S1999" t="s">
        <v>71</v>
      </c>
    </row>
    <row r="2000" spans="1:19" x14ac:dyDescent="0.35">
      <c r="A2000" t="s">
        <v>2129</v>
      </c>
      <c r="B2000" s="5">
        <v>45896</v>
      </c>
      <c r="C2000" t="s">
        <v>78</v>
      </c>
      <c r="D2000" t="s">
        <v>79</v>
      </c>
      <c r="E2000">
        <v>4</v>
      </c>
      <c r="F2000" s="6">
        <v>120</v>
      </c>
      <c r="G2000" s="7">
        <v>5</v>
      </c>
      <c r="H2000" s="6">
        <v>456</v>
      </c>
      <c r="I2000">
        <v>0</v>
      </c>
      <c r="J2000" s="6">
        <v>0</v>
      </c>
      <c r="K2000">
        <v>4</v>
      </c>
      <c r="L2000" s="6">
        <v>456</v>
      </c>
      <c r="M2000" s="6">
        <v>310.45999999999998</v>
      </c>
      <c r="N2000" s="6">
        <v>145.54</v>
      </c>
      <c r="O2000" s="6">
        <v>39.57</v>
      </c>
      <c r="P2000" s="6">
        <v>105.97</v>
      </c>
      <c r="Q2000" t="s">
        <v>65</v>
      </c>
      <c r="R2000" t="s">
        <v>60</v>
      </c>
    </row>
    <row r="2001" spans="1:19" x14ac:dyDescent="0.35">
      <c r="A2001" t="s">
        <v>2130</v>
      </c>
      <c r="B2001" s="5">
        <v>45877</v>
      </c>
      <c r="C2001" t="s">
        <v>63</v>
      </c>
      <c r="D2001" t="s">
        <v>64</v>
      </c>
      <c r="E2001">
        <v>5</v>
      </c>
      <c r="F2001" s="6">
        <v>145</v>
      </c>
      <c r="G2001" s="7">
        <v>0</v>
      </c>
      <c r="H2001" s="6">
        <v>725</v>
      </c>
      <c r="I2001">
        <v>0</v>
      </c>
      <c r="J2001" s="6">
        <v>0</v>
      </c>
      <c r="K2001">
        <v>5</v>
      </c>
      <c r="L2001" s="6">
        <v>725</v>
      </c>
      <c r="M2001" s="6">
        <v>515.95000000000005</v>
      </c>
      <c r="N2001" s="6">
        <v>209.05</v>
      </c>
      <c r="O2001" s="6">
        <v>70.150000000000006</v>
      </c>
      <c r="P2001" s="6">
        <v>138.9</v>
      </c>
      <c r="Q2001" t="s">
        <v>59</v>
      </c>
      <c r="R2001" t="s">
        <v>82</v>
      </c>
      <c r="S2001" t="s">
        <v>76</v>
      </c>
    </row>
    <row r="2002" spans="1:19" x14ac:dyDescent="0.35">
      <c r="A2002" t="s">
        <v>148</v>
      </c>
      <c r="B2002" s="5">
        <v>45941</v>
      </c>
      <c r="C2002" t="s">
        <v>90</v>
      </c>
      <c r="D2002" t="s">
        <v>70</v>
      </c>
      <c r="E2002">
        <v>6</v>
      </c>
      <c r="F2002" s="6">
        <v>38</v>
      </c>
      <c r="G2002" s="7">
        <v>0</v>
      </c>
      <c r="H2002" s="6">
        <v>228</v>
      </c>
      <c r="I2002">
        <v>0</v>
      </c>
      <c r="J2002" s="6">
        <v>0</v>
      </c>
      <c r="K2002">
        <v>6</v>
      </c>
      <c r="L2002" s="6">
        <v>228</v>
      </c>
      <c r="M2002" s="6">
        <v>141.94999999999999</v>
      </c>
      <c r="N2002" s="6">
        <v>86.05</v>
      </c>
      <c r="O2002" s="6">
        <v>13.07</v>
      </c>
      <c r="P2002" s="6">
        <v>72.98</v>
      </c>
      <c r="Q2002" t="s">
        <v>81</v>
      </c>
      <c r="R2002" t="s">
        <v>60</v>
      </c>
      <c r="S2002" t="s">
        <v>61</v>
      </c>
    </row>
    <row r="2003" spans="1:19" x14ac:dyDescent="0.35">
      <c r="A2003" t="s">
        <v>621</v>
      </c>
      <c r="B2003" s="5">
        <v>45881</v>
      </c>
      <c r="C2003" t="s">
        <v>125</v>
      </c>
      <c r="D2003" t="s">
        <v>85</v>
      </c>
      <c r="E2003">
        <v>5</v>
      </c>
      <c r="F2003" s="6">
        <v>125</v>
      </c>
      <c r="G2003" s="7">
        <v>0</v>
      </c>
      <c r="H2003" s="6">
        <v>625</v>
      </c>
      <c r="I2003">
        <v>0</v>
      </c>
      <c r="J2003" s="6">
        <v>0</v>
      </c>
      <c r="K2003">
        <v>5</v>
      </c>
      <c r="L2003" s="6">
        <v>625</v>
      </c>
      <c r="M2003" s="6">
        <v>409.89</v>
      </c>
      <c r="N2003" s="6">
        <v>215.11</v>
      </c>
      <c r="O2003" s="6">
        <v>49.3</v>
      </c>
      <c r="P2003" s="6">
        <v>165.81</v>
      </c>
      <c r="Q2003" t="s">
        <v>65</v>
      </c>
      <c r="R2003" t="s">
        <v>82</v>
      </c>
      <c r="S2003" t="s">
        <v>67</v>
      </c>
    </row>
  </sheetData>
  <sheetProtection sheet="1" formatCells="0" formatColumns="0" formatRows="0" sort="0" autoFilter="0"/>
  <autoFilter ref="A1:S2003" xr:uid="{00000000-0009-0000-0000-000001000000}"/>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2001"/>
  <sheetViews>
    <sheetView topLeftCell="M1" zoomScaleNormal="100" workbookViewId="0">
      <pane ySplit="1" topLeftCell="A2" activePane="bottomLeft" state="frozen"/>
      <selection activeCell="M1" sqref="M1"/>
      <selection pane="bottomLeft" activeCell="R3" sqref="R3"/>
    </sheetView>
  </sheetViews>
  <sheetFormatPr defaultColWidth="8.6328125" defaultRowHeight="14.5" x14ac:dyDescent="0.35"/>
  <cols>
    <col min="1" max="1" width="15" customWidth="1"/>
    <col min="2" max="2" width="14" customWidth="1"/>
    <col min="3" max="3" width="25" customWidth="1"/>
    <col min="4" max="4" width="18" customWidth="1"/>
    <col min="5" max="5" width="9" customWidth="1"/>
    <col min="6" max="6" width="19.36328125" customWidth="1"/>
    <col min="7" max="7" width="17.1796875" customWidth="1"/>
    <col min="8" max="9" width="15" customWidth="1"/>
    <col min="10" max="10" width="21.6328125" customWidth="1"/>
    <col min="11" max="11" width="11.7265625" customWidth="1"/>
    <col min="12" max="12" width="18.26953125" customWidth="1"/>
    <col min="13" max="13" width="14" customWidth="1"/>
    <col min="14" max="15" width="21.6328125" customWidth="1"/>
    <col min="16" max="16" width="27.08984375" customWidth="1"/>
    <col min="17" max="18" width="19.36328125" customWidth="1"/>
    <col min="19" max="19" width="18.26953125" customWidth="1"/>
    <col min="20" max="20" width="19.36328125" customWidth="1"/>
    <col min="21" max="21" width="15" customWidth="1"/>
  </cols>
  <sheetData>
    <row r="1" spans="1:21" ht="24" customHeight="1" x14ac:dyDescent="0.35">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2131</v>
      </c>
      <c r="P1" s="8" t="s">
        <v>50</v>
      </c>
      <c r="Q1" s="8" t="s">
        <v>51</v>
      </c>
      <c r="R1" s="8" t="s">
        <v>2132</v>
      </c>
      <c r="S1" s="8" t="s">
        <v>52</v>
      </c>
      <c r="T1" s="8" t="s">
        <v>53</v>
      </c>
      <c r="U1" s="8" t="s">
        <v>54</v>
      </c>
    </row>
    <row r="2" spans="1:21" x14ac:dyDescent="0.35">
      <c r="A2" t="s">
        <v>55</v>
      </c>
      <c r="B2" s="5">
        <v>45872</v>
      </c>
      <c r="C2" t="s">
        <v>56</v>
      </c>
      <c r="D2" t="s">
        <v>57</v>
      </c>
      <c r="E2" s="9">
        <v>5</v>
      </c>
      <c r="F2" s="10">
        <v>40</v>
      </c>
      <c r="G2" s="11">
        <v>0</v>
      </c>
      <c r="H2" s="10">
        <v>200</v>
      </c>
      <c r="I2" s="9">
        <v>0</v>
      </c>
      <c r="J2" s="10">
        <v>0</v>
      </c>
      <c r="K2" s="9">
        <v>5</v>
      </c>
      <c r="L2" s="10">
        <v>200</v>
      </c>
      <c r="M2" s="10">
        <v>161.43</v>
      </c>
      <c r="N2" s="10">
        <v>38.57</v>
      </c>
      <c r="O2" s="11">
        <f t="shared" ref="O2:O26" si="0">N2/L2</f>
        <v>0.19284999999999999</v>
      </c>
      <c r="P2" s="10">
        <v>17.13</v>
      </c>
      <c r="Q2" s="10">
        <v>21.44</v>
      </c>
      <c r="R2" s="11">
        <f t="shared" ref="R2:R26" si="1">Q2/L2</f>
        <v>0.1072</v>
      </c>
      <c r="S2" t="s">
        <v>59</v>
      </c>
      <c r="T2" t="s">
        <v>60</v>
      </c>
      <c r="U2" t="s">
        <v>61</v>
      </c>
    </row>
    <row r="3" spans="1:21" x14ac:dyDescent="0.35">
      <c r="A3" t="s">
        <v>62</v>
      </c>
      <c r="B3" s="5">
        <v>45849</v>
      </c>
      <c r="C3" t="s">
        <v>63</v>
      </c>
      <c r="D3" t="s">
        <v>64</v>
      </c>
      <c r="E3" s="9">
        <v>1</v>
      </c>
      <c r="F3" s="10">
        <v>145</v>
      </c>
      <c r="G3" s="11">
        <v>0.02</v>
      </c>
      <c r="H3" s="10">
        <v>142.1</v>
      </c>
      <c r="I3" s="9">
        <v>0</v>
      </c>
      <c r="J3" s="10">
        <v>0</v>
      </c>
      <c r="K3" s="9">
        <v>1</v>
      </c>
      <c r="L3" s="10">
        <v>142.1</v>
      </c>
      <c r="M3" s="10">
        <v>90.03</v>
      </c>
      <c r="N3" s="10">
        <v>52.07</v>
      </c>
      <c r="O3" s="11">
        <f t="shared" si="0"/>
        <v>0.36643209007741029</v>
      </c>
      <c r="P3" s="10">
        <v>17.77</v>
      </c>
      <c r="Q3" s="10">
        <v>34.299999999999997</v>
      </c>
      <c r="R3" s="11">
        <f t="shared" si="1"/>
        <v>0.24137931034482757</v>
      </c>
      <c r="S3" t="s">
        <v>65</v>
      </c>
      <c r="T3" t="s">
        <v>66</v>
      </c>
      <c r="U3" t="s">
        <v>67</v>
      </c>
    </row>
    <row r="4" spans="1:21" x14ac:dyDescent="0.35">
      <c r="A4" t="s">
        <v>68</v>
      </c>
      <c r="B4" s="5">
        <v>45845</v>
      </c>
      <c r="C4" t="s">
        <v>69</v>
      </c>
      <c r="D4" t="s">
        <v>70</v>
      </c>
      <c r="E4" s="9">
        <v>3</v>
      </c>
      <c r="F4" s="10">
        <v>210</v>
      </c>
      <c r="G4" s="11">
        <v>0</v>
      </c>
      <c r="H4" s="10">
        <v>630</v>
      </c>
      <c r="I4" s="9">
        <v>0</v>
      </c>
      <c r="J4" s="10">
        <v>0</v>
      </c>
      <c r="K4" s="9">
        <v>3</v>
      </c>
      <c r="L4" s="10">
        <v>630</v>
      </c>
      <c r="M4" s="10">
        <v>394.09</v>
      </c>
      <c r="N4" s="10">
        <v>235.91</v>
      </c>
      <c r="O4" s="11">
        <f t="shared" si="0"/>
        <v>0.37446031746031744</v>
      </c>
      <c r="P4" s="10">
        <v>51.65</v>
      </c>
      <c r="Q4" s="10">
        <v>184.26</v>
      </c>
      <c r="R4" s="11">
        <f t="shared" si="1"/>
        <v>0.29247619047619045</v>
      </c>
      <c r="S4" t="s">
        <v>65</v>
      </c>
      <c r="T4" t="s">
        <v>60</v>
      </c>
      <c r="U4" t="s">
        <v>71</v>
      </c>
    </row>
    <row r="5" spans="1:21" x14ac:dyDescent="0.35">
      <c r="A5" t="s">
        <v>72</v>
      </c>
      <c r="B5" s="5">
        <v>45792</v>
      </c>
      <c r="C5" t="s">
        <v>73</v>
      </c>
      <c r="D5" t="s">
        <v>74</v>
      </c>
      <c r="E5" s="9">
        <v>3</v>
      </c>
      <c r="F5" s="10">
        <v>280</v>
      </c>
      <c r="G5" s="11">
        <v>0</v>
      </c>
      <c r="H5" s="10">
        <v>840</v>
      </c>
      <c r="I5" s="9">
        <v>0</v>
      </c>
      <c r="J5" s="10">
        <v>0</v>
      </c>
      <c r="K5" s="9">
        <v>3</v>
      </c>
      <c r="L5" s="10">
        <v>840</v>
      </c>
      <c r="M5" s="10">
        <v>719.02</v>
      </c>
      <c r="N5" s="10">
        <v>120.98</v>
      </c>
      <c r="O5" s="11">
        <f t="shared" si="0"/>
        <v>0.14402380952380953</v>
      </c>
      <c r="P5" s="10">
        <v>99.79</v>
      </c>
      <c r="Q5" s="10">
        <v>21.19</v>
      </c>
      <c r="R5" s="11">
        <f t="shared" si="1"/>
        <v>2.5226190476190478E-2</v>
      </c>
      <c r="S5" t="s">
        <v>75</v>
      </c>
      <c r="T5" t="s">
        <v>66</v>
      </c>
      <c r="U5" t="s">
        <v>76</v>
      </c>
    </row>
    <row r="6" spans="1:21" x14ac:dyDescent="0.35">
      <c r="A6" t="s">
        <v>77</v>
      </c>
      <c r="B6" s="5">
        <v>45820</v>
      </c>
      <c r="C6" t="s">
        <v>78</v>
      </c>
      <c r="D6" t="s">
        <v>79</v>
      </c>
      <c r="E6" s="9">
        <v>8</v>
      </c>
      <c r="F6" s="10">
        <v>120</v>
      </c>
      <c r="G6" s="11">
        <v>0.15</v>
      </c>
      <c r="H6" s="10">
        <v>816</v>
      </c>
      <c r="I6" s="9">
        <v>0</v>
      </c>
      <c r="J6" s="10">
        <v>0</v>
      </c>
      <c r="K6" s="9">
        <v>8</v>
      </c>
      <c r="L6" s="10">
        <v>816</v>
      </c>
      <c r="M6" s="10">
        <v>664.24</v>
      </c>
      <c r="N6" s="10">
        <v>151.76</v>
      </c>
      <c r="O6" s="11">
        <f t="shared" si="0"/>
        <v>0.18598039215686274</v>
      </c>
      <c r="P6" s="10">
        <v>47.18</v>
      </c>
      <c r="Q6" s="10">
        <v>104.58</v>
      </c>
      <c r="R6" s="11">
        <f t="shared" si="1"/>
        <v>0.12816176470588236</v>
      </c>
      <c r="S6" t="s">
        <v>65</v>
      </c>
      <c r="T6" t="s">
        <v>60</v>
      </c>
      <c r="U6" t="s">
        <v>61</v>
      </c>
    </row>
    <row r="7" spans="1:21" x14ac:dyDescent="0.35">
      <c r="A7" t="s">
        <v>80</v>
      </c>
      <c r="B7" s="5">
        <v>45659</v>
      </c>
      <c r="C7" t="s">
        <v>56</v>
      </c>
      <c r="D7" t="s">
        <v>57</v>
      </c>
      <c r="E7" s="9">
        <v>3</v>
      </c>
      <c r="F7" s="10">
        <v>40</v>
      </c>
      <c r="G7" s="11">
        <v>0.05</v>
      </c>
      <c r="H7" s="10">
        <v>114</v>
      </c>
      <c r="I7" s="9">
        <v>0</v>
      </c>
      <c r="J7" s="10">
        <v>0</v>
      </c>
      <c r="K7" s="9">
        <v>3</v>
      </c>
      <c r="L7" s="10">
        <v>114</v>
      </c>
      <c r="M7" s="10">
        <v>75.42</v>
      </c>
      <c r="N7" s="10">
        <v>38.58</v>
      </c>
      <c r="O7" s="11">
        <f t="shared" si="0"/>
        <v>0.33842105263157896</v>
      </c>
      <c r="P7" s="10">
        <v>7.36</v>
      </c>
      <c r="Q7" s="10">
        <v>31.22</v>
      </c>
      <c r="R7" s="11">
        <f t="shared" si="1"/>
        <v>0.27385964912280703</v>
      </c>
      <c r="S7" t="s">
        <v>81</v>
      </c>
      <c r="T7" t="s">
        <v>82</v>
      </c>
      <c r="U7" t="s">
        <v>71</v>
      </c>
    </row>
    <row r="8" spans="1:21" x14ac:dyDescent="0.35">
      <c r="A8" t="s">
        <v>83</v>
      </c>
      <c r="B8" s="5">
        <v>45927</v>
      </c>
      <c r="C8" t="s">
        <v>84</v>
      </c>
      <c r="D8" t="s">
        <v>85</v>
      </c>
      <c r="E8" s="9">
        <v>3</v>
      </c>
      <c r="F8" s="10">
        <v>48</v>
      </c>
      <c r="G8" s="11">
        <v>0</v>
      </c>
      <c r="H8" s="10">
        <v>144</v>
      </c>
      <c r="I8" s="9">
        <v>0</v>
      </c>
      <c r="J8" s="10">
        <v>0</v>
      </c>
      <c r="K8" s="9">
        <v>3</v>
      </c>
      <c r="L8" s="10">
        <v>144</v>
      </c>
      <c r="M8" s="10">
        <v>118.39</v>
      </c>
      <c r="N8" s="10">
        <v>25.61</v>
      </c>
      <c r="O8" s="11">
        <f t="shared" si="0"/>
        <v>0.17784722222222221</v>
      </c>
      <c r="P8" s="10">
        <v>11.75</v>
      </c>
      <c r="Q8" s="10">
        <v>13.86</v>
      </c>
      <c r="R8" s="11">
        <f t="shared" si="1"/>
        <v>9.6250000000000002E-2</v>
      </c>
      <c r="S8" t="s">
        <v>59</v>
      </c>
      <c r="T8" t="s">
        <v>86</v>
      </c>
      <c r="U8" t="s">
        <v>76</v>
      </c>
    </row>
    <row r="9" spans="1:21" x14ac:dyDescent="0.35">
      <c r="A9" t="s">
        <v>87</v>
      </c>
      <c r="B9" s="5">
        <v>45710</v>
      </c>
      <c r="C9" t="s">
        <v>88</v>
      </c>
      <c r="D9" t="s">
        <v>57</v>
      </c>
      <c r="E9" s="9">
        <v>3</v>
      </c>
      <c r="F9" s="10">
        <v>30</v>
      </c>
      <c r="G9" s="11">
        <v>0</v>
      </c>
      <c r="H9" s="10">
        <v>90</v>
      </c>
      <c r="I9" s="9">
        <v>0</v>
      </c>
      <c r="J9" s="10">
        <v>0</v>
      </c>
      <c r="K9" s="9">
        <v>3</v>
      </c>
      <c r="L9" s="10">
        <v>90</v>
      </c>
      <c r="M9" s="10">
        <v>76.56</v>
      </c>
      <c r="N9" s="10">
        <v>13.44</v>
      </c>
      <c r="O9" s="11">
        <f t="shared" si="0"/>
        <v>0.14933333333333332</v>
      </c>
      <c r="P9" s="10">
        <v>9.8800000000000008</v>
      </c>
      <c r="Q9" s="10">
        <v>3.56</v>
      </c>
      <c r="R9" s="11">
        <f t="shared" si="1"/>
        <v>3.9555555555555559E-2</v>
      </c>
      <c r="S9" t="s">
        <v>65</v>
      </c>
      <c r="T9" t="s">
        <v>82</v>
      </c>
      <c r="U9" t="s">
        <v>67</v>
      </c>
    </row>
    <row r="10" spans="1:21" x14ac:dyDescent="0.35">
      <c r="A10" t="s">
        <v>89</v>
      </c>
      <c r="B10" s="5">
        <v>45793</v>
      </c>
      <c r="C10" t="s">
        <v>90</v>
      </c>
      <c r="D10" t="s">
        <v>70</v>
      </c>
      <c r="E10" s="9">
        <v>1</v>
      </c>
      <c r="F10" s="10">
        <v>38</v>
      </c>
      <c r="G10" s="11">
        <v>0.05</v>
      </c>
      <c r="H10" s="10">
        <v>36.1</v>
      </c>
      <c r="I10" s="9">
        <v>0</v>
      </c>
      <c r="J10" s="10">
        <v>0</v>
      </c>
      <c r="K10" s="9">
        <v>1</v>
      </c>
      <c r="L10" s="10">
        <v>36.1</v>
      </c>
      <c r="M10" s="10">
        <v>23.03</v>
      </c>
      <c r="N10" s="10">
        <v>13.07</v>
      </c>
      <c r="O10" s="11">
        <f t="shared" si="0"/>
        <v>0.36204986149584489</v>
      </c>
      <c r="P10" s="10">
        <v>4.04</v>
      </c>
      <c r="Q10" s="10">
        <v>9.0299999999999994</v>
      </c>
      <c r="R10" s="11">
        <f t="shared" si="1"/>
        <v>0.25013850415512462</v>
      </c>
      <c r="S10" t="s">
        <v>65</v>
      </c>
      <c r="T10" t="s">
        <v>60</v>
      </c>
      <c r="U10" t="s">
        <v>76</v>
      </c>
    </row>
    <row r="11" spans="1:21" x14ac:dyDescent="0.35">
      <c r="A11" t="s">
        <v>91</v>
      </c>
      <c r="B11" s="5">
        <v>45698</v>
      </c>
      <c r="C11" t="s">
        <v>92</v>
      </c>
      <c r="D11" t="s">
        <v>79</v>
      </c>
      <c r="E11" s="9">
        <v>4</v>
      </c>
      <c r="F11" s="10">
        <v>85</v>
      </c>
      <c r="G11" s="11">
        <v>0.05</v>
      </c>
      <c r="H11" s="10">
        <v>323</v>
      </c>
      <c r="I11" s="9">
        <v>0</v>
      </c>
      <c r="J11" s="10">
        <v>0</v>
      </c>
      <c r="K11" s="9">
        <v>4</v>
      </c>
      <c r="L11" s="10">
        <v>323</v>
      </c>
      <c r="M11" s="10">
        <v>260.05</v>
      </c>
      <c r="N11" s="10">
        <v>62.95</v>
      </c>
      <c r="O11" s="11">
        <f t="shared" si="0"/>
        <v>0.19489164086687308</v>
      </c>
      <c r="P11" s="10">
        <v>25.41</v>
      </c>
      <c r="Q11" s="10">
        <v>37.54</v>
      </c>
      <c r="R11" s="11">
        <f t="shared" si="1"/>
        <v>0.11622291021671827</v>
      </c>
      <c r="S11" t="s">
        <v>65</v>
      </c>
      <c r="T11" t="s">
        <v>60</v>
      </c>
      <c r="U11" t="s">
        <v>67</v>
      </c>
    </row>
    <row r="12" spans="1:21" x14ac:dyDescent="0.35">
      <c r="A12" t="s">
        <v>93</v>
      </c>
      <c r="B12" s="5">
        <v>45829</v>
      </c>
      <c r="C12" t="s">
        <v>88</v>
      </c>
      <c r="D12" t="s">
        <v>57</v>
      </c>
      <c r="E12" s="9">
        <v>3</v>
      </c>
      <c r="F12" s="10">
        <v>30</v>
      </c>
      <c r="G12" s="11">
        <v>0</v>
      </c>
      <c r="H12" s="10">
        <v>90</v>
      </c>
      <c r="I12" s="9">
        <v>0</v>
      </c>
      <c r="J12" s="10">
        <v>0</v>
      </c>
      <c r="K12" s="9">
        <v>3</v>
      </c>
      <c r="L12" s="10">
        <v>90</v>
      </c>
      <c r="M12" s="10">
        <v>63.81</v>
      </c>
      <c r="N12" s="10">
        <v>26.19</v>
      </c>
      <c r="O12" s="11">
        <f t="shared" si="0"/>
        <v>0.29100000000000004</v>
      </c>
      <c r="P12" s="10">
        <v>9.2899999999999991</v>
      </c>
      <c r="Q12" s="10">
        <v>16.899999999999999</v>
      </c>
      <c r="R12" s="11">
        <f t="shared" si="1"/>
        <v>0.18777777777777777</v>
      </c>
      <c r="S12" t="s">
        <v>65</v>
      </c>
      <c r="T12" t="s">
        <v>82</v>
      </c>
      <c r="U12" t="s">
        <v>76</v>
      </c>
    </row>
    <row r="13" spans="1:21" x14ac:dyDescent="0.35">
      <c r="A13" t="s">
        <v>94</v>
      </c>
      <c r="B13" s="5">
        <v>45912</v>
      </c>
      <c r="C13" t="s">
        <v>95</v>
      </c>
      <c r="D13" t="s">
        <v>64</v>
      </c>
      <c r="E13" s="9">
        <v>3</v>
      </c>
      <c r="F13" s="10">
        <v>52</v>
      </c>
      <c r="G13" s="11">
        <v>0</v>
      </c>
      <c r="H13" s="10">
        <v>156</v>
      </c>
      <c r="I13" s="9">
        <v>0</v>
      </c>
      <c r="J13" s="10">
        <v>0</v>
      </c>
      <c r="K13" s="9">
        <v>3</v>
      </c>
      <c r="L13" s="10">
        <v>156</v>
      </c>
      <c r="M13" s="10">
        <v>123.42</v>
      </c>
      <c r="N13" s="10">
        <v>32.58</v>
      </c>
      <c r="O13" s="11">
        <f t="shared" si="0"/>
        <v>0.20884615384615385</v>
      </c>
      <c r="P13" s="10">
        <v>14.8</v>
      </c>
      <c r="Q13" s="10">
        <v>17.78</v>
      </c>
      <c r="R13" s="11">
        <f t="shared" si="1"/>
        <v>0.11397435897435898</v>
      </c>
      <c r="S13" t="s">
        <v>81</v>
      </c>
      <c r="T13" t="s">
        <v>60</v>
      </c>
      <c r="U13" t="s">
        <v>76</v>
      </c>
    </row>
    <row r="14" spans="1:21" x14ac:dyDescent="0.35">
      <c r="A14" t="s">
        <v>96</v>
      </c>
      <c r="B14" s="5">
        <v>45898</v>
      </c>
      <c r="C14" t="s">
        <v>97</v>
      </c>
      <c r="D14" t="s">
        <v>57</v>
      </c>
      <c r="E14" s="9">
        <v>4</v>
      </c>
      <c r="F14" s="10">
        <v>55</v>
      </c>
      <c r="G14" s="11">
        <v>0</v>
      </c>
      <c r="H14" s="10">
        <v>220</v>
      </c>
      <c r="I14" s="9">
        <v>0</v>
      </c>
      <c r="J14" s="10">
        <v>0</v>
      </c>
      <c r="K14" s="9">
        <v>4</v>
      </c>
      <c r="L14" s="10">
        <v>220</v>
      </c>
      <c r="M14" s="10">
        <v>159.6</v>
      </c>
      <c r="N14" s="10">
        <v>60.4</v>
      </c>
      <c r="O14" s="11">
        <f t="shared" si="0"/>
        <v>0.27454545454545454</v>
      </c>
      <c r="P14" s="10">
        <v>26.77</v>
      </c>
      <c r="Q14" s="10">
        <v>33.630000000000003</v>
      </c>
      <c r="R14" s="11">
        <f t="shared" si="1"/>
        <v>0.15286363636363637</v>
      </c>
      <c r="S14" t="s">
        <v>65</v>
      </c>
      <c r="T14" t="s">
        <v>66</v>
      </c>
      <c r="U14" t="s">
        <v>61</v>
      </c>
    </row>
    <row r="15" spans="1:21" x14ac:dyDescent="0.35">
      <c r="A15" t="s">
        <v>98</v>
      </c>
      <c r="B15" s="5">
        <v>45817</v>
      </c>
      <c r="C15" t="s">
        <v>63</v>
      </c>
      <c r="D15" t="s">
        <v>64</v>
      </c>
      <c r="E15" s="9">
        <v>6</v>
      </c>
      <c r="F15" s="10">
        <v>145</v>
      </c>
      <c r="G15" s="11">
        <v>0</v>
      </c>
      <c r="H15" s="10">
        <v>870</v>
      </c>
      <c r="I15" s="9">
        <v>0</v>
      </c>
      <c r="J15" s="10">
        <v>0</v>
      </c>
      <c r="K15" s="9">
        <v>6</v>
      </c>
      <c r="L15" s="10">
        <v>870</v>
      </c>
      <c r="M15" s="10">
        <v>625.09</v>
      </c>
      <c r="N15" s="10">
        <v>244.91</v>
      </c>
      <c r="O15" s="11">
        <f t="shared" si="0"/>
        <v>0.28150574712643678</v>
      </c>
      <c r="P15" s="10">
        <v>59.42</v>
      </c>
      <c r="Q15" s="10">
        <v>185.49</v>
      </c>
      <c r="R15" s="11">
        <f t="shared" si="1"/>
        <v>0.21320689655172415</v>
      </c>
      <c r="S15" t="s">
        <v>59</v>
      </c>
      <c r="T15" t="s">
        <v>60</v>
      </c>
      <c r="U15" t="s">
        <v>76</v>
      </c>
    </row>
    <row r="16" spans="1:21" x14ac:dyDescent="0.35">
      <c r="A16" t="s">
        <v>99</v>
      </c>
      <c r="B16" s="5">
        <v>45997</v>
      </c>
      <c r="C16" t="s">
        <v>100</v>
      </c>
      <c r="D16" t="s">
        <v>64</v>
      </c>
      <c r="E16" s="9">
        <v>4</v>
      </c>
      <c r="F16" s="10">
        <v>310</v>
      </c>
      <c r="G16" s="11">
        <v>0</v>
      </c>
      <c r="H16" s="10">
        <v>1240</v>
      </c>
      <c r="I16" s="9">
        <v>0</v>
      </c>
      <c r="J16" s="10">
        <v>0</v>
      </c>
      <c r="K16" s="9">
        <v>4</v>
      </c>
      <c r="L16" s="10">
        <v>1240</v>
      </c>
      <c r="M16" s="10">
        <v>800.2</v>
      </c>
      <c r="N16" s="10">
        <v>439.8</v>
      </c>
      <c r="O16" s="11">
        <f t="shared" si="0"/>
        <v>0.35467741935483871</v>
      </c>
      <c r="P16" s="10">
        <v>83.67</v>
      </c>
      <c r="Q16" s="10">
        <v>356.13</v>
      </c>
      <c r="R16" s="11">
        <f t="shared" si="1"/>
        <v>0.28720161290322582</v>
      </c>
      <c r="S16" t="s">
        <v>81</v>
      </c>
      <c r="T16" t="s">
        <v>82</v>
      </c>
      <c r="U16" t="s">
        <v>76</v>
      </c>
    </row>
    <row r="17" spans="1:21" x14ac:dyDescent="0.35">
      <c r="A17" t="s">
        <v>101</v>
      </c>
      <c r="B17" s="5">
        <v>46016</v>
      </c>
      <c r="C17" t="s">
        <v>56</v>
      </c>
      <c r="D17" t="s">
        <v>57</v>
      </c>
      <c r="E17" s="9">
        <v>6</v>
      </c>
      <c r="F17" s="10">
        <v>40</v>
      </c>
      <c r="G17" s="11">
        <v>0</v>
      </c>
      <c r="H17" s="10">
        <v>240</v>
      </c>
      <c r="I17" s="9">
        <v>1</v>
      </c>
      <c r="J17" s="10">
        <v>40</v>
      </c>
      <c r="K17" s="9">
        <v>5</v>
      </c>
      <c r="L17" s="10">
        <v>200</v>
      </c>
      <c r="M17" s="10">
        <v>155.09</v>
      </c>
      <c r="N17" s="10">
        <v>44.91</v>
      </c>
      <c r="O17" s="11">
        <f t="shared" si="0"/>
        <v>0.22454999999999997</v>
      </c>
      <c r="P17" s="10">
        <v>23.77</v>
      </c>
      <c r="Q17" s="10">
        <v>21.14</v>
      </c>
      <c r="R17" s="11">
        <f t="shared" si="1"/>
        <v>0.1057</v>
      </c>
      <c r="S17" t="s">
        <v>81</v>
      </c>
      <c r="T17" t="s">
        <v>86</v>
      </c>
      <c r="U17" t="s">
        <v>76</v>
      </c>
    </row>
    <row r="18" spans="1:21" x14ac:dyDescent="0.35">
      <c r="A18" t="s">
        <v>102</v>
      </c>
      <c r="B18" s="5">
        <v>45817</v>
      </c>
      <c r="C18" t="s">
        <v>97</v>
      </c>
      <c r="D18" t="s">
        <v>57</v>
      </c>
      <c r="E18" s="9">
        <v>3</v>
      </c>
      <c r="F18" s="10">
        <v>55</v>
      </c>
      <c r="G18" s="11">
        <v>0.02</v>
      </c>
      <c r="H18" s="10">
        <v>161.69999999999999</v>
      </c>
      <c r="I18" s="9">
        <v>0</v>
      </c>
      <c r="J18" s="10">
        <v>0</v>
      </c>
      <c r="K18" s="9">
        <v>3</v>
      </c>
      <c r="L18" s="10">
        <v>161.69999999999999</v>
      </c>
      <c r="M18" s="10">
        <v>110.71</v>
      </c>
      <c r="N18" s="10">
        <v>50.99</v>
      </c>
      <c r="O18" s="11">
        <f t="shared" si="0"/>
        <v>0.3153370439084725</v>
      </c>
      <c r="P18" s="10">
        <v>10.26</v>
      </c>
      <c r="Q18" s="10">
        <v>40.729999999999997</v>
      </c>
      <c r="R18" s="11">
        <f t="shared" si="1"/>
        <v>0.25188620902906617</v>
      </c>
      <c r="S18" t="s">
        <v>65</v>
      </c>
      <c r="T18" t="s">
        <v>86</v>
      </c>
      <c r="U18" t="s">
        <v>67</v>
      </c>
    </row>
    <row r="19" spans="1:21" x14ac:dyDescent="0.35">
      <c r="A19" t="s">
        <v>103</v>
      </c>
      <c r="B19" s="5">
        <v>45770</v>
      </c>
      <c r="C19" t="s">
        <v>104</v>
      </c>
      <c r="D19" t="s">
        <v>105</v>
      </c>
      <c r="E19" s="9">
        <v>2</v>
      </c>
      <c r="F19" s="10">
        <v>65</v>
      </c>
      <c r="G19" s="11">
        <v>0.15</v>
      </c>
      <c r="H19" s="10">
        <v>110.5</v>
      </c>
      <c r="I19" s="9">
        <v>0</v>
      </c>
      <c r="J19" s="10">
        <v>0</v>
      </c>
      <c r="K19" s="9">
        <v>2</v>
      </c>
      <c r="L19" s="10">
        <v>110.5</v>
      </c>
      <c r="M19" s="10">
        <v>94.03</v>
      </c>
      <c r="N19" s="10">
        <v>16.47</v>
      </c>
      <c r="O19" s="11">
        <f t="shared" si="0"/>
        <v>0.14904977375565609</v>
      </c>
      <c r="P19" s="10">
        <v>9.92</v>
      </c>
      <c r="Q19" s="10">
        <v>6.55</v>
      </c>
      <c r="R19" s="11">
        <f t="shared" si="1"/>
        <v>5.9276018099547509E-2</v>
      </c>
      <c r="S19" t="s">
        <v>75</v>
      </c>
      <c r="T19" t="s">
        <v>66</v>
      </c>
      <c r="U19" t="s">
        <v>61</v>
      </c>
    </row>
    <row r="20" spans="1:21" x14ac:dyDescent="0.35">
      <c r="A20" t="s">
        <v>106</v>
      </c>
      <c r="B20" s="5">
        <v>45783</v>
      </c>
      <c r="C20" t="s">
        <v>107</v>
      </c>
      <c r="D20" t="s">
        <v>74</v>
      </c>
      <c r="E20" s="9">
        <v>2</v>
      </c>
      <c r="F20" s="10">
        <v>125</v>
      </c>
      <c r="G20" s="11">
        <v>0.15</v>
      </c>
      <c r="H20" s="10">
        <v>212.5</v>
      </c>
      <c r="I20" s="9">
        <v>0</v>
      </c>
      <c r="J20" s="10">
        <v>0</v>
      </c>
      <c r="K20" s="9">
        <v>2</v>
      </c>
      <c r="L20" s="10">
        <v>212.5</v>
      </c>
      <c r="M20" s="10">
        <v>152.71</v>
      </c>
      <c r="N20" s="10">
        <v>59.79</v>
      </c>
      <c r="O20" s="11">
        <f t="shared" si="0"/>
        <v>0.28136470588235296</v>
      </c>
      <c r="P20" s="10">
        <v>16.489999999999998</v>
      </c>
      <c r="Q20" s="10">
        <v>43.3</v>
      </c>
      <c r="R20" s="11">
        <f t="shared" si="1"/>
        <v>0.20376470588235293</v>
      </c>
      <c r="S20" t="s">
        <v>81</v>
      </c>
      <c r="T20" t="s">
        <v>66</v>
      </c>
      <c r="U20" t="s">
        <v>61</v>
      </c>
    </row>
    <row r="21" spans="1:21" x14ac:dyDescent="0.35">
      <c r="A21" t="s">
        <v>108</v>
      </c>
      <c r="B21" s="5">
        <v>45937</v>
      </c>
      <c r="C21" t="s">
        <v>109</v>
      </c>
      <c r="D21" t="s">
        <v>85</v>
      </c>
      <c r="E21" s="9">
        <v>2</v>
      </c>
      <c r="F21" s="10">
        <v>180</v>
      </c>
      <c r="G21" s="11">
        <v>0.02</v>
      </c>
      <c r="H21" s="10">
        <v>352.8</v>
      </c>
      <c r="I21" s="9">
        <v>0</v>
      </c>
      <c r="J21" s="10">
        <v>0</v>
      </c>
      <c r="K21" s="9">
        <v>2</v>
      </c>
      <c r="L21" s="10">
        <v>352.8</v>
      </c>
      <c r="M21" s="10">
        <v>283.22000000000003</v>
      </c>
      <c r="N21" s="10">
        <v>69.58</v>
      </c>
      <c r="O21" s="11">
        <f t="shared" si="0"/>
        <v>0.19722222222222222</v>
      </c>
      <c r="P21" s="10">
        <v>38.19</v>
      </c>
      <c r="Q21" s="10">
        <v>31.39</v>
      </c>
      <c r="R21" s="11">
        <f t="shared" si="1"/>
        <v>8.8973922902494326E-2</v>
      </c>
      <c r="S21" t="s">
        <v>75</v>
      </c>
      <c r="T21" t="s">
        <v>86</v>
      </c>
      <c r="U21" t="s">
        <v>71</v>
      </c>
    </row>
    <row r="22" spans="1:21" x14ac:dyDescent="0.35">
      <c r="A22" t="s">
        <v>111</v>
      </c>
      <c r="B22" s="5">
        <v>46006</v>
      </c>
      <c r="C22" t="s">
        <v>109</v>
      </c>
      <c r="D22" t="s">
        <v>85</v>
      </c>
      <c r="E22" s="9">
        <v>2</v>
      </c>
      <c r="F22" s="10">
        <v>180</v>
      </c>
      <c r="G22" s="11">
        <v>0.05</v>
      </c>
      <c r="H22" s="10">
        <v>342</v>
      </c>
      <c r="I22" s="9">
        <v>0</v>
      </c>
      <c r="J22" s="10">
        <v>0</v>
      </c>
      <c r="K22" s="9">
        <v>2</v>
      </c>
      <c r="L22" s="10">
        <v>342</v>
      </c>
      <c r="M22" s="10">
        <v>277.57</v>
      </c>
      <c r="N22" s="10">
        <v>64.430000000000007</v>
      </c>
      <c r="O22" s="11">
        <f t="shared" si="0"/>
        <v>0.18839181286549708</v>
      </c>
      <c r="P22" s="10">
        <v>31</v>
      </c>
      <c r="Q22" s="10">
        <v>33.43</v>
      </c>
      <c r="R22" s="11">
        <f t="shared" si="1"/>
        <v>9.7748538011695904E-2</v>
      </c>
      <c r="S22" t="s">
        <v>59</v>
      </c>
      <c r="T22" t="s">
        <v>86</v>
      </c>
      <c r="U22" t="s">
        <v>61</v>
      </c>
    </row>
    <row r="23" spans="1:21" x14ac:dyDescent="0.35">
      <c r="A23" t="s">
        <v>112</v>
      </c>
      <c r="B23" s="5">
        <v>45785</v>
      </c>
      <c r="C23" t="s">
        <v>63</v>
      </c>
      <c r="D23" t="s">
        <v>64</v>
      </c>
      <c r="E23" s="9">
        <v>1</v>
      </c>
      <c r="F23" s="10">
        <v>145</v>
      </c>
      <c r="G23" s="11">
        <v>0</v>
      </c>
      <c r="H23" s="10">
        <v>145</v>
      </c>
      <c r="I23" s="9">
        <v>0</v>
      </c>
      <c r="J23" s="10">
        <v>0</v>
      </c>
      <c r="K23" s="9">
        <v>1</v>
      </c>
      <c r="L23" s="10">
        <v>145</v>
      </c>
      <c r="M23" s="10">
        <v>97.78</v>
      </c>
      <c r="N23" s="10">
        <v>47.22</v>
      </c>
      <c r="O23" s="11">
        <f t="shared" si="0"/>
        <v>0.3256551724137931</v>
      </c>
      <c r="P23" s="10">
        <v>9.27</v>
      </c>
      <c r="Q23" s="10">
        <v>37.950000000000003</v>
      </c>
      <c r="R23" s="11">
        <f t="shared" si="1"/>
        <v>0.2617241379310345</v>
      </c>
      <c r="S23" t="s">
        <v>59</v>
      </c>
      <c r="T23" t="s">
        <v>82</v>
      </c>
      <c r="U23" t="s">
        <v>61</v>
      </c>
    </row>
    <row r="24" spans="1:21" x14ac:dyDescent="0.35">
      <c r="A24" t="s">
        <v>113</v>
      </c>
      <c r="B24" s="5">
        <v>45920</v>
      </c>
      <c r="C24" t="s">
        <v>114</v>
      </c>
      <c r="D24" t="s">
        <v>64</v>
      </c>
      <c r="E24" s="9">
        <v>4</v>
      </c>
      <c r="F24" s="10">
        <v>420</v>
      </c>
      <c r="G24" s="11">
        <v>0.05</v>
      </c>
      <c r="H24" s="10">
        <v>1596</v>
      </c>
      <c r="I24" s="9">
        <v>0</v>
      </c>
      <c r="J24" s="10">
        <v>0</v>
      </c>
      <c r="K24" s="9">
        <v>4</v>
      </c>
      <c r="L24" s="10">
        <v>1596</v>
      </c>
      <c r="M24" s="10">
        <v>1069.5999999999999</v>
      </c>
      <c r="N24" s="10">
        <v>526.4</v>
      </c>
      <c r="O24" s="11">
        <f t="shared" si="0"/>
        <v>0.32982456140350874</v>
      </c>
      <c r="P24" s="10">
        <v>168.64</v>
      </c>
      <c r="Q24" s="10">
        <v>357.76</v>
      </c>
      <c r="R24" s="11">
        <f t="shared" si="1"/>
        <v>0.22416040100250625</v>
      </c>
      <c r="S24" t="s">
        <v>65</v>
      </c>
      <c r="T24" t="s">
        <v>86</v>
      </c>
      <c r="U24" t="s">
        <v>71</v>
      </c>
    </row>
    <row r="25" spans="1:21" x14ac:dyDescent="0.35">
      <c r="A25" t="s">
        <v>116</v>
      </c>
      <c r="B25" s="5">
        <v>45694</v>
      </c>
      <c r="C25" t="s">
        <v>117</v>
      </c>
      <c r="D25" t="s">
        <v>74</v>
      </c>
      <c r="E25" s="9">
        <v>3</v>
      </c>
      <c r="F25" s="10">
        <v>95</v>
      </c>
      <c r="G25" s="11">
        <v>0</v>
      </c>
      <c r="H25" s="10">
        <v>285</v>
      </c>
      <c r="I25" s="9">
        <v>0</v>
      </c>
      <c r="J25" s="10">
        <v>0</v>
      </c>
      <c r="K25" s="9">
        <v>3</v>
      </c>
      <c r="L25" s="10">
        <v>285</v>
      </c>
      <c r="M25" s="10">
        <v>193.24</v>
      </c>
      <c r="N25" s="10">
        <v>91.76</v>
      </c>
      <c r="O25" s="11">
        <f t="shared" si="0"/>
        <v>0.32196491228070179</v>
      </c>
      <c r="P25" s="10">
        <v>34.71</v>
      </c>
      <c r="Q25" s="10">
        <v>57.05</v>
      </c>
      <c r="R25" s="11">
        <f t="shared" si="1"/>
        <v>0.20017543859649123</v>
      </c>
      <c r="S25" t="s">
        <v>65</v>
      </c>
      <c r="T25" t="s">
        <v>60</v>
      </c>
      <c r="U25" t="s">
        <v>76</v>
      </c>
    </row>
    <row r="26" spans="1:21" x14ac:dyDescent="0.35">
      <c r="A26" t="s">
        <v>118</v>
      </c>
      <c r="B26" s="5">
        <v>45818</v>
      </c>
      <c r="C26" t="s">
        <v>97</v>
      </c>
      <c r="D26" t="s">
        <v>57</v>
      </c>
      <c r="E26" s="9">
        <v>2</v>
      </c>
      <c r="F26" s="10">
        <v>55</v>
      </c>
      <c r="G26" s="11">
        <v>0.05</v>
      </c>
      <c r="H26" s="10">
        <v>104.5</v>
      </c>
      <c r="I26" s="9">
        <v>0</v>
      </c>
      <c r="J26" s="10">
        <v>0</v>
      </c>
      <c r="K26" s="9">
        <v>2</v>
      </c>
      <c r="L26" s="10">
        <v>104.5</v>
      </c>
      <c r="M26" s="10">
        <v>86.02</v>
      </c>
      <c r="N26" s="10">
        <v>18.48</v>
      </c>
      <c r="O26" s="11">
        <f t="shared" si="0"/>
        <v>0.17684210526315791</v>
      </c>
      <c r="P26" s="10">
        <v>8.61</v>
      </c>
      <c r="Q26" s="10">
        <v>9.8699999999999992</v>
      </c>
      <c r="R26" s="11">
        <f t="shared" si="1"/>
        <v>9.4449760765550228E-2</v>
      </c>
      <c r="S26" t="s">
        <v>65</v>
      </c>
      <c r="T26" t="s">
        <v>86</v>
      </c>
      <c r="U26" t="s">
        <v>76</v>
      </c>
    </row>
    <row r="27" spans="1:21" x14ac:dyDescent="0.35">
      <c r="A27" t="s">
        <v>119</v>
      </c>
      <c r="B27" s="5">
        <v>45810</v>
      </c>
      <c r="C27" t="s">
        <v>107</v>
      </c>
      <c r="D27" t="s">
        <v>74</v>
      </c>
      <c r="E27" s="9">
        <v>1</v>
      </c>
      <c r="F27" s="10">
        <v>125</v>
      </c>
      <c r="G27" s="11">
        <v>0.1</v>
      </c>
      <c r="H27" s="10">
        <v>112.5</v>
      </c>
      <c r="I27" s="9">
        <v>1</v>
      </c>
      <c r="J27" s="10">
        <v>112.5</v>
      </c>
      <c r="K27" s="9">
        <v>0</v>
      </c>
      <c r="L27" s="10">
        <v>0</v>
      </c>
      <c r="M27" s="10">
        <v>0</v>
      </c>
      <c r="N27" s="10">
        <v>0</v>
      </c>
      <c r="O27" s="11">
        <v>0</v>
      </c>
      <c r="P27" s="10">
        <v>0</v>
      </c>
      <c r="Q27" s="10">
        <v>0</v>
      </c>
      <c r="R27" s="11">
        <v>0</v>
      </c>
      <c r="S27" t="s">
        <v>75</v>
      </c>
      <c r="T27" t="s">
        <v>82</v>
      </c>
      <c r="U27" t="s">
        <v>61</v>
      </c>
    </row>
    <row r="28" spans="1:21" x14ac:dyDescent="0.35">
      <c r="A28" t="s">
        <v>120</v>
      </c>
      <c r="B28" s="5">
        <v>45946</v>
      </c>
      <c r="C28" t="s">
        <v>121</v>
      </c>
      <c r="D28" t="s">
        <v>70</v>
      </c>
      <c r="E28" s="9">
        <v>3</v>
      </c>
      <c r="F28" s="10">
        <v>110</v>
      </c>
      <c r="G28" s="11">
        <v>0.02</v>
      </c>
      <c r="H28" s="10">
        <v>323.39999999999998</v>
      </c>
      <c r="I28" s="9">
        <v>0</v>
      </c>
      <c r="J28" s="10">
        <v>0</v>
      </c>
      <c r="K28" s="9">
        <v>3</v>
      </c>
      <c r="L28" s="10">
        <v>323.39999999999998</v>
      </c>
      <c r="M28" s="10">
        <v>251.11</v>
      </c>
      <c r="N28" s="10">
        <v>72.290000000000006</v>
      </c>
      <c r="O28" s="11">
        <f t="shared" ref="O28:O57" si="2">N28/L28</f>
        <v>0.22353123067408784</v>
      </c>
      <c r="P28" s="10">
        <v>34.6</v>
      </c>
      <c r="Q28" s="10">
        <v>37.69</v>
      </c>
      <c r="R28" s="11">
        <f t="shared" ref="R28:R57" si="3">Q28/L28</f>
        <v>0.11654298082869512</v>
      </c>
      <c r="S28" t="s">
        <v>81</v>
      </c>
      <c r="T28" t="s">
        <v>66</v>
      </c>
      <c r="U28" t="s">
        <v>61</v>
      </c>
    </row>
    <row r="29" spans="1:21" x14ac:dyDescent="0.35">
      <c r="A29" t="s">
        <v>122</v>
      </c>
      <c r="B29" s="5">
        <v>45679</v>
      </c>
      <c r="C29" t="s">
        <v>104</v>
      </c>
      <c r="D29" t="s">
        <v>105</v>
      </c>
      <c r="E29" s="9">
        <v>2</v>
      </c>
      <c r="F29" s="10">
        <v>65</v>
      </c>
      <c r="G29" s="11">
        <v>0.05</v>
      </c>
      <c r="H29" s="10">
        <v>123.5</v>
      </c>
      <c r="I29" s="9">
        <v>0</v>
      </c>
      <c r="J29" s="10">
        <v>0</v>
      </c>
      <c r="K29" s="9">
        <v>2</v>
      </c>
      <c r="L29" s="10">
        <v>123.5</v>
      </c>
      <c r="M29" s="10">
        <v>97.94</v>
      </c>
      <c r="N29" s="10">
        <v>25.56</v>
      </c>
      <c r="O29" s="11">
        <f t="shared" si="2"/>
        <v>0.20696356275303643</v>
      </c>
      <c r="P29" s="10">
        <v>11.54</v>
      </c>
      <c r="Q29" s="10">
        <v>14.02</v>
      </c>
      <c r="R29" s="11">
        <f t="shared" si="3"/>
        <v>0.11352226720647773</v>
      </c>
      <c r="S29" t="s">
        <v>81</v>
      </c>
      <c r="T29" t="s">
        <v>82</v>
      </c>
      <c r="U29" t="s">
        <v>71</v>
      </c>
    </row>
    <row r="30" spans="1:21" x14ac:dyDescent="0.35">
      <c r="A30" t="s">
        <v>123</v>
      </c>
      <c r="B30" s="5">
        <v>45941</v>
      </c>
      <c r="C30" t="s">
        <v>109</v>
      </c>
      <c r="D30" t="s">
        <v>85</v>
      </c>
      <c r="E30" s="9">
        <v>2</v>
      </c>
      <c r="F30" s="10">
        <v>180</v>
      </c>
      <c r="G30" s="11">
        <v>0.1</v>
      </c>
      <c r="H30" s="10">
        <v>324</v>
      </c>
      <c r="I30" s="9">
        <v>0</v>
      </c>
      <c r="J30" s="10">
        <v>0</v>
      </c>
      <c r="K30" s="9">
        <v>2</v>
      </c>
      <c r="L30" s="10">
        <v>324</v>
      </c>
      <c r="M30" s="10">
        <v>249.96</v>
      </c>
      <c r="N30" s="10">
        <v>74.040000000000006</v>
      </c>
      <c r="O30" s="11">
        <f t="shared" si="2"/>
        <v>0.22851851851851854</v>
      </c>
      <c r="P30" s="10">
        <v>29.23</v>
      </c>
      <c r="Q30" s="10">
        <v>44.81</v>
      </c>
      <c r="R30" s="11">
        <f t="shared" si="3"/>
        <v>0.13830246913580246</v>
      </c>
      <c r="S30" t="s">
        <v>59</v>
      </c>
      <c r="T30" t="s">
        <v>86</v>
      </c>
      <c r="U30" t="s">
        <v>67</v>
      </c>
    </row>
    <row r="31" spans="1:21" x14ac:dyDescent="0.35">
      <c r="A31" t="s">
        <v>124</v>
      </c>
      <c r="B31" s="5">
        <v>45829</v>
      </c>
      <c r="C31" t="s">
        <v>125</v>
      </c>
      <c r="D31" t="s">
        <v>85</v>
      </c>
      <c r="E31" s="9">
        <v>2</v>
      </c>
      <c r="F31" s="10">
        <v>125</v>
      </c>
      <c r="G31" s="11">
        <v>0</v>
      </c>
      <c r="H31" s="10">
        <v>250</v>
      </c>
      <c r="I31" s="9">
        <v>0</v>
      </c>
      <c r="J31" s="10">
        <v>0</v>
      </c>
      <c r="K31" s="9">
        <v>2</v>
      </c>
      <c r="L31" s="10">
        <v>250</v>
      </c>
      <c r="M31" s="10">
        <v>189.32</v>
      </c>
      <c r="N31" s="10">
        <v>60.68</v>
      </c>
      <c r="O31" s="11">
        <f t="shared" si="2"/>
        <v>0.24271999999999999</v>
      </c>
      <c r="P31" s="10">
        <v>13.37</v>
      </c>
      <c r="Q31" s="10">
        <v>47.31</v>
      </c>
      <c r="R31" s="11">
        <f t="shared" si="3"/>
        <v>0.18924000000000002</v>
      </c>
      <c r="S31" t="s">
        <v>65</v>
      </c>
      <c r="T31" t="s">
        <v>82</v>
      </c>
      <c r="U31" t="s">
        <v>67</v>
      </c>
    </row>
    <row r="32" spans="1:21" x14ac:dyDescent="0.35">
      <c r="A32" t="s">
        <v>126</v>
      </c>
      <c r="B32" s="5">
        <v>45838</v>
      </c>
      <c r="C32" t="s">
        <v>121</v>
      </c>
      <c r="D32" t="s">
        <v>70</v>
      </c>
      <c r="E32" s="9">
        <v>6</v>
      </c>
      <c r="F32" s="10">
        <v>110</v>
      </c>
      <c r="G32" s="11">
        <v>0</v>
      </c>
      <c r="H32" s="10">
        <v>660</v>
      </c>
      <c r="I32" s="9">
        <v>0</v>
      </c>
      <c r="J32" s="10">
        <v>0</v>
      </c>
      <c r="K32" s="9">
        <v>6</v>
      </c>
      <c r="L32" s="10">
        <v>660</v>
      </c>
      <c r="M32" s="10">
        <v>411.65</v>
      </c>
      <c r="N32" s="10">
        <v>248.35</v>
      </c>
      <c r="O32" s="11">
        <f t="shared" si="2"/>
        <v>0.37628787878787878</v>
      </c>
      <c r="P32" s="10">
        <v>55.61</v>
      </c>
      <c r="Q32" s="10">
        <v>192.74</v>
      </c>
      <c r="R32" s="11">
        <f t="shared" si="3"/>
        <v>0.29203030303030303</v>
      </c>
      <c r="S32" t="s">
        <v>59</v>
      </c>
      <c r="T32" t="s">
        <v>60</v>
      </c>
      <c r="U32" t="s">
        <v>61</v>
      </c>
    </row>
    <row r="33" spans="1:21" x14ac:dyDescent="0.35">
      <c r="A33" t="s">
        <v>127</v>
      </c>
      <c r="B33" s="5">
        <v>45675</v>
      </c>
      <c r="C33" t="s">
        <v>114</v>
      </c>
      <c r="D33" t="s">
        <v>64</v>
      </c>
      <c r="E33" s="9">
        <v>1</v>
      </c>
      <c r="F33" s="10">
        <v>420</v>
      </c>
      <c r="G33" s="11">
        <v>0</v>
      </c>
      <c r="H33" s="10">
        <v>420</v>
      </c>
      <c r="I33" s="9">
        <v>0</v>
      </c>
      <c r="J33" s="10">
        <v>0</v>
      </c>
      <c r="K33" s="9">
        <v>1</v>
      </c>
      <c r="L33" s="10">
        <v>420</v>
      </c>
      <c r="M33" s="10">
        <v>279.64</v>
      </c>
      <c r="N33" s="10">
        <v>140.36000000000001</v>
      </c>
      <c r="O33" s="11">
        <f t="shared" si="2"/>
        <v>0.3341904761904762</v>
      </c>
      <c r="P33" s="10">
        <v>37.31</v>
      </c>
      <c r="Q33" s="10">
        <v>103.05</v>
      </c>
      <c r="R33" s="11">
        <f t="shared" si="3"/>
        <v>0.24535714285714286</v>
      </c>
      <c r="S33" t="s">
        <v>75</v>
      </c>
      <c r="T33" t="s">
        <v>82</v>
      </c>
      <c r="U33" t="s">
        <v>76</v>
      </c>
    </row>
    <row r="34" spans="1:21" x14ac:dyDescent="0.35">
      <c r="A34" t="s">
        <v>129</v>
      </c>
      <c r="B34" s="5">
        <v>45812</v>
      </c>
      <c r="C34" t="s">
        <v>95</v>
      </c>
      <c r="D34" t="s">
        <v>64</v>
      </c>
      <c r="E34" s="9">
        <v>3</v>
      </c>
      <c r="F34" s="10">
        <v>52</v>
      </c>
      <c r="G34" s="11">
        <v>0</v>
      </c>
      <c r="H34" s="10">
        <v>156</v>
      </c>
      <c r="I34" s="9">
        <v>0</v>
      </c>
      <c r="J34" s="10">
        <v>0</v>
      </c>
      <c r="K34" s="9">
        <v>3</v>
      </c>
      <c r="L34" s="10">
        <v>156</v>
      </c>
      <c r="M34" s="10">
        <v>119.75</v>
      </c>
      <c r="N34" s="10">
        <v>36.25</v>
      </c>
      <c r="O34" s="11">
        <f t="shared" si="2"/>
        <v>0.23237179487179488</v>
      </c>
      <c r="P34" s="10">
        <v>9.5500000000000007</v>
      </c>
      <c r="Q34" s="10">
        <v>26.7</v>
      </c>
      <c r="R34" s="11">
        <f t="shared" si="3"/>
        <v>0.17115384615384616</v>
      </c>
      <c r="S34" t="s">
        <v>81</v>
      </c>
      <c r="T34" t="s">
        <v>82</v>
      </c>
      <c r="U34" t="s">
        <v>71</v>
      </c>
    </row>
    <row r="35" spans="1:21" x14ac:dyDescent="0.35">
      <c r="A35" t="s">
        <v>130</v>
      </c>
      <c r="B35" s="5">
        <v>45683</v>
      </c>
      <c r="C35" t="s">
        <v>107</v>
      </c>
      <c r="D35" t="s">
        <v>74</v>
      </c>
      <c r="E35" s="9">
        <v>5</v>
      </c>
      <c r="F35" s="10">
        <v>125</v>
      </c>
      <c r="G35" s="11">
        <v>0</v>
      </c>
      <c r="H35" s="10">
        <v>625</v>
      </c>
      <c r="I35" s="9">
        <v>0</v>
      </c>
      <c r="J35" s="10">
        <v>0</v>
      </c>
      <c r="K35" s="9">
        <v>5</v>
      </c>
      <c r="L35" s="10">
        <v>625</v>
      </c>
      <c r="M35" s="10">
        <v>493.84</v>
      </c>
      <c r="N35" s="10">
        <v>131.16</v>
      </c>
      <c r="O35" s="11">
        <f t="shared" si="2"/>
        <v>0.20985599999999999</v>
      </c>
      <c r="P35" s="10">
        <v>46.08</v>
      </c>
      <c r="Q35" s="10">
        <v>85.08</v>
      </c>
      <c r="R35" s="11">
        <f t="shared" si="3"/>
        <v>0.136128</v>
      </c>
      <c r="S35" t="s">
        <v>59</v>
      </c>
      <c r="T35" t="s">
        <v>82</v>
      </c>
      <c r="U35" t="s">
        <v>2133</v>
      </c>
    </row>
    <row r="36" spans="1:21" x14ac:dyDescent="0.35">
      <c r="A36" t="s">
        <v>131</v>
      </c>
      <c r="B36" s="5">
        <v>45799</v>
      </c>
      <c r="C36" t="s">
        <v>90</v>
      </c>
      <c r="D36" t="s">
        <v>70</v>
      </c>
      <c r="E36" s="9">
        <v>1</v>
      </c>
      <c r="F36" s="10">
        <v>38</v>
      </c>
      <c r="G36" s="11">
        <v>0</v>
      </c>
      <c r="H36" s="10">
        <v>38</v>
      </c>
      <c r="I36" s="9">
        <v>0</v>
      </c>
      <c r="J36" s="10">
        <v>0</v>
      </c>
      <c r="K36" s="9">
        <v>1</v>
      </c>
      <c r="L36" s="10">
        <v>38</v>
      </c>
      <c r="M36" s="10">
        <v>29.29</v>
      </c>
      <c r="N36" s="10">
        <v>8.7100000000000009</v>
      </c>
      <c r="O36" s="11">
        <f t="shared" si="2"/>
        <v>0.2292105263157895</v>
      </c>
      <c r="P36" s="10">
        <v>2.12</v>
      </c>
      <c r="Q36" s="10">
        <v>6.59</v>
      </c>
      <c r="R36" s="11">
        <f t="shared" si="3"/>
        <v>0.17342105263157895</v>
      </c>
      <c r="S36" t="s">
        <v>65</v>
      </c>
      <c r="T36" t="s">
        <v>60</v>
      </c>
      <c r="U36" t="s">
        <v>76</v>
      </c>
    </row>
    <row r="37" spans="1:21" x14ac:dyDescent="0.35">
      <c r="A37" t="s">
        <v>132</v>
      </c>
      <c r="B37" s="5">
        <v>45720</v>
      </c>
      <c r="C37" t="s">
        <v>73</v>
      </c>
      <c r="D37" t="s">
        <v>74</v>
      </c>
      <c r="E37" s="9">
        <v>2</v>
      </c>
      <c r="F37" s="10">
        <v>280</v>
      </c>
      <c r="G37" s="11">
        <v>0</v>
      </c>
      <c r="H37" s="10">
        <v>560</v>
      </c>
      <c r="I37" s="9">
        <v>0</v>
      </c>
      <c r="J37" s="10">
        <v>0</v>
      </c>
      <c r="K37" s="9">
        <v>2</v>
      </c>
      <c r="L37" s="10">
        <v>560</v>
      </c>
      <c r="M37" s="10">
        <v>424.92</v>
      </c>
      <c r="N37" s="10">
        <v>135.08000000000001</v>
      </c>
      <c r="O37" s="11">
        <f t="shared" si="2"/>
        <v>0.24121428571428574</v>
      </c>
      <c r="P37" s="10">
        <v>48.86</v>
      </c>
      <c r="Q37" s="10">
        <v>86.22</v>
      </c>
      <c r="R37" s="11">
        <f t="shared" si="3"/>
        <v>0.15396428571428572</v>
      </c>
      <c r="S37" t="s">
        <v>81</v>
      </c>
      <c r="T37" t="s">
        <v>66</v>
      </c>
      <c r="U37" t="s">
        <v>71</v>
      </c>
    </row>
    <row r="38" spans="1:21" x14ac:dyDescent="0.35">
      <c r="A38" t="s">
        <v>133</v>
      </c>
      <c r="B38" s="5">
        <v>45710</v>
      </c>
      <c r="C38" t="s">
        <v>107</v>
      </c>
      <c r="D38" t="s">
        <v>74</v>
      </c>
      <c r="E38" s="9">
        <v>1</v>
      </c>
      <c r="F38" s="10">
        <v>125</v>
      </c>
      <c r="G38" s="11">
        <v>0.05</v>
      </c>
      <c r="H38" s="10">
        <v>118.75</v>
      </c>
      <c r="I38" s="9">
        <v>0</v>
      </c>
      <c r="J38" s="10">
        <v>0</v>
      </c>
      <c r="K38" s="9">
        <v>1</v>
      </c>
      <c r="L38" s="10">
        <v>118.75</v>
      </c>
      <c r="M38" s="10">
        <v>83.89</v>
      </c>
      <c r="N38" s="10">
        <v>34.86</v>
      </c>
      <c r="O38" s="11">
        <f t="shared" si="2"/>
        <v>0.29355789473684207</v>
      </c>
      <c r="P38" s="10">
        <v>10.9</v>
      </c>
      <c r="Q38" s="10">
        <v>23.96</v>
      </c>
      <c r="R38" s="11">
        <f t="shared" si="3"/>
        <v>0.2017684210526316</v>
      </c>
      <c r="S38" t="s">
        <v>65</v>
      </c>
      <c r="T38" t="s">
        <v>86</v>
      </c>
      <c r="U38" t="s">
        <v>61</v>
      </c>
    </row>
    <row r="39" spans="1:21" x14ac:dyDescent="0.35">
      <c r="A39" t="s">
        <v>134</v>
      </c>
      <c r="B39" s="5">
        <v>45965</v>
      </c>
      <c r="C39" t="s">
        <v>125</v>
      </c>
      <c r="D39" t="s">
        <v>85</v>
      </c>
      <c r="E39" s="9">
        <v>3</v>
      </c>
      <c r="F39" s="10">
        <v>125</v>
      </c>
      <c r="G39" s="11">
        <v>0.05</v>
      </c>
      <c r="H39" s="10">
        <v>356.25</v>
      </c>
      <c r="I39" s="9">
        <v>0</v>
      </c>
      <c r="J39" s="10">
        <v>0</v>
      </c>
      <c r="K39" s="9">
        <v>3</v>
      </c>
      <c r="L39" s="10">
        <v>356.25</v>
      </c>
      <c r="M39" s="10">
        <v>237.49</v>
      </c>
      <c r="N39" s="10">
        <v>118.76</v>
      </c>
      <c r="O39" s="11">
        <f t="shared" si="2"/>
        <v>0.33336140350877197</v>
      </c>
      <c r="P39" s="10">
        <v>37.75</v>
      </c>
      <c r="Q39" s="10">
        <v>81.010000000000005</v>
      </c>
      <c r="R39" s="11">
        <f t="shared" si="3"/>
        <v>0.22739649122807018</v>
      </c>
      <c r="S39" t="s">
        <v>65</v>
      </c>
      <c r="T39" t="s">
        <v>66</v>
      </c>
      <c r="U39" t="s">
        <v>71</v>
      </c>
    </row>
    <row r="40" spans="1:21" x14ac:dyDescent="0.35">
      <c r="A40" t="s">
        <v>135</v>
      </c>
      <c r="B40" s="5">
        <v>45886</v>
      </c>
      <c r="C40" t="s">
        <v>84</v>
      </c>
      <c r="D40" t="s">
        <v>85</v>
      </c>
      <c r="E40" s="9">
        <v>2</v>
      </c>
      <c r="F40" s="10">
        <v>48</v>
      </c>
      <c r="G40" s="11">
        <v>0.05</v>
      </c>
      <c r="H40" s="10">
        <v>91.2</v>
      </c>
      <c r="I40" s="9">
        <v>0</v>
      </c>
      <c r="J40" s="10">
        <v>0</v>
      </c>
      <c r="K40" s="9">
        <v>2</v>
      </c>
      <c r="L40" s="10">
        <v>91.2</v>
      </c>
      <c r="M40" s="10">
        <v>62.47</v>
      </c>
      <c r="N40" s="10">
        <v>28.73</v>
      </c>
      <c r="O40" s="11">
        <f t="shared" si="2"/>
        <v>0.3150219298245614</v>
      </c>
      <c r="P40" s="10">
        <v>5.13</v>
      </c>
      <c r="Q40" s="10">
        <v>23.6</v>
      </c>
      <c r="R40" s="11">
        <f t="shared" si="3"/>
        <v>0.25877192982456143</v>
      </c>
      <c r="S40" t="s">
        <v>81</v>
      </c>
      <c r="T40" t="s">
        <v>66</v>
      </c>
      <c r="U40" t="s">
        <v>71</v>
      </c>
    </row>
    <row r="41" spans="1:21" x14ac:dyDescent="0.35">
      <c r="A41" t="s">
        <v>136</v>
      </c>
      <c r="B41" s="5">
        <v>45775</v>
      </c>
      <c r="C41" t="s">
        <v>97</v>
      </c>
      <c r="D41" t="s">
        <v>57</v>
      </c>
      <c r="E41" s="9">
        <v>4</v>
      </c>
      <c r="F41" s="10">
        <v>55</v>
      </c>
      <c r="G41" s="11">
        <v>0</v>
      </c>
      <c r="H41" s="10">
        <v>220</v>
      </c>
      <c r="I41" s="9">
        <v>0</v>
      </c>
      <c r="J41" s="10">
        <v>0</v>
      </c>
      <c r="K41" s="9">
        <v>4</v>
      </c>
      <c r="L41" s="10">
        <v>220</v>
      </c>
      <c r="M41" s="10">
        <v>184.72</v>
      </c>
      <c r="N41" s="10">
        <v>35.28</v>
      </c>
      <c r="O41" s="11">
        <f t="shared" si="2"/>
        <v>0.16036363636363637</v>
      </c>
      <c r="P41" s="10">
        <v>15.22</v>
      </c>
      <c r="Q41" s="10">
        <v>20.059999999999999</v>
      </c>
      <c r="R41" s="11">
        <f t="shared" si="3"/>
        <v>9.1181818181818169E-2</v>
      </c>
      <c r="S41" t="s">
        <v>2133</v>
      </c>
      <c r="T41" t="s">
        <v>66</v>
      </c>
      <c r="U41" t="s">
        <v>61</v>
      </c>
    </row>
    <row r="42" spans="1:21" x14ac:dyDescent="0.35">
      <c r="A42" t="s">
        <v>137</v>
      </c>
      <c r="B42" s="5">
        <v>45904</v>
      </c>
      <c r="C42" t="s">
        <v>90</v>
      </c>
      <c r="D42" t="s">
        <v>70</v>
      </c>
      <c r="E42" s="9">
        <v>2</v>
      </c>
      <c r="F42" s="10">
        <v>38</v>
      </c>
      <c r="G42" s="11">
        <v>0.15</v>
      </c>
      <c r="H42" s="10">
        <v>64.599999999999994</v>
      </c>
      <c r="I42" s="9">
        <v>0</v>
      </c>
      <c r="J42" s="10">
        <v>0</v>
      </c>
      <c r="K42" s="9">
        <v>2</v>
      </c>
      <c r="L42" s="10">
        <v>64.599999999999994</v>
      </c>
      <c r="M42" s="10">
        <v>51.49</v>
      </c>
      <c r="N42" s="10">
        <v>13.11</v>
      </c>
      <c r="O42" s="11">
        <f t="shared" si="2"/>
        <v>0.20294117647058824</v>
      </c>
      <c r="P42" s="10">
        <v>6.39</v>
      </c>
      <c r="Q42" s="10">
        <v>6.72</v>
      </c>
      <c r="R42" s="11">
        <f t="shared" si="3"/>
        <v>0.10402476780185758</v>
      </c>
      <c r="S42" t="s">
        <v>59</v>
      </c>
      <c r="T42" t="s">
        <v>86</v>
      </c>
      <c r="U42" t="s">
        <v>71</v>
      </c>
    </row>
    <row r="43" spans="1:21" x14ac:dyDescent="0.35">
      <c r="A43" t="s">
        <v>138</v>
      </c>
      <c r="B43" s="5">
        <v>45751</v>
      </c>
      <c r="C43" t="s">
        <v>117</v>
      </c>
      <c r="D43" t="s">
        <v>74</v>
      </c>
      <c r="E43" s="9">
        <v>1</v>
      </c>
      <c r="F43" s="10">
        <v>95</v>
      </c>
      <c r="G43" s="11">
        <v>0</v>
      </c>
      <c r="H43" s="10">
        <v>95</v>
      </c>
      <c r="I43" s="9">
        <v>0</v>
      </c>
      <c r="J43" s="10">
        <v>0</v>
      </c>
      <c r="K43" s="9">
        <v>1</v>
      </c>
      <c r="L43" s="10">
        <v>95</v>
      </c>
      <c r="M43" s="10">
        <v>66.69</v>
      </c>
      <c r="N43" s="10">
        <v>28.31</v>
      </c>
      <c r="O43" s="11">
        <f t="shared" si="2"/>
        <v>0.29799999999999999</v>
      </c>
      <c r="P43" s="10">
        <v>5.47</v>
      </c>
      <c r="Q43" s="10">
        <v>22.84</v>
      </c>
      <c r="R43" s="11">
        <f t="shared" si="3"/>
        <v>0.24042105263157895</v>
      </c>
      <c r="S43" t="s">
        <v>81</v>
      </c>
      <c r="T43" t="s">
        <v>82</v>
      </c>
      <c r="U43" t="s">
        <v>61</v>
      </c>
    </row>
    <row r="44" spans="1:21" x14ac:dyDescent="0.35">
      <c r="A44" t="s">
        <v>139</v>
      </c>
      <c r="B44" s="5">
        <v>45879</v>
      </c>
      <c r="C44" t="s">
        <v>125</v>
      </c>
      <c r="D44" t="s">
        <v>85</v>
      </c>
      <c r="E44" s="9">
        <v>3</v>
      </c>
      <c r="F44" s="10">
        <v>125</v>
      </c>
      <c r="G44" s="11">
        <v>0</v>
      </c>
      <c r="H44" s="10">
        <v>375</v>
      </c>
      <c r="I44" s="9">
        <v>0</v>
      </c>
      <c r="J44" s="10">
        <v>0</v>
      </c>
      <c r="K44" s="9">
        <v>3</v>
      </c>
      <c r="L44" s="10">
        <v>375</v>
      </c>
      <c r="M44" s="10">
        <v>276.75</v>
      </c>
      <c r="N44" s="10">
        <v>98.25</v>
      </c>
      <c r="O44" s="11">
        <f t="shared" si="2"/>
        <v>0.26200000000000001</v>
      </c>
      <c r="P44" s="10">
        <v>23.95</v>
      </c>
      <c r="Q44" s="10">
        <v>74.3</v>
      </c>
      <c r="R44" s="11">
        <f t="shared" si="3"/>
        <v>0.19813333333333333</v>
      </c>
      <c r="S44" t="s">
        <v>75</v>
      </c>
      <c r="T44" t="s">
        <v>60</v>
      </c>
      <c r="U44" t="s">
        <v>71</v>
      </c>
    </row>
    <row r="45" spans="1:21" x14ac:dyDescent="0.35">
      <c r="A45" t="s">
        <v>140</v>
      </c>
      <c r="B45" s="5">
        <v>45914</v>
      </c>
      <c r="C45" t="s">
        <v>84</v>
      </c>
      <c r="D45" t="s">
        <v>85</v>
      </c>
      <c r="E45" s="9">
        <v>8</v>
      </c>
      <c r="F45" s="10">
        <v>48</v>
      </c>
      <c r="G45" s="11">
        <v>0.1</v>
      </c>
      <c r="H45" s="10">
        <v>345.6</v>
      </c>
      <c r="I45" s="9">
        <v>1</v>
      </c>
      <c r="J45" s="10">
        <v>43.2</v>
      </c>
      <c r="K45" s="9">
        <v>7</v>
      </c>
      <c r="L45" s="10">
        <v>302.39999999999998</v>
      </c>
      <c r="M45" s="10">
        <v>206.42</v>
      </c>
      <c r="N45" s="10">
        <v>95.98</v>
      </c>
      <c r="O45" s="11">
        <f t="shared" si="2"/>
        <v>0.31739417989417995</v>
      </c>
      <c r="P45" s="10">
        <v>27.29</v>
      </c>
      <c r="Q45" s="10">
        <v>68.69</v>
      </c>
      <c r="R45" s="11">
        <f t="shared" si="3"/>
        <v>0.22714947089947091</v>
      </c>
      <c r="S45" t="s">
        <v>65</v>
      </c>
      <c r="T45" t="s">
        <v>66</v>
      </c>
      <c r="U45" t="s">
        <v>67</v>
      </c>
    </row>
    <row r="46" spans="1:21" x14ac:dyDescent="0.35">
      <c r="A46" t="s">
        <v>141</v>
      </c>
      <c r="B46" s="5">
        <v>45997</v>
      </c>
      <c r="C46" t="s">
        <v>63</v>
      </c>
      <c r="D46" t="s">
        <v>64</v>
      </c>
      <c r="E46" s="9">
        <v>3</v>
      </c>
      <c r="F46" s="10">
        <v>145</v>
      </c>
      <c r="G46" s="11">
        <v>0.1</v>
      </c>
      <c r="H46" s="10">
        <v>391.5</v>
      </c>
      <c r="I46" s="9">
        <v>0</v>
      </c>
      <c r="J46" s="10">
        <v>0</v>
      </c>
      <c r="K46" s="9">
        <v>3</v>
      </c>
      <c r="L46" s="10">
        <v>391.5</v>
      </c>
      <c r="M46" s="10">
        <v>331.45</v>
      </c>
      <c r="N46" s="10">
        <v>60.05</v>
      </c>
      <c r="O46" s="11">
        <f t="shared" si="2"/>
        <v>0.15338441890166027</v>
      </c>
      <c r="P46" s="10">
        <v>39.51</v>
      </c>
      <c r="Q46" s="10">
        <v>20.54</v>
      </c>
      <c r="R46" s="11">
        <f t="shared" si="3"/>
        <v>5.2464878671775218E-2</v>
      </c>
      <c r="S46" t="s">
        <v>65</v>
      </c>
      <c r="T46" t="s">
        <v>86</v>
      </c>
      <c r="U46" t="s">
        <v>71</v>
      </c>
    </row>
    <row r="47" spans="1:21" x14ac:dyDescent="0.35">
      <c r="A47" t="s">
        <v>142</v>
      </c>
      <c r="B47" s="5">
        <v>45825</v>
      </c>
      <c r="C47" t="s">
        <v>95</v>
      </c>
      <c r="D47" t="s">
        <v>64</v>
      </c>
      <c r="E47" s="9">
        <v>4</v>
      </c>
      <c r="F47" s="10">
        <v>52</v>
      </c>
      <c r="G47" s="11">
        <v>0</v>
      </c>
      <c r="H47" s="10">
        <v>208</v>
      </c>
      <c r="I47" s="9">
        <v>0</v>
      </c>
      <c r="J47" s="10">
        <v>0</v>
      </c>
      <c r="K47" s="9">
        <v>4</v>
      </c>
      <c r="L47" s="10">
        <v>208</v>
      </c>
      <c r="M47" s="10">
        <v>156.19999999999999</v>
      </c>
      <c r="N47" s="10">
        <v>51.8</v>
      </c>
      <c r="O47" s="11">
        <f t="shared" si="2"/>
        <v>0.24903846153846151</v>
      </c>
      <c r="P47" s="10">
        <v>16.82</v>
      </c>
      <c r="Q47" s="10">
        <v>34.979999999999997</v>
      </c>
      <c r="R47" s="11">
        <f t="shared" si="3"/>
        <v>0.1681730769230769</v>
      </c>
      <c r="S47" t="s">
        <v>81</v>
      </c>
      <c r="T47" t="s">
        <v>60</v>
      </c>
      <c r="U47" t="s">
        <v>61</v>
      </c>
    </row>
    <row r="48" spans="1:21" x14ac:dyDescent="0.35">
      <c r="A48" t="s">
        <v>143</v>
      </c>
      <c r="B48" s="5">
        <v>45747</v>
      </c>
      <c r="C48" t="s">
        <v>90</v>
      </c>
      <c r="D48" t="s">
        <v>70</v>
      </c>
      <c r="E48" s="9">
        <v>1</v>
      </c>
      <c r="F48" s="10">
        <v>38</v>
      </c>
      <c r="G48" s="11">
        <v>0</v>
      </c>
      <c r="H48" s="10">
        <v>38</v>
      </c>
      <c r="I48" s="9">
        <v>0</v>
      </c>
      <c r="J48" s="10">
        <v>0</v>
      </c>
      <c r="K48" s="9">
        <v>1</v>
      </c>
      <c r="L48" s="10">
        <v>38</v>
      </c>
      <c r="M48" s="10">
        <v>23.92</v>
      </c>
      <c r="N48" s="10">
        <v>14.08</v>
      </c>
      <c r="O48" s="11">
        <f t="shared" si="2"/>
        <v>0.3705263157894737</v>
      </c>
      <c r="P48" s="10">
        <v>2.92</v>
      </c>
      <c r="Q48" s="10">
        <v>11.16</v>
      </c>
      <c r="R48" s="11">
        <f t="shared" si="3"/>
        <v>0.29368421052631577</v>
      </c>
      <c r="S48" t="s">
        <v>65</v>
      </c>
      <c r="T48" t="s">
        <v>66</v>
      </c>
      <c r="U48" t="s">
        <v>71</v>
      </c>
    </row>
    <row r="49" spans="1:21" x14ac:dyDescent="0.35">
      <c r="A49" t="s">
        <v>144</v>
      </c>
      <c r="B49" s="5">
        <v>45732</v>
      </c>
      <c r="C49" t="s">
        <v>84</v>
      </c>
      <c r="D49" t="s">
        <v>85</v>
      </c>
      <c r="E49" s="9">
        <v>1</v>
      </c>
      <c r="F49" s="10">
        <v>48</v>
      </c>
      <c r="G49" s="11">
        <v>0.05</v>
      </c>
      <c r="H49" s="10">
        <v>45.6</v>
      </c>
      <c r="I49" s="9">
        <v>0</v>
      </c>
      <c r="J49" s="10">
        <v>0</v>
      </c>
      <c r="K49" s="9">
        <v>1</v>
      </c>
      <c r="L49" s="10">
        <v>45.6</v>
      </c>
      <c r="M49" s="10">
        <v>31.36</v>
      </c>
      <c r="N49" s="10">
        <v>14.24</v>
      </c>
      <c r="O49" s="11">
        <f t="shared" si="2"/>
        <v>0.31228070175438594</v>
      </c>
      <c r="P49" s="10">
        <v>4.82</v>
      </c>
      <c r="Q49" s="10">
        <v>9.42</v>
      </c>
      <c r="R49" s="11">
        <f t="shared" si="3"/>
        <v>0.20657894736842106</v>
      </c>
      <c r="S49" t="s">
        <v>75</v>
      </c>
      <c r="T49" t="s">
        <v>86</v>
      </c>
      <c r="U49" t="s">
        <v>61</v>
      </c>
    </row>
    <row r="50" spans="1:21" x14ac:dyDescent="0.35">
      <c r="A50" t="s">
        <v>145</v>
      </c>
      <c r="B50" s="5">
        <v>45753</v>
      </c>
      <c r="C50" t="s">
        <v>63</v>
      </c>
      <c r="D50" t="s">
        <v>64</v>
      </c>
      <c r="E50" s="9">
        <v>1</v>
      </c>
      <c r="F50" s="10">
        <v>145</v>
      </c>
      <c r="G50" s="11">
        <v>0.05</v>
      </c>
      <c r="H50" s="10">
        <v>137.75</v>
      </c>
      <c r="I50" s="9">
        <v>0</v>
      </c>
      <c r="J50" s="10">
        <v>0</v>
      </c>
      <c r="K50" s="9">
        <v>1</v>
      </c>
      <c r="L50" s="10">
        <v>137.75</v>
      </c>
      <c r="M50" s="10">
        <v>112.08</v>
      </c>
      <c r="N50" s="10">
        <v>25.67</v>
      </c>
      <c r="O50" s="11">
        <f t="shared" si="2"/>
        <v>0.18635208711433757</v>
      </c>
      <c r="P50" s="10">
        <v>11.43</v>
      </c>
      <c r="Q50" s="10">
        <v>14.24</v>
      </c>
      <c r="R50" s="11">
        <f t="shared" si="3"/>
        <v>0.10337568058076226</v>
      </c>
      <c r="S50" t="s">
        <v>65</v>
      </c>
      <c r="T50" t="s">
        <v>60</v>
      </c>
      <c r="U50" t="s">
        <v>71</v>
      </c>
    </row>
    <row r="51" spans="1:21" x14ac:dyDescent="0.35">
      <c r="A51" t="s">
        <v>146</v>
      </c>
      <c r="B51" s="5">
        <v>45719</v>
      </c>
      <c r="C51" t="s">
        <v>125</v>
      </c>
      <c r="D51" t="s">
        <v>85</v>
      </c>
      <c r="E51" s="9">
        <v>2</v>
      </c>
      <c r="F51" s="10">
        <v>125</v>
      </c>
      <c r="G51" s="11">
        <v>0.02</v>
      </c>
      <c r="H51" s="10">
        <v>245</v>
      </c>
      <c r="I51" s="9">
        <v>0</v>
      </c>
      <c r="J51" s="10">
        <v>0</v>
      </c>
      <c r="K51" s="9">
        <v>2</v>
      </c>
      <c r="L51" s="10">
        <v>245</v>
      </c>
      <c r="M51" s="10">
        <v>195.41</v>
      </c>
      <c r="N51" s="10">
        <v>49.59</v>
      </c>
      <c r="O51" s="11">
        <f t="shared" si="2"/>
        <v>0.20240816326530614</v>
      </c>
      <c r="P51" s="10">
        <v>19.649999999999999</v>
      </c>
      <c r="Q51" s="10">
        <v>29.94</v>
      </c>
      <c r="R51" s="11">
        <f t="shared" si="3"/>
        <v>0.12220408163265306</v>
      </c>
      <c r="S51" t="s">
        <v>65</v>
      </c>
      <c r="T51" t="s">
        <v>86</v>
      </c>
      <c r="U51" t="s">
        <v>67</v>
      </c>
    </row>
    <row r="52" spans="1:21" x14ac:dyDescent="0.35">
      <c r="A52" t="s">
        <v>148</v>
      </c>
      <c r="B52" s="5">
        <v>45941</v>
      </c>
      <c r="C52" t="s">
        <v>90</v>
      </c>
      <c r="D52" t="s">
        <v>70</v>
      </c>
      <c r="E52" s="9">
        <v>6</v>
      </c>
      <c r="F52" s="10">
        <v>38</v>
      </c>
      <c r="G52" s="11">
        <v>0</v>
      </c>
      <c r="H52" s="10">
        <v>228</v>
      </c>
      <c r="I52" s="9">
        <v>0</v>
      </c>
      <c r="J52" s="10">
        <v>0</v>
      </c>
      <c r="K52" s="9">
        <v>6</v>
      </c>
      <c r="L52" s="10">
        <v>228</v>
      </c>
      <c r="M52" s="10">
        <v>141.94999999999999</v>
      </c>
      <c r="N52" s="10">
        <v>86.05</v>
      </c>
      <c r="O52" s="11">
        <f t="shared" si="2"/>
        <v>0.37741228070175437</v>
      </c>
      <c r="P52" s="10">
        <v>13.07</v>
      </c>
      <c r="Q52" s="10">
        <v>72.98</v>
      </c>
      <c r="R52" s="11">
        <f t="shared" si="3"/>
        <v>0.32008771929824564</v>
      </c>
      <c r="S52" t="s">
        <v>81</v>
      </c>
      <c r="T52" t="s">
        <v>60</v>
      </c>
      <c r="U52" t="s">
        <v>61</v>
      </c>
    </row>
    <row r="53" spans="1:21" x14ac:dyDescent="0.35">
      <c r="A53" t="s">
        <v>149</v>
      </c>
      <c r="B53" s="5">
        <v>45710</v>
      </c>
      <c r="C53" t="s">
        <v>104</v>
      </c>
      <c r="D53" t="s">
        <v>105</v>
      </c>
      <c r="E53" s="9">
        <v>3</v>
      </c>
      <c r="F53" s="10">
        <v>65</v>
      </c>
      <c r="G53" s="11">
        <v>0.02</v>
      </c>
      <c r="H53" s="10">
        <v>191.1</v>
      </c>
      <c r="I53" s="9">
        <v>0</v>
      </c>
      <c r="J53" s="10">
        <v>0</v>
      </c>
      <c r="K53" s="9">
        <v>3</v>
      </c>
      <c r="L53" s="10">
        <v>191.1</v>
      </c>
      <c r="M53" s="10">
        <v>139.05000000000001</v>
      </c>
      <c r="N53" s="10">
        <v>52.05</v>
      </c>
      <c r="O53" s="11">
        <f t="shared" si="2"/>
        <v>0.27237048665620095</v>
      </c>
      <c r="P53" s="10">
        <v>14.58</v>
      </c>
      <c r="Q53" s="10">
        <v>37.47</v>
      </c>
      <c r="R53" s="11">
        <f t="shared" si="3"/>
        <v>0.19607535321821037</v>
      </c>
      <c r="S53" t="s">
        <v>59</v>
      </c>
      <c r="T53" t="s">
        <v>86</v>
      </c>
      <c r="U53" t="s">
        <v>67</v>
      </c>
    </row>
    <row r="54" spans="1:21" x14ac:dyDescent="0.35">
      <c r="A54" t="s">
        <v>150</v>
      </c>
      <c r="B54" s="5">
        <v>45872</v>
      </c>
      <c r="C54" t="s">
        <v>56</v>
      </c>
      <c r="D54" t="s">
        <v>57</v>
      </c>
      <c r="E54" s="9">
        <v>1</v>
      </c>
      <c r="F54" s="10">
        <v>40</v>
      </c>
      <c r="G54" s="11">
        <v>0</v>
      </c>
      <c r="H54" s="10">
        <v>40</v>
      </c>
      <c r="I54" s="9">
        <v>0</v>
      </c>
      <c r="J54" s="10">
        <v>0</v>
      </c>
      <c r="K54" s="9">
        <v>1</v>
      </c>
      <c r="L54" s="10">
        <v>40</v>
      </c>
      <c r="M54" s="10">
        <v>25.35</v>
      </c>
      <c r="N54" s="10">
        <v>14.65</v>
      </c>
      <c r="O54" s="11">
        <f t="shared" si="2"/>
        <v>0.36625000000000002</v>
      </c>
      <c r="P54" s="10">
        <v>3.41</v>
      </c>
      <c r="Q54" s="10">
        <v>11.24</v>
      </c>
      <c r="R54" s="11">
        <f t="shared" si="3"/>
        <v>0.28100000000000003</v>
      </c>
      <c r="S54" t="s">
        <v>75</v>
      </c>
      <c r="T54" t="s">
        <v>60</v>
      </c>
      <c r="U54" t="s">
        <v>76</v>
      </c>
    </row>
    <row r="55" spans="1:21" x14ac:dyDescent="0.35">
      <c r="A55" t="s">
        <v>151</v>
      </c>
      <c r="B55" s="5">
        <v>45831</v>
      </c>
      <c r="C55" t="s">
        <v>78</v>
      </c>
      <c r="D55" t="s">
        <v>79</v>
      </c>
      <c r="E55" s="9">
        <v>8</v>
      </c>
      <c r="F55" s="10">
        <v>120</v>
      </c>
      <c r="G55" s="11">
        <v>0.02</v>
      </c>
      <c r="H55" s="10">
        <v>940.8</v>
      </c>
      <c r="I55" s="9">
        <v>0</v>
      </c>
      <c r="J55" s="10">
        <v>0</v>
      </c>
      <c r="K55" s="9">
        <v>8</v>
      </c>
      <c r="L55" s="10">
        <v>940.8</v>
      </c>
      <c r="M55" s="10">
        <v>772.28</v>
      </c>
      <c r="N55" s="10">
        <v>168.52</v>
      </c>
      <c r="O55" s="11">
        <f t="shared" si="2"/>
        <v>0.17912414965986395</v>
      </c>
      <c r="P55" s="10">
        <v>110.15</v>
      </c>
      <c r="Q55" s="10">
        <v>58.37</v>
      </c>
      <c r="R55" s="11">
        <f t="shared" si="3"/>
        <v>6.2042942176870751E-2</v>
      </c>
      <c r="S55" t="s">
        <v>75</v>
      </c>
      <c r="T55" t="s">
        <v>86</v>
      </c>
      <c r="U55" t="s">
        <v>71</v>
      </c>
    </row>
    <row r="56" spans="1:21" x14ac:dyDescent="0.35">
      <c r="A56" t="s">
        <v>152</v>
      </c>
      <c r="B56" s="5">
        <v>46022</v>
      </c>
      <c r="C56" t="s">
        <v>97</v>
      </c>
      <c r="D56" t="s">
        <v>57</v>
      </c>
      <c r="E56" s="9">
        <v>5</v>
      </c>
      <c r="F56" s="10">
        <v>55</v>
      </c>
      <c r="G56" s="11">
        <v>0.05</v>
      </c>
      <c r="H56" s="10">
        <v>261.25</v>
      </c>
      <c r="I56" s="9">
        <v>0</v>
      </c>
      <c r="J56" s="10">
        <v>0</v>
      </c>
      <c r="K56" s="9">
        <v>5</v>
      </c>
      <c r="L56" s="10">
        <v>261.25</v>
      </c>
      <c r="M56" s="10">
        <v>167.08</v>
      </c>
      <c r="N56" s="10">
        <v>94.17</v>
      </c>
      <c r="O56" s="11">
        <f t="shared" si="2"/>
        <v>0.3604593301435407</v>
      </c>
      <c r="P56" s="10">
        <v>33.68</v>
      </c>
      <c r="Q56" s="10">
        <v>60.49</v>
      </c>
      <c r="R56" s="11">
        <f t="shared" si="3"/>
        <v>0.23154066985645932</v>
      </c>
      <c r="S56" t="s">
        <v>75</v>
      </c>
      <c r="T56" t="s">
        <v>82</v>
      </c>
      <c r="U56" t="s">
        <v>61</v>
      </c>
    </row>
    <row r="57" spans="1:21" x14ac:dyDescent="0.35">
      <c r="A57" t="s">
        <v>154</v>
      </c>
      <c r="B57" s="5">
        <v>46021</v>
      </c>
      <c r="C57" t="s">
        <v>107</v>
      </c>
      <c r="D57" t="s">
        <v>74</v>
      </c>
      <c r="E57" s="9">
        <v>8</v>
      </c>
      <c r="F57" s="10">
        <v>125</v>
      </c>
      <c r="G57" s="11">
        <v>0.15</v>
      </c>
      <c r="H57" s="10">
        <v>850</v>
      </c>
      <c r="I57" s="9">
        <v>0</v>
      </c>
      <c r="J57" s="10">
        <v>0</v>
      </c>
      <c r="K57" s="9">
        <v>8</v>
      </c>
      <c r="L57" s="10">
        <v>850</v>
      </c>
      <c r="M57" s="10">
        <v>680.69</v>
      </c>
      <c r="N57" s="10">
        <v>169.31</v>
      </c>
      <c r="O57" s="11">
        <f t="shared" si="2"/>
        <v>0.19918823529411764</v>
      </c>
      <c r="P57" s="10">
        <v>48.18</v>
      </c>
      <c r="Q57" s="10">
        <v>121.13</v>
      </c>
      <c r="R57" s="11">
        <f t="shared" si="3"/>
        <v>0.14250588235294118</v>
      </c>
      <c r="S57" t="s">
        <v>81</v>
      </c>
      <c r="T57" t="s">
        <v>60</v>
      </c>
      <c r="U57" t="s">
        <v>76</v>
      </c>
    </row>
    <row r="58" spans="1:21" x14ac:dyDescent="0.35">
      <c r="A58" t="s">
        <v>155</v>
      </c>
      <c r="B58" s="5">
        <v>45805</v>
      </c>
      <c r="C58" t="s">
        <v>84</v>
      </c>
      <c r="D58" t="s">
        <v>85</v>
      </c>
      <c r="E58" s="9">
        <v>6</v>
      </c>
      <c r="F58" s="10">
        <v>48</v>
      </c>
      <c r="G58" s="11">
        <v>0</v>
      </c>
      <c r="H58" s="10">
        <v>288</v>
      </c>
      <c r="I58" s="9">
        <v>6</v>
      </c>
      <c r="J58" s="10">
        <v>288</v>
      </c>
      <c r="K58" s="9">
        <v>0</v>
      </c>
      <c r="L58" s="10">
        <v>0</v>
      </c>
      <c r="M58" s="10">
        <v>0</v>
      </c>
      <c r="N58" s="10">
        <v>0</v>
      </c>
      <c r="O58" s="11">
        <v>0</v>
      </c>
      <c r="P58" s="10">
        <v>0</v>
      </c>
      <c r="Q58" s="10">
        <v>0</v>
      </c>
      <c r="R58" s="11">
        <v>0</v>
      </c>
      <c r="S58" t="s">
        <v>65</v>
      </c>
      <c r="T58" t="s">
        <v>86</v>
      </c>
      <c r="U58" t="s">
        <v>67</v>
      </c>
    </row>
    <row r="59" spans="1:21" x14ac:dyDescent="0.35">
      <c r="A59" t="s">
        <v>156</v>
      </c>
      <c r="B59" s="5">
        <v>45969</v>
      </c>
      <c r="C59" t="s">
        <v>97</v>
      </c>
      <c r="D59" t="s">
        <v>57</v>
      </c>
      <c r="E59" s="9">
        <v>4</v>
      </c>
      <c r="F59" s="10">
        <v>55</v>
      </c>
      <c r="G59" s="11">
        <v>0.02</v>
      </c>
      <c r="H59" s="10">
        <v>215.6</v>
      </c>
      <c r="I59" s="9">
        <v>0</v>
      </c>
      <c r="J59" s="10">
        <v>0</v>
      </c>
      <c r="K59" s="9">
        <v>4</v>
      </c>
      <c r="L59" s="10">
        <v>215.6</v>
      </c>
      <c r="M59" s="10">
        <v>145.96</v>
      </c>
      <c r="N59" s="10">
        <v>69.64</v>
      </c>
      <c r="O59" s="11">
        <f t="shared" ref="O59:O77" si="4">N59/L59</f>
        <v>0.32300556586270873</v>
      </c>
      <c r="P59" s="10">
        <v>19.02</v>
      </c>
      <c r="Q59" s="10">
        <v>50.62</v>
      </c>
      <c r="R59" s="11">
        <f t="shared" ref="R59:R77" si="5">Q59/L59</f>
        <v>0.23478664192949908</v>
      </c>
      <c r="S59" t="s">
        <v>75</v>
      </c>
      <c r="T59" t="s">
        <v>82</v>
      </c>
      <c r="U59" t="s">
        <v>67</v>
      </c>
    </row>
    <row r="60" spans="1:21" x14ac:dyDescent="0.35">
      <c r="A60" t="s">
        <v>157</v>
      </c>
      <c r="B60" s="5">
        <v>45870</v>
      </c>
      <c r="C60" t="s">
        <v>109</v>
      </c>
      <c r="D60" t="s">
        <v>85</v>
      </c>
      <c r="E60" s="9">
        <v>5</v>
      </c>
      <c r="F60" s="10">
        <v>180</v>
      </c>
      <c r="G60" s="11">
        <v>0.15</v>
      </c>
      <c r="H60" s="10">
        <v>765</v>
      </c>
      <c r="I60" s="9">
        <v>0</v>
      </c>
      <c r="J60" s="10">
        <v>0</v>
      </c>
      <c r="K60" s="9">
        <v>5</v>
      </c>
      <c r="L60" s="10">
        <v>765</v>
      </c>
      <c r="M60" s="10">
        <v>576.38</v>
      </c>
      <c r="N60" s="10">
        <v>188.62</v>
      </c>
      <c r="O60" s="11">
        <f t="shared" si="4"/>
        <v>0.24656209150326797</v>
      </c>
      <c r="P60" s="10">
        <v>40.909999999999997</v>
      </c>
      <c r="Q60" s="10">
        <v>147.71</v>
      </c>
      <c r="R60" s="11">
        <f t="shared" si="5"/>
        <v>0.19308496732026145</v>
      </c>
      <c r="S60" t="s">
        <v>59</v>
      </c>
      <c r="T60" t="s">
        <v>86</v>
      </c>
      <c r="U60" t="s">
        <v>67</v>
      </c>
    </row>
    <row r="61" spans="1:21" x14ac:dyDescent="0.35">
      <c r="A61" t="s">
        <v>158</v>
      </c>
      <c r="B61" s="5">
        <v>45658</v>
      </c>
      <c r="C61" t="s">
        <v>63</v>
      </c>
      <c r="D61" t="s">
        <v>64</v>
      </c>
      <c r="E61" s="9">
        <v>3</v>
      </c>
      <c r="F61" s="10">
        <v>145</v>
      </c>
      <c r="G61" s="11">
        <v>0.15</v>
      </c>
      <c r="H61" s="10">
        <v>369.75</v>
      </c>
      <c r="I61" s="9">
        <v>0</v>
      </c>
      <c r="J61" s="10">
        <v>0</v>
      </c>
      <c r="K61" s="9">
        <v>3</v>
      </c>
      <c r="L61" s="10">
        <v>369.75</v>
      </c>
      <c r="M61" s="10">
        <v>275.66000000000003</v>
      </c>
      <c r="N61" s="10">
        <v>94.09</v>
      </c>
      <c r="O61" s="11">
        <f t="shared" si="4"/>
        <v>0.25446923597025017</v>
      </c>
      <c r="P61" s="10">
        <v>39.07</v>
      </c>
      <c r="Q61" s="10">
        <v>55.02</v>
      </c>
      <c r="R61" s="11">
        <f t="shared" si="5"/>
        <v>0.14880324543610549</v>
      </c>
      <c r="S61" t="s">
        <v>75</v>
      </c>
      <c r="T61" t="s">
        <v>82</v>
      </c>
      <c r="U61" t="s">
        <v>71</v>
      </c>
    </row>
    <row r="62" spans="1:21" x14ac:dyDescent="0.35">
      <c r="A62" t="s">
        <v>159</v>
      </c>
      <c r="B62" s="5">
        <v>45813</v>
      </c>
      <c r="C62" t="s">
        <v>95</v>
      </c>
      <c r="D62" t="s">
        <v>64</v>
      </c>
      <c r="E62" s="9">
        <v>6</v>
      </c>
      <c r="F62" s="10">
        <v>52</v>
      </c>
      <c r="G62" s="11">
        <v>0</v>
      </c>
      <c r="H62" s="10">
        <v>312</v>
      </c>
      <c r="I62" s="9">
        <v>0</v>
      </c>
      <c r="J62" s="10">
        <v>0</v>
      </c>
      <c r="K62" s="9">
        <v>6</v>
      </c>
      <c r="L62" s="10">
        <v>312</v>
      </c>
      <c r="M62" s="10">
        <v>214.48</v>
      </c>
      <c r="N62" s="10">
        <v>97.52</v>
      </c>
      <c r="O62" s="11">
        <f t="shared" si="4"/>
        <v>0.31256410256410255</v>
      </c>
      <c r="P62" s="10">
        <v>37.82</v>
      </c>
      <c r="Q62" s="10">
        <v>59.7</v>
      </c>
      <c r="R62" s="11">
        <f t="shared" si="5"/>
        <v>0.19134615384615386</v>
      </c>
      <c r="S62" t="s">
        <v>75</v>
      </c>
      <c r="T62" t="s">
        <v>86</v>
      </c>
      <c r="U62" t="s">
        <v>71</v>
      </c>
    </row>
    <row r="63" spans="1:21" x14ac:dyDescent="0.35">
      <c r="A63" t="s">
        <v>160</v>
      </c>
      <c r="B63" s="5">
        <v>45849</v>
      </c>
      <c r="C63" t="s">
        <v>63</v>
      </c>
      <c r="D63" t="s">
        <v>64</v>
      </c>
      <c r="E63" s="9">
        <v>3</v>
      </c>
      <c r="F63" s="10">
        <v>145</v>
      </c>
      <c r="G63" s="11">
        <v>0</v>
      </c>
      <c r="H63" s="10">
        <v>435</v>
      </c>
      <c r="I63" s="9">
        <v>0</v>
      </c>
      <c r="J63" s="10">
        <v>0</v>
      </c>
      <c r="K63" s="9">
        <v>3</v>
      </c>
      <c r="L63" s="10">
        <v>435</v>
      </c>
      <c r="M63" s="10">
        <v>330.63</v>
      </c>
      <c r="N63" s="10">
        <v>104.37</v>
      </c>
      <c r="O63" s="11">
        <f t="shared" si="4"/>
        <v>0.23993103448275863</v>
      </c>
      <c r="P63" s="10">
        <v>55.66</v>
      </c>
      <c r="Q63" s="10">
        <v>48.71</v>
      </c>
      <c r="R63" s="11">
        <f t="shared" si="5"/>
        <v>0.11197701149425288</v>
      </c>
      <c r="S63" t="s">
        <v>59</v>
      </c>
      <c r="T63" t="s">
        <v>82</v>
      </c>
      <c r="U63" t="s">
        <v>76</v>
      </c>
    </row>
    <row r="64" spans="1:21" x14ac:dyDescent="0.35">
      <c r="A64" t="s">
        <v>161</v>
      </c>
      <c r="B64" s="5">
        <v>45692</v>
      </c>
      <c r="C64" t="s">
        <v>107</v>
      </c>
      <c r="D64" t="s">
        <v>74</v>
      </c>
      <c r="E64" s="9">
        <v>2</v>
      </c>
      <c r="F64" s="10">
        <v>125</v>
      </c>
      <c r="G64" s="11">
        <v>0</v>
      </c>
      <c r="H64" s="10">
        <v>250</v>
      </c>
      <c r="I64" s="9">
        <v>0</v>
      </c>
      <c r="J64" s="10">
        <v>0</v>
      </c>
      <c r="K64" s="9">
        <v>2</v>
      </c>
      <c r="L64" s="10">
        <v>250</v>
      </c>
      <c r="M64" s="10">
        <v>191.17</v>
      </c>
      <c r="N64" s="10">
        <v>58.83</v>
      </c>
      <c r="O64" s="11">
        <f t="shared" si="4"/>
        <v>0.23532</v>
      </c>
      <c r="P64" s="10">
        <v>15.16</v>
      </c>
      <c r="Q64" s="10">
        <v>43.67</v>
      </c>
      <c r="R64" s="11">
        <f t="shared" si="5"/>
        <v>0.17468</v>
      </c>
      <c r="S64" t="s">
        <v>75</v>
      </c>
      <c r="T64" t="s">
        <v>82</v>
      </c>
      <c r="U64" t="s">
        <v>71</v>
      </c>
    </row>
    <row r="65" spans="1:21" x14ac:dyDescent="0.35">
      <c r="A65" t="s">
        <v>162</v>
      </c>
      <c r="B65" s="5">
        <v>46022</v>
      </c>
      <c r="C65" t="s">
        <v>92</v>
      </c>
      <c r="D65" t="s">
        <v>79</v>
      </c>
      <c r="E65" s="9">
        <v>4</v>
      </c>
      <c r="F65" s="10">
        <v>85</v>
      </c>
      <c r="G65" s="11">
        <v>0.02</v>
      </c>
      <c r="H65" s="10">
        <v>333.2</v>
      </c>
      <c r="I65" s="9">
        <v>0</v>
      </c>
      <c r="J65" s="10">
        <v>0</v>
      </c>
      <c r="K65" s="9">
        <v>4</v>
      </c>
      <c r="L65" s="10">
        <v>333.2</v>
      </c>
      <c r="M65" s="10">
        <v>240.03</v>
      </c>
      <c r="N65" s="10">
        <v>93.17</v>
      </c>
      <c r="O65" s="11">
        <f t="shared" si="4"/>
        <v>0.2796218487394958</v>
      </c>
      <c r="P65" s="10">
        <v>39.75</v>
      </c>
      <c r="Q65" s="10">
        <v>53.42</v>
      </c>
      <c r="R65" s="11">
        <f t="shared" si="5"/>
        <v>0.16032412965186074</v>
      </c>
      <c r="S65" t="s">
        <v>75</v>
      </c>
      <c r="T65" t="s">
        <v>60</v>
      </c>
      <c r="U65" t="s">
        <v>61</v>
      </c>
    </row>
    <row r="66" spans="1:21" x14ac:dyDescent="0.35">
      <c r="A66" t="s">
        <v>164</v>
      </c>
      <c r="B66" s="5">
        <v>45874</v>
      </c>
      <c r="C66" t="s">
        <v>114</v>
      </c>
      <c r="D66" t="s">
        <v>64</v>
      </c>
      <c r="E66" s="9">
        <v>5</v>
      </c>
      <c r="F66" s="10">
        <v>420</v>
      </c>
      <c r="G66" s="11">
        <v>0</v>
      </c>
      <c r="H66" s="10">
        <v>2100</v>
      </c>
      <c r="I66" s="9">
        <v>0</v>
      </c>
      <c r="J66" s="10">
        <v>0</v>
      </c>
      <c r="K66" s="9">
        <v>5</v>
      </c>
      <c r="L66" s="10">
        <v>2100</v>
      </c>
      <c r="M66" s="10">
        <v>1798.58</v>
      </c>
      <c r="N66" s="10">
        <v>301.42</v>
      </c>
      <c r="O66" s="11">
        <f t="shared" si="4"/>
        <v>0.14353333333333335</v>
      </c>
      <c r="P66" s="10">
        <v>230.93</v>
      </c>
      <c r="Q66" s="10">
        <v>70.489999999999995</v>
      </c>
      <c r="R66" s="11">
        <f t="shared" si="5"/>
        <v>3.3566666666666661E-2</v>
      </c>
      <c r="S66" t="s">
        <v>81</v>
      </c>
      <c r="T66" t="s">
        <v>60</v>
      </c>
      <c r="U66" t="s">
        <v>76</v>
      </c>
    </row>
    <row r="67" spans="1:21" x14ac:dyDescent="0.35">
      <c r="A67" t="s">
        <v>166</v>
      </c>
      <c r="B67" s="5">
        <v>45663</v>
      </c>
      <c r="C67" t="s">
        <v>107</v>
      </c>
      <c r="D67" t="s">
        <v>74</v>
      </c>
      <c r="E67" s="9">
        <v>5</v>
      </c>
      <c r="F67" s="10">
        <v>125</v>
      </c>
      <c r="G67" s="11">
        <v>0</v>
      </c>
      <c r="H67" s="10">
        <v>625</v>
      </c>
      <c r="I67" s="9">
        <v>0</v>
      </c>
      <c r="J67" s="10">
        <v>0</v>
      </c>
      <c r="K67" s="9">
        <v>5</v>
      </c>
      <c r="L67" s="10">
        <v>625</v>
      </c>
      <c r="M67" s="10">
        <v>449.72</v>
      </c>
      <c r="N67" s="10">
        <v>175.28</v>
      </c>
      <c r="O67" s="11">
        <f t="shared" si="4"/>
        <v>0.28044799999999998</v>
      </c>
      <c r="P67" s="10">
        <v>34.07</v>
      </c>
      <c r="Q67" s="10">
        <v>141.21</v>
      </c>
      <c r="R67" s="11">
        <f t="shared" si="5"/>
        <v>0.22593600000000003</v>
      </c>
      <c r="S67" t="s">
        <v>65</v>
      </c>
      <c r="T67" t="s">
        <v>66</v>
      </c>
      <c r="U67" t="s">
        <v>67</v>
      </c>
    </row>
    <row r="68" spans="1:21" x14ac:dyDescent="0.35">
      <c r="A68" t="s">
        <v>167</v>
      </c>
      <c r="B68" s="5">
        <v>45802</v>
      </c>
      <c r="C68" t="s">
        <v>125</v>
      </c>
      <c r="D68" t="s">
        <v>85</v>
      </c>
      <c r="E68" s="9">
        <v>10</v>
      </c>
      <c r="F68" s="10">
        <v>125</v>
      </c>
      <c r="G68" s="11">
        <v>0.02</v>
      </c>
      <c r="H68" s="10">
        <v>1225</v>
      </c>
      <c r="I68" s="9">
        <v>0</v>
      </c>
      <c r="J68" s="10">
        <v>0</v>
      </c>
      <c r="K68" s="9">
        <v>10</v>
      </c>
      <c r="L68" s="10">
        <v>1225</v>
      </c>
      <c r="M68" s="10">
        <v>985.58</v>
      </c>
      <c r="N68" s="10">
        <v>239.42</v>
      </c>
      <c r="O68" s="11">
        <f t="shared" si="4"/>
        <v>0.19544489795918366</v>
      </c>
      <c r="P68" s="10">
        <v>144.52000000000001</v>
      </c>
      <c r="Q68" s="10">
        <v>94.9</v>
      </c>
      <c r="R68" s="11">
        <f t="shared" si="5"/>
        <v>7.7469387755102051E-2</v>
      </c>
      <c r="S68" t="s">
        <v>75</v>
      </c>
      <c r="T68" t="s">
        <v>82</v>
      </c>
      <c r="U68" t="s">
        <v>67</v>
      </c>
    </row>
    <row r="69" spans="1:21" x14ac:dyDescent="0.35">
      <c r="A69" t="s">
        <v>168</v>
      </c>
      <c r="B69" s="5">
        <v>45691</v>
      </c>
      <c r="C69" t="s">
        <v>121</v>
      </c>
      <c r="D69" t="s">
        <v>70</v>
      </c>
      <c r="E69" s="9">
        <v>2</v>
      </c>
      <c r="F69" s="10">
        <v>110</v>
      </c>
      <c r="G69" s="11">
        <v>0</v>
      </c>
      <c r="H69" s="10">
        <v>220</v>
      </c>
      <c r="I69" s="9">
        <v>0</v>
      </c>
      <c r="J69" s="10">
        <v>0</v>
      </c>
      <c r="K69" s="9">
        <v>2</v>
      </c>
      <c r="L69" s="10">
        <v>220</v>
      </c>
      <c r="M69" s="10">
        <v>147.34</v>
      </c>
      <c r="N69" s="10">
        <v>72.66</v>
      </c>
      <c r="O69" s="11">
        <f t="shared" si="4"/>
        <v>0.33027272727272727</v>
      </c>
      <c r="P69" s="10">
        <v>24.32</v>
      </c>
      <c r="Q69" s="10">
        <v>48.34</v>
      </c>
      <c r="R69" s="11">
        <f t="shared" si="5"/>
        <v>0.21972727272727274</v>
      </c>
      <c r="S69" t="s">
        <v>65</v>
      </c>
      <c r="T69" t="s">
        <v>60</v>
      </c>
      <c r="U69" t="s">
        <v>61</v>
      </c>
    </row>
    <row r="70" spans="1:21" x14ac:dyDescent="0.35">
      <c r="A70" t="s">
        <v>169</v>
      </c>
      <c r="B70" s="5">
        <v>45711</v>
      </c>
      <c r="C70" t="s">
        <v>56</v>
      </c>
      <c r="D70" t="s">
        <v>57</v>
      </c>
      <c r="E70" s="9">
        <v>4</v>
      </c>
      <c r="F70" s="10">
        <v>40</v>
      </c>
      <c r="G70" s="11">
        <v>0</v>
      </c>
      <c r="H70" s="10">
        <v>160</v>
      </c>
      <c r="I70" s="9">
        <v>0</v>
      </c>
      <c r="J70" s="10">
        <v>0</v>
      </c>
      <c r="K70" s="9">
        <v>4</v>
      </c>
      <c r="L70" s="10">
        <v>160</v>
      </c>
      <c r="M70" s="10">
        <v>128.86000000000001</v>
      </c>
      <c r="N70" s="10">
        <v>31.14</v>
      </c>
      <c r="O70" s="11">
        <f t="shared" si="4"/>
        <v>0.19462499999999999</v>
      </c>
      <c r="P70" s="10">
        <v>18.91</v>
      </c>
      <c r="Q70" s="10">
        <v>12.23</v>
      </c>
      <c r="R70" s="11">
        <f t="shared" si="5"/>
        <v>7.6437500000000005E-2</v>
      </c>
      <c r="S70" t="s">
        <v>65</v>
      </c>
      <c r="T70" t="s">
        <v>66</v>
      </c>
      <c r="U70" t="s">
        <v>71</v>
      </c>
    </row>
    <row r="71" spans="1:21" x14ac:dyDescent="0.35">
      <c r="A71" t="s">
        <v>170</v>
      </c>
      <c r="B71" s="5">
        <v>45760</v>
      </c>
      <c r="C71" t="s">
        <v>107</v>
      </c>
      <c r="D71" t="s">
        <v>74</v>
      </c>
      <c r="E71" s="9">
        <v>1</v>
      </c>
      <c r="F71" s="10">
        <v>125</v>
      </c>
      <c r="G71" s="11">
        <v>0</v>
      </c>
      <c r="H71" s="10">
        <v>125</v>
      </c>
      <c r="I71" s="9">
        <v>0</v>
      </c>
      <c r="J71" s="10">
        <v>0</v>
      </c>
      <c r="K71" s="9">
        <v>1</v>
      </c>
      <c r="L71" s="10">
        <v>125</v>
      </c>
      <c r="M71" s="10">
        <v>100.15</v>
      </c>
      <c r="N71" s="10">
        <v>24.85</v>
      </c>
      <c r="O71" s="11">
        <f t="shared" si="4"/>
        <v>0.1988</v>
      </c>
      <c r="P71" s="10">
        <v>13.29</v>
      </c>
      <c r="Q71" s="10">
        <v>11.56</v>
      </c>
      <c r="R71" s="11">
        <f t="shared" si="5"/>
        <v>9.2480000000000007E-2</v>
      </c>
      <c r="S71" t="s">
        <v>81</v>
      </c>
      <c r="T71" t="s">
        <v>86</v>
      </c>
      <c r="U71" t="s">
        <v>61</v>
      </c>
    </row>
    <row r="72" spans="1:21" x14ac:dyDescent="0.35">
      <c r="A72" t="s">
        <v>171</v>
      </c>
      <c r="B72" s="5">
        <v>45965</v>
      </c>
      <c r="C72" t="s">
        <v>100</v>
      </c>
      <c r="D72" t="s">
        <v>64</v>
      </c>
      <c r="E72" s="9">
        <v>2</v>
      </c>
      <c r="F72" s="10">
        <v>310</v>
      </c>
      <c r="G72" s="11">
        <v>0.02</v>
      </c>
      <c r="H72" s="10">
        <v>607.6</v>
      </c>
      <c r="I72" s="9">
        <v>0</v>
      </c>
      <c r="J72" s="10">
        <v>0</v>
      </c>
      <c r="K72" s="9">
        <v>2</v>
      </c>
      <c r="L72" s="10">
        <v>607.6</v>
      </c>
      <c r="M72" s="10">
        <v>433.91</v>
      </c>
      <c r="N72" s="10">
        <v>173.69</v>
      </c>
      <c r="O72" s="11">
        <f t="shared" si="4"/>
        <v>0.28586240947992098</v>
      </c>
      <c r="P72" s="10">
        <v>74.33</v>
      </c>
      <c r="Q72" s="10">
        <v>99.36</v>
      </c>
      <c r="R72" s="11">
        <f t="shared" si="5"/>
        <v>0.16352863726135614</v>
      </c>
      <c r="S72" t="s">
        <v>75</v>
      </c>
      <c r="T72" t="s">
        <v>82</v>
      </c>
      <c r="U72" t="s">
        <v>67</v>
      </c>
    </row>
    <row r="73" spans="1:21" x14ac:dyDescent="0.35">
      <c r="A73" t="s">
        <v>172</v>
      </c>
      <c r="B73" s="5">
        <v>45841</v>
      </c>
      <c r="C73" t="s">
        <v>73</v>
      </c>
      <c r="D73" t="s">
        <v>74</v>
      </c>
      <c r="E73" s="9">
        <v>2</v>
      </c>
      <c r="F73" s="10">
        <v>280</v>
      </c>
      <c r="G73" s="11">
        <v>0.02</v>
      </c>
      <c r="H73" s="10">
        <v>548.79999999999995</v>
      </c>
      <c r="I73" s="9">
        <v>0</v>
      </c>
      <c r="J73" s="10">
        <v>0</v>
      </c>
      <c r="K73" s="9">
        <v>2</v>
      </c>
      <c r="L73" s="10">
        <v>548.79999999999995</v>
      </c>
      <c r="M73" s="10">
        <v>453.84</v>
      </c>
      <c r="N73" s="10">
        <v>94.96</v>
      </c>
      <c r="O73" s="11">
        <f t="shared" si="4"/>
        <v>0.17303206997084547</v>
      </c>
      <c r="P73" s="10">
        <v>33.9</v>
      </c>
      <c r="Q73" s="10">
        <v>61.06</v>
      </c>
      <c r="R73" s="11">
        <f t="shared" si="5"/>
        <v>0.11126093294460643</v>
      </c>
      <c r="S73" t="s">
        <v>75</v>
      </c>
      <c r="T73" t="s">
        <v>82</v>
      </c>
      <c r="U73" t="s">
        <v>67</v>
      </c>
    </row>
    <row r="74" spans="1:21" x14ac:dyDescent="0.35">
      <c r="A74" t="s">
        <v>173</v>
      </c>
      <c r="B74" s="5">
        <v>45897</v>
      </c>
      <c r="C74" t="s">
        <v>104</v>
      </c>
      <c r="D74" t="s">
        <v>105</v>
      </c>
      <c r="E74" s="9">
        <v>3</v>
      </c>
      <c r="F74" s="10">
        <v>65</v>
      </c>
      <c r="G74" s="11">
        <v>0.15</v>
      </c>
      <c r="H74" s="10">
        <v>165.75</v>
      </c>
      <c r="I74" s="9">
        <v>0</v>
      </c>
      <c r="J74" s="10">
        <v>0</v>
      </c>
      <c r="K74" s="9">
        <v>3</v>
      </c>
      <c r="L74" s="10">
        <v>165.75</v>
      </c>
      <c r="M74" s="10">
        <v>122.36</v>
      </c>
      <c r="N74" s="10">
        <v>43.39</v>
      </c>
      <c r="O74" s="11">
        <f t="shared" si="4"/>
        <v>0.26177978883861236</v>
      </c>
      <c r="P74" s="10">
        <v>16.690000000000001</v>
      </c>
      <c r="Q74" s="10">
        <v>26.7</v>
      </c>
      <c r="R74" s="11">
        <f t="shared" si="5"/>
        <v>0.16108597285067872</v>
      </c>
      <c r="S74" t="s">
        <v>59</v>
      </c>
      <c r="T74" t="s">
        <v>60</v>
      </c>
      <c r="U74" t="s">
        <v>76</v>
      </c>
    </row>
    <row r="75" spans="1:21" x14ac:dyDescent="0.35">
      <c r="A75" t="s">
        <v>174</v>
      </c>
      <c r="B75" s="5">
        <v>45852</v>
      </c>
      <c r="C75" t="s">
        <v>117</v>
      </c>
      <c r="D75" t="s">
        <v>74</v>
      </c>
      <c r="E75" s="9">
        <v>1</v>
      </c>
      <c r="F75" s="10">
        <v>95</v>
      </c>
      <c r="G75" s="11">
        <v>0</v>
      </c>
      <c r="H75" s="10">
        <v>95</v>
      </c>
      <c r="I75" s="9">
        <v>0</v>
      </c>
      <c r="J75" s="10">
        <v>0</v>
      </c>
      <c r="K75" s="9">
        <v>1</v>
      </c>
      <c r="L75" s="10">
        <v>95</v>
      </c>
      <c r="M75" s="10">
        <v>73.510000000000005</v>
      </c>
      <c r="N75" s="10">
        <v>21.49</v>
      </c>
      <c r="O75" s="11">
        <f t="shared" si="4"/>
        <v>0.22621052631578945</v>
      </c>
      <c r="P75" s="10">
        <v>7.38</v>
      </c>
      <c r="Q75" s="10">
        <v>14.11</v>
      </c>
      <c r="R75" s="11">
        <f t="shared" si="5"/>
        <v>0.14852631578947367</v>
      </c>
      <c r="S75" t="s">
        <v>65</v>
      </c>
      <c r="T75" t="s">
        <v>60</v>
      </c>
      <c r="U75" t="s">
        <v>76</v>
      </c>
    </row>
    <row r="76" spans="1:21" x14ac:dyDescent="0.35">
      <c r="A76" t="s">
        <v>175</v>
      </c>
      <c r="B76" s="5">
        <v>45679</v>
      </c>
      <c r="C76" t="s">
        <v>78</v>
      </c>
      <c r="D76" t="s">
        <v>79</v>
      </c>
      <c r="E76" s="9">
        <v>3</v>
      </c>
      <c r="F76" s="10">
        <v>120</v>
      </c>
      <c r="G76" s="11">
        <v>0</v>
      </c>
      <c r="H76" s="10">
        <v>360</v>
      </c>
      <c r="I76" s="9">
        <v>0</v>
      </c>
      <c r="J76" s="10">
        <v>0</v>
      </c>
      <c r="K76" s="9">
        <v>3</v>
      </c>
      <c r="L76" s="10">
        <v>360</v>
      </c>
      <c r="M76" s="10">
        <v>294.2</v>
      </c>
      <c r="N76" s="10">
        <v>65.8</v>
      </c>
      <c r="O76" s="11">
        <f t="shared" si="4"/>
        <v>0.18277777777777776</v>
      </c>
      <c r="P76" s="10">
        <v>28.01</v>
      </c>
      <c r="Q76" s="10">
        <v>37.79</v>
      </c>
      <c r="R76" s="11">
        <f t="shared" si="5"/>
        <v>0.10497222222222222</v>
      </c>
      <c r="S76" t="s">
        <v>75</v>
      </c>
      <c r="T76" t="s">
        <v>82</v>
      </c>
      <c r="U76" t="s">
        <v>67</v>
      </c>
    </row>
    <row r="77" spans="1:21" x14ac:dyDescent="0.35">
      <c r="A77" t="s">
        <v>177</v>
      </c>
      <c r="B77" s="5">
        <v>45730</v>
      </c>
      <c r="C77" t="s">
        <v>125</v>
      </c>
      <c r="D77" t="s">
        <v>85</v>
      </c>
      <c r="E77" s="9">
        <v>3</v>
      </c>
      <c r="F77" s="10">
        <v>125</v>
      </c>
      <c r="G77" s="11">
        <v>0</v>
      </c>
      <c r="H77" s="10">
        <v>375</v>
      </c>
      <c r="I77" s="9">
        <v>0</v>
      </c>
      <c r="J77" s="10">
        <v>0</v>
      </c>
      <c r="K77" s="9">
        <v>3</v>
      </c>
      <c r="L77" s="10">
        <v>375</v>
      </c>
      <c r="M77" s="10">
        <v>265.27999999999997</v>
      </c>
      <c r="N77" s="10">
        <v>109.72</v>
      </c>
      <c r="O77" s="11">
        <f t="shared" si="4"/>
        <v>0.29258666666666666</v>
      </c>
      <c r="P77" s="10">
        <v>39.46</v>
      </c>
      <c r="Q77" s="10">
        <v>70.260000000000005</v>
      </c>
      <c r="R77" s="11">
        <f t="shared" si="5"/>
        <v>0.18736000000000003</v>
      </c>
      <c r="S77" t="s">
        <v>81</v>
      </c>
      <c r="T77" t="s">
        <v>66</v>
      </c>
      <c r="U77" t="s">
        <v>76</v>
      </c>
    </row>
    <row r="78" spans="1:21" x14ac:dyDescent="0.35">
      <c r="A78" t="s">
        <v>178</v>
      </c>
      <c r="B78" s="5">
        <v>45770</v>
      </c>
      <c r="C78" t="s">
        <v>73</v>
      </c>
      <c r="D78" t="s">
        <v>74</v>
      </c>
      <c r="E78" s="9">
        <v>3</v>
      </c>
      <c r="F78" s="10">
        <v>280</v>
      </c>
      <c r="G78" s="11">
        <v>0</v>
      </c>
      <c r="H78" s="10">
        <v>840</v>
      </c>
      <c r="I78" s="9">
        <v>3</v>
      </c>
      <c r="J78" s="10">
        <v>840</v>
      </c>
      <c r="K78" s="9">
        <v>0</v>
      </c>
      <c r="L78" s="10">
        <v>0</v>
      </c>
      <c r="M78" s="10">
        <v>0</v>
      </c>
      <c r="N78" s="10">
        <v>0</v>
      </c>
      <c r="O78" s="11">
        <v>0</v>
      </c>
      <c r="P78" s="10">
        <v>0</v>
      </c>
      <c r="Q78" s="10">
        <v>0</v>
      </c>
      <c r="R78" s="11">
        <v>0</v>
      </c>
      <c r="S78" t="s">
        <v>59</v>
      </c>
      <c r="T78" t="s">
        <v>66</v>
      </c>
      <c r="U78" t="s">
        <v>61</v>
      </c>
    </row>
    <row r="79" spans="1:21" x14ac:dyDescent="0.35">
      <c r="A79" t="s">
        <v>179</v>
      </c>
      <c r="B79" s="5">
        <v>46022</v>
      </c>
      <c r="C79" t="s">
        <v>73</v>
      </c>
      <c r="D79" t="s">
        <v>74</v>
      </c>
      <c r="E79" s="9">
        <v>3</v>
      </c>
      <c r="F79" s="10">
        <v>280</v>
      </c>
      <c r="G79" s="11">
        <v>0.1</v>
      </c>
      <c r="H79" s="10">
        <v>756</v>
      </c>
      <c r="I79" s="9">
        <v>0</v>
      </c>
      <c r="J79" s="10">
        <v>0</v>
      </c>
      <c r="K79" s="9">
        <v>3</v>
      </c>
      <c r="L79" s="10">
        <v>756</v>
      </c>
      <c r="M79" s="10">
        <v>511.56</v>
      </c>
      <c r="N79" s="10">
        <v>244.44</v>
      </c>
      <c r="O79" s="11">
        <f t="shared" ref="O79:O142" si="6">N79/L79</f>
        <v>0.32333333333333331</v>
      </c>
      <c r="P79" s="10">
        <v>69.930000000000007</v>
      </c>
      <c r="Q79" s="10">
        <v>174.51</v>
      </c>
      <c r="R79" s="11">
        <f t="shared" ref="R79:R142" si="7">Q79/L79</f>
        <v>0.23083333333333333</v>
      </c>
      <c r="S79" t="s">
        <v>81</v>
      </c>
      <c r="T79" t="s">
        <v>82</v>
      </c>
      <c r="U79" t="s">
        <v>76</v>
      </c>
    </row>
    <row r="80" spans="1:21" x14ac:dyDescent="0.35">
      <c r="A80" t="s">
        <v>180</v>
      </c>
      <c r="B80" s="5">
        <v>45951</v>
      </c>
      <c r="C80" t="s">
        <v>92</v>
      </c>
      <c r="D80" t="s">
        <v>79</v>
      </c>
      <c r="E80" s="9">
        <v>4</v>
      </c>
      <c r="F80" s="10">
        <v>85</v>
      </c>
      <c r="G80" s="11">
        <v>0.1</v>
      </c>
      <c r="H80" s="10">
        <v>306</v>
      </c>
      <c r="I80" s="9">
        <v>0</v>
      </c>
      <c r="J80" s="10">
        <v>0</v>
      </c>
      <c r="K80" s="9">
        <v>4</v>
      </c>
      <c r="L80" s="10">
        <v>306</v>
      </c>
      <c r="M80" s="10">
        <v>227.3</v>
      </c>
      <c r="N80" s="10">
        <v>78.7</v>
      </c>
      <c r="O80" s="11">
        <f t="shared" si="6"/>
        <v>0.25718954248366016</v>
      </c>
      <c r="P80" s="10">
        <v>17.920000000000002</v>
      </c>
      <c r="Q80" s="10">
        <v>60.78</v>
      </c>
      <c r="R80" s="11">
        <f t="shared" si="7"/>
        <v>0.19862745098039217</v>
      </c>
      <c r="S80" t="s">
        <v>59</v>
      </c>
      <c r="T80" t="s">
        <v>60</v>
      </c>
      <c r="U80" t="s">
        <v>76</v>
      </c>
    </row>
    <row r="81" spans="1:21" x14ac:dyDescent="0.35">
      <c r="A81" t="s">
        <v>181</v>
      </c>
      <c r="B81" s="5">
        <v>45682</v>
      </c>
      <c r="C81" t="s">
        <v>125</v>
      </c>
      <c r="D81" t="s">
        <v>85</v>
      </c>
      <c r="E81" s="9">
        <v>1</v>
      </c>
      <c r="F81" s="10">
        <v>125</v>
      </c>
      <c r="G81" s="11">
        <v>0.02</v>
      </c>
      <c r="H81" s="10">
        <v>122.5</v>
      </c>
      <c r="I81" s="9">
        <v>0</v>
      </c>
      <c r="J81" s="10">
        <v>0</v>
      </c>
      <c r="K81" s="9">
        <v>1</v>
      </c>
      <c r="L81" s="10">
        <v>122.5</v>
      </c>
      <c r="M81" s="10">
        <v>100.67</v>
      </c>
      <c r="N81" s="10">
        <v>21.83</v>
      </c>
      <c r="O81" s="11">
        <f t="shared" si="6"/>
        <v>0.17820408163265306</v>
      </c>
      <c r="P81" s="10">
        <v>11.37</v>
      </c>
      <c r="Q81" s="10">
        <v>10.46</v>
      </c>
      <c r="R81" s="11">
        <f t="shared" si="7"/>
        <v>8.538775510204083E-2</v>
      </c>
      <c r="S81" t="s">
        <v>75</v>
      </c>
      <c r="T81" t="s">
        <v>66</v>
      </c>
      <c r="U81" t="s">
        <v>61</v>
      </c>
    </row>
    <row r="82" spans="1:21" x14ac:dyDescent="0.35">
      <c r="A82" t="s">
        <v>182</v>
      </c>
      <c r="B82" s="5">
        <v>45768</v>
      </c>
      <c r="C82" t="s">
        <v>63</v>
      </c>
      <c r="D82" t="s">
        <v>64</v>
      </c>
      <c r="E82" s="9">
        <v>2</v>
      </c>
      <c r="F82" s="10">
        <v>145</v>
      </c>
      <c r="G82" s="11">
        <v>0.02</v>
      </c>
      <c r="H82" s="10">
        <v>284.2</v>
      </c>
      <c r="I82" s="9">
        <v>0</v>
      </c>
      <c r="J82" s="10">
        <v>0</v>
      </c>
      <c r="K82" s="9">
        <v>2</v>
      </c>
      <c r="L82" s="10">
        <v>284.2</v>
      </c>
      <c r="M82" s="10">
        <v>208.92</v>
      </c>
      <c r="N82" s="10">
        <v>75.28</v>
      </c>
      <c r="O82" s="11">
        <f t="shared" si="6"/>
        <v>0.26488388458831807</v>
      </c>
      <c r="P82" s="10">
        <v>30.96</v>
      </c>
      <c r="Q82" s="10">
        <v>44.32</v>
      </c>
      <c r="R82" s="11">
        <f t="shared" si="7"/>
        <v>0.15594651653764954</v>
      </c>
      <c r="S82" t="s">
        <v>65</v>
      </c>
      <c r="T82" t="s">
        <v>2133</v>
      </c>
      <c r="U82" t="s">
        <v>67</v>
      </c>
    </row>
    <row r="83" spans="1:21" x14ac:dyDescent="0.35">
      <c r="A83" t="s">
        <v>183</v>
      </c>
      <c r="B83" s="5">
        <v>45972</v>
      </c>
      <c r="C83" t="s">
        <v>69</v>
      </c>
      <c r="D83" t="s">
        <v>70</v>
      </c>
      <c r="E83" s="9">
        <v>1</v>
      </c>
      <c r="F83" s="10">
        <v>210</v>
      </c>
      <c r="G83" s="11">
        <v>0</v>
      </c>
      <c r="H83" s="10">
        <v>210</v>
      </c>
      <c r="I83" s="9">
        <v>0</v>
      </c>
      <c r="J83" s="10">
        <v>0</v>
      </c>
      <c r="K83" s="9">
        <v>1</v>
      </c>
      <c r="L83" s="10">
        <v>210</v>
      </c>
      <c r="M83" s="10">
        <v>148.5</v>
      </c>
      <c r="N83" s="10">
        <v>61.5</v>
      </c>
      <c r="O83" s="11">
        <f t="shared" si="6"/>
        <v>0.29285714285714287</v>
      </c>
      <c r="P83" s="10">
        <v>20.09</v>
      </c>
      <c r="Q83" s="10">
        <v>41.41</v>
      </c>
      <c r="R83" s="11">
        <f t="shared" si="7"/>
        <v>0.19719047619047617</v>
      </c>
      <c r="S83" t="s">
        <v>75</v>
      </c>
      <c r="T83" t="s">
        <v>82</v>
      </c>
      <c r="U83" t="s">
        <v>67</v>
      </c>
    </row>
    <row r="84" spans="1:21" x14ac:dyDescent="0.35">
      <c r="A84" t="s">
        <v>184</v>
      </c>
      <c r="B84" s="5">
        <v>45975</v>
      </c>
      <c r="C84" t="s">
        <v>114</v>
      </c>
      <c r="D84" t="s">
        <v>64</v>
      </c>
      <c r="E84" s="9">
        <v>1</v>
      </c>
      <c r="F84" s="10">
        <v>420</v>
      </c>
      <c r="G84" s="11">
        <v>0</v>
      </c>
      <c r="H84" s="10">
        <v>420</v>
      </c>
      <c r="I84" s="9">
        <v>0</v>
      </c>
      <c r="J84" s="10">
        <v>0</v>
      </c>
      <c r="K84" s="9">
        <v>1</v>
      </c>
      <c r="L84" s="10">
        <v>420</v>
      </c>
      <c r="M84" s="10">
        <v>297.23</v>
      </c>
      <c r="N84" s="10">
        <v>122.77</v>
      </c>
      <c r="O84" s="11">
        <f t="shared" si="6"/>
        <v>0.2923095238095238</v>
      </c>
      <c r="P84" s="10">
        <v>49.59</v>
      </c>
      <c r="Q84" s="10">
        <v>73.180000000000007</v>
      </c>
      <c r="R84" s="11">
        <f t="shared" si="7"/>
        <v>0.17423809523809525</v>
      </c>
      <c r="S84" t="s">
        <v>81</v>
      </c>
      <c r="T84" t="s">
        <v>60</v>
      </c>
      <c r="U84" t="s">
        <v>61</v>
      </c>
    </row>
    <row r="85" spans="1:21" x14ac:dyDescent="0.35">
      <c r="A85" t="s">
        <v>185</v>
      </c>
      <c r="B85" s="5">
        <v>45979</v>
      </c>
      <c r="C85" t="s">
        <v>97</v>
      </c>
      <c r="D85" t="s">
        <v>57</v>
      </c>
      <c r="E85" s="9">
        <v>1</v>
      </c>
      <c r="F85" s="10">
        <v>55</v>
      </c>
      <c r="G85" s="11">
        <v>0</v>
      </c>
      <c r="H85" s="10">
        <v>55</v>
      </c>
      <c r="I85" s="9">
        <v>0</v>
      </c>
      <c r="J85" s="10">
        <v>0</v>
      </c>
      <c r="K85" s="9">
        <v>1</v>
      </c>
      <c r="L85" s="10">
        <v>55</v>
      </c>
      <c r="M85" s="10">
        <v>39.520000000000003</v>
      </c>
      <c r="N85" s="10">
        <v>15.48</v>
      </c>
      <c r="O85" s="11">
        <f t="shared" si="6"/>
        <v>0.28145454545454546</v>
      </c>
      <c r="P85" s="10">
        <v>3.24</v>
      </c>
      <c r="Q85" s="10">
        <v>12.24</v>
      </c>
      <c r="R85" s="11">
        <f t="shared" si="7"/>
        <v>0.22254545454545455</v>
      </c>
      <c r="S85" t="s">
        <v>65</v>
      </c>
      <c r="T85" t="s">
        <v>86</v>
      </c>
      <c r="U85" t="s">
        <v>76</v>
      </c>
    </row>
    <row r="86" spans="1:21" x14ac:dyDescent="0.35">
      <c r="A86" t="s">
        <v>186</v>
      </c>
      <c r="B86" s="5">
        <v>45851</v>
      </c>
      <c r="C86" t="s">
        <v>63</v>
      </c>
      <c r="D86" t="s">
        <v>64</v>
      </c>
      <c r="E86" s="9">
        <v>1</v>
      </c>
      <c r="F86" s="10">
        <v>145</v>
      </c>
      <c r="G86" s="11">
        <v>0.15</v>
      </c>
      <c r="H86" s="10">
        <v>123.25</v>
      </c>
      <c r="I86" s="9">
        <v>0</v>
      </c>
      <c r="J86" s="10">
        <v>0</v>
      </c>
      <c r="K86" s="9">
        <v>1</v>
      </c>
      <c r="L86" s="10">
        <v>123.25</v>
      </c>
      <c r="M86" s="10">
        <v>90.93</v>
      </c>
      <c r="N86" s="10">
        <v>32.32</v>
      </c>
      <c r="O86" s="11">
        <f t="shared" si="6"/>
        <v>0.26223123732251524</v>
      </c>
      <c r="P86" s="10">
        <v>14.26</v>
      </c>
      <c r="Q86" s="10">
        <v>18.059999999999999</v>
      </c>
      <c r="R86" s="11">
        <f t="shared" si="7"/>
        <v>0.14653144016227179</v>
      </c>
      <c r="S86" t="s">
        <v>59</v>
      </c>
      <c r="T86" t="s">
        <v>60</v>
      </c>
      <c r="U86" t="s">
        <v>61</v>
      </c>
    </row>
    <row r="87" spans="1:21" x14ac:dyDescent="0.35">
      <c r="A87" t="s">
        <v>187</v>
      </c>
      <c r="B87" s="5">
        <v>45677</v>
      </c>
      <c r="C87" t="s">
        <v>92</v>
      </c>
      <c r="D87" t="s">
        <v>79</v>
      </c>
      <c r="E87" s="9">
        <v>5</v>
      </c>
      <c r="F87" s="10">
        <v>85</v>
      </c>
      <c r="G87" s="11">
        <v>0</v>
      </c>
      <c r="H87" s="10">
        <v>425</v>
      </c>
      <c r="I87" s="9">
        <v>0</v>
      </c>
      <c r="J87" s="10">
        <v>0</v>
      </c>
      <c r="K87" s="9">
        <v>5</v>
      </c>
      <c r="L87" s="10">
        <v>425</v>
      </c>
      <c r="M87" s="10">
        <v>362.24</v>
      </c>
      <c r="N87" s="10">
        <v>62.76</v>
      </c>
      <c r="O87" s="11">
        <f t="shared" si="6"/>
        <v>0.14767058823529411</v>
      </c>
      <c r="P87" s="10">
        <v>28.03</v>
      </c>
      <c r="Q87" s="10">
        <v>34.729999999999997</v>
      </c>
      <c r="R87" s="11">
        <f t="shared" si="7"/>
        <v>8.171764705882352E-2</v>
      </c>
      <c r="S87" t="s">
        <v>75</v>
      </c>
      <c r="T87" t="s">
        <v>86</v>
      </c>
      <c r="U87" t="s">
        <v>76</v>
      </c>
    </row>
    <row r="88" spans="1:21" x14ac:dyDescent="0.35">
      <c r="A88" t="s">
        <v>188</v>
      </c>
      <c r="B88" s="5">
        <v>45916</v>
      </c>
      <c r="C88" t="s">
        <v>114</v>
      </c>
      <c r="D88" t="s">
        <v>64</v>
      </c>
      <c r="E88" s="9">
        <v>3</v>
      </c>
      <c r="F88" s="10">
        <v>420</v>
      </c>
      <c r="G88" s="11">
        <v>0</v>
      </c>
      <c r="H88" s="10">
        <v>1260</v>
      </c>
      <c r="I88" s="9">
        <v>0</v>
      </c>
      <c r="J88" s="10">
        <v>0</v>
      </c>
      <c r="K88" s="9">
        <v>3</v>
      </c>
      <c r="L88" s="10">
        <v>1260</v>
      </c>
      <c r="M88" s="10">
        <v>956.97</v>
      </c>
      <c r="N88" s="10">
        <v>303.02999999999997</v>
      </c>
      <c r="O88" s="11">
        <f t="shared" si="6"/>
        <v>0.24049999999999999</v>
      </c>
      <c r="P88" s="10">
        <v>111.5</v>
      </c>
      <c r="Q88" s="10">
        <v>191.53</v>
      </c>
      <c r="R88" s="11">
        <f t="shared" si="7"/>
        <v>0.15200793650793651</v>
      </c>
      <c r="S88" t="s">
        <v>75</v>
      </c>
      <c r="T88" t="s">
        <v>82</v>
      </c>
      <c r="U88" t="s">
        <v>71</v>
      </c>
    </row>
    <row r="89" spans="1:21" x14ac:dyDescent="0.35">
      <c r="A89" t="s">
        <v>189</v>
      </c>
      <c r="B89" s="5">
        <v>45976</v>
      </c>
      <c r="C89" t="s">
        <v>84</v>
      </c>
      <c r="D89" t="s">
        <v>85</v>
      </c>
      <c r="E89" s="9">
        <v>3</v>
      </c>
      <c r="F89" s="10">
        <v>48</v>
      </c>
      <c r="G89" s="11">
        <v>0</v>
      </c>
      <c r="H89" s="10">
        <v>144</v>
      </c>
      <c r="I89" s="9">
        <v>0</v>
      </c>
      <c r="J89" s="10">
        <v>0</v>
      </c>
      <c r="K89" s="9">
        <v>3</v>
      </c>
      <c r="L89" s="10">
        <v>144</v>
      </c>
      <c r="M89" s="10">
        <v>96.25</v>
      </c>
      <c r="N89" s="10">
        <v>47.75</v>
      </c>
      <c r="O89" s="11">
        <f t="shared" si="6"/>
        <v>0.33159722222222221</v>
      </c>
      <c r="P89" s="10">
        <v>8.2100000000000009</v>
      </c>
      <c r="Q89" s="10">
        <v>39.54</v>
      </c>
      <c r="R89" s="11">
        <f t="shared" si="7"/>
        <v>0.27458333333333335</v>
      </c>
      <c r="S89" t="s">
        <v>75</v>
      </c>
      <c r="T89" t="s">
        <v>66</v>
      </c>
      <c r="U89" t="s">
        <v>67</v>
      </c>
    </row>
    <row r="90" spans="1:21" x14ac:dyDescent="0.35">
      <c r="A90" t="s">
        <v>190</v>
      </c>
      <c r="B90" s="5">
        <v>45975</v>
      </c>
      <c r="C90" t="s">
        <v>97</v>
      </c>
      <c r="D90" t="s">
        <v>57</v>
      </c>
      <c r="E90" s="9">
        <v>3</v>
      </c>
      <c r="F90" s="10">
        <v>55</v>
      </c>
      <c r="G90" s="11">
        <v>0</v>
      </c>
      <c r="H90" s="10">
        <v>165</v>
      </c>
      <c r="I90" s="9">
        <v>0</v>
      </c>
      <c r="J90" s="10">
        <v>0</v>
      </c>
      <c r="K90" s="9">
        <v>3</v>
      </c>
      <c r="L90" s="10">
        <v>165</v>
      </c>
      <c r="M90" s="10">
        <v>118.61</v>
      </c>
      <c r="N90" s="10">
        <v>46.39</v>
      </c>
      <c r="O90" s="11">
        <f t="shared" si="6"/>
        <v>0.28115151515151515</v>
      </c>
      <c r="P90" s="10">
        <v>20.52</v>
      </c>
      <c r="Q90" s="10">
        <v>25.87</v>
      </c>
      <c r="R90" s="11">
        <f t="shared" si="7"/>
        <v>0.15678787878787878</v>
      </c>
      <c r="S90" t="s">
        <v>65</v>
      </c>
      <c r="T90" t="s">
        <v>86</v>
      </c>
      <c r="U90" t="s">
        <v>71</v>
      </c>
    </row>
    <row r="91" spans="1:21" x14ac:dyDescent="0.35">
      <c r="A91" t="s">
        <v>191</v>
      </c>
      <c r="B91" s="5">
        <v>45977</v>
      </c>
      <c r="C91" t="s">
        <v>121</v>
      </c>
      <c r="D91" t="s">
        <v>70</v>
      </c>
      <c r="E91" s="9">
        <v>8</v>
      </c>
      <c r="F91" s="10">
        <v>110</v>
      </c>
      <c r="G91" s="11">
        <v>0.15</v>
      </c>
      <c r="H91" s="10">
        <v>748</v>
      </c>
      <c r="I91" s="9">
        <v>0</v>
      </c>
      <c r="J91" s="10">
        <v>0</v>
      </c>
      <c r="K91" s="9">
        <v>8</v>
      </c>
      <c r="L91" s="10">
        <v>748</v>
      </c>
      <c r="M91" s="10">
        <v>500.56</v>
      </c>
      <c r="N91" s="10">
        <v>247.44</v>
      </c>
      <c r="O91" s="11">
        <f t="shared" si="6"/>
        <v>0.33080213903743316</v>
      </c>
      <c r="P91" s="10">
        <v>92.84</v>
      </c>
      <c r="Q91" s="10">
        <v>154.6</v>
      </c>
      <c r="R91" s="11">
        <f t="shared" si="7"/>
        <v>0.20668449197860961</v>
      </c>
      <c r="S91" t="s">
        <v>81</v>
      </c>
      <c r="T91" t="s">
        <v>86</v>
      </c>
      <c r="U91" t="s">
        <v>61</v>
      </c>
    </row>
    <row r="92" spans="1:21" x14ac:dyDescent="0.35">
      <c r="A92" t="s">
        <v>192</v>
      </c>
      <c r="B92" s="5">
        <v>45996</v>
      </c>
      <c r="C92" t="s">
        <v>88</v>
      </c>
      <c r="D92" t="s">
        <v>57</v>
      </c>
      <c r="E92" s="9">
        <v>5</v>
      </c>
      <c r="F92" s="10">
        <v>30</v>
      </c>
      <c r="G92" s="11">
        <v>0.05</v>
      </c>
      <c r="H92" s="10">
        <v>142.5</v>
      </c>
      <c r="I92" s="9">
        <v>0</v>
      </c>
      <c r="J92" s="10">
        <v>0</v>
      </c>
      <c r="K92" s="9">
        <v>5</v>
      </c>
      <c r="L92" s="10">
        <v>142.5</v>
      </c>
      <c r="M92" s="10">
        <v>115.69</v>
      </c>
      <c r="N92" s="10">
        <v>26.81</v>
      </c>
      <c r="O92" s="11">
        <f t="shared" si="6"/>
        <v>0.18814035087719297</v>
      </c>
      <c r="P92" s="10">
        <v>9.25</v>
      </c>
      <c r="Q92" s="10">
        <v>17.559999999999999</v>
      </c>
      <c r="R92" s="11">
        <f t="shared" si="7"/>
        <v>0.12322807017543859</v>
      </c>
      <c r="S92" t="s">
        <v>59</v>
      </c>
      <c r="T92" t="s">
        <v>82</v>
      </c>
      <c r="U92" t="s">
        <v>71</v>
      </c>
    </row>
    <row r="93" spans="1:21" x14ac:dyDescent="0.35">
      <c r="A93" t="s">
        <v>193</v>
      </c>
      <c r="B93" s="5">
        <v>45945</v>
      </c>
      <c r="C93" t="s">
        <v>63</v>
      </c>
      <c r="D93" t="s">
        <v>64</v>
      </c>
      <c r="E93" s="9">
        <v>2</v>
      </c>
      <c r="F93" s="10">
        <v>145</v>
      </c>
      <c r="G93" s="11">
        <v>0.02</v>
      </c>
      <c r="H93" s="10">
        <v>284.2</v>
      </c>
      <c r="I93" s="9">
        <v>0</v>
      </c>
      <c r="J93" s="10">
        <v>0</v>
      </c>
      <c r="K93" s="9">
        <v>2</v>
      </c>
      <c r="L93" s="10">
        <v>284.2</v>
      </c>
      <c r="M93" s="10">
        <v>222.79</v>
      </c>
      <c r="N93" s="10">
        <v>61.41</v>
      </c>
      <c r="O93" s="11">
        <f t="shared" si="6"/>
        <v>0.21608022519352568</v>
      </c>
      <c r="P93" s="10">
        <v>30.44</v>
      </c>
      <c r="Q93" s="10">
        <v>30.97</v>
      </c>
      <c r="R93" s="11">
        <f t="shared" si="7"/>
        <v>0.10897255453905701</v>
      </c>
      <c r="S93" t="s">
        <v>59</v>
      </c>
      <c r="T93" t="s">
        <v>66</v>
      </c>
      <c r="U93" t="s">
        <v>71</v>
      </c>
    </row>
    <row r="94" spans="1:21" x14ac:dyDescent="0.35">
      <c r="A94" t="s">
        <v>194</v>
      </c>
      <c r="B94" s="5">
        <v>45966</v>
      </c>
      <c r="C94" t="s">
        <v>114</v>
      </c>
      <c r="D94" t="s">
        <v>64</v>
      </c>
      <c r="E94" s="9">
        <v>4</v>
      </c>
      <c r="F94" s="10">
        <v>420</v>
      </c>
      <c r="G94" s="11">
        <v>0</v>
      </c>
      <c r="H94" s="10">
        <v>1680</v>
      </c>
      <c r="I94" s="9">
        <v>0</v>
      </c>
      <c r="J94" s="10">
        <v>0</v>
      </c>
      <c r="K94" s="9">
        <v>4</v>
      </c>
      <c r="L94" s="10">
        <v>1680</v>
      </c>
      <c r="M94" s="10">
        <v>1135.23</v>
      </c>
      <c r="N94" s="10">
        <v>544.77</v>
      </c>
      <c r="O94" s="11">
        <f t="shared" si="6"/>
        <v>0.32426785714285711</v>
      </c>
      <c r="P94" s="10">
        <v>135.59</v>
      </c>
      <c r="Q94" s="10">
        <v>409.18</v>
      </c>
      <c r="R94" s="11">
        <f t="shared" si="7"/>
        <v>0.24355952380952381</v>
      </c>
      <c r="S94" t="s">
        <v>65</v>
      </c>
      <c r="T94" t="s">
        <v>86</v>
      </c>
      <c r="U94" t="s">
        <v>76</v>
      </c>
    </row>
    <row r="95" spans="1:21" x14ac:dyDescent="0.35">
      <c r="A95" t="s">
        <v>195</v>
      </c>
      <c r="B95" s="5">
        <v>45672</v>
      </c>
      <c r="C95" t="s">
        <v>56</v>
      </c>
      <c r="D95" t="s">
        <v>57</v>
      </c>
      <c r="E95" s="9">
        <v>1</v>
      </c>
      <c r="F95" s="10">
        <v>40</v>
      </c>
      <c r="G95" s="11">
        <v>0.1</v>
      </c>
      <c r="H95" s="10">
        <v>36</v>
      </c>
      <c r="I95" s="9">
        <v>0</v>
      </c>
      <c r="J95" s="10">
        <v>0</v>
      </c>
      <c r="K95" s="9">
        <v>1</v>
      </c>
      <c r="L95" s="10">
        <v>36</v>
      </c>
      <c r="M95" s="10">
        <v>27.74</v>
      </c>
      <c r="N95" s="10">
        <v>8.26</v>
      </c>
      <c r="O95" s="11">
        <f t="shared" si="6"/>
        <v>0.22944444444444445</v>
      </c>
      <c r="P95" s="10">
        <v>2.2000000000000002</v>
      </c>
      <c r="Q95" s="10">
        <v>6.06</v>
      </c>
      <c r="R95" s="11">
        <f t="shared" si="7"/>
        <v>0.16833333333333333</v>
      </c>
      <c r="S95" t="s">
        <v>59</v>
      </c>
      <c r="T95" t="s">
        <v>66</v>
      </c>
      <c r="U95" t="s">
        <v>67</v>
      </c>
    </row>
    <row r="96" spans="1:21" x14ac:dyDescent="0.35">
      <c r="A96" t="s">
        <v>196</v>
      </c>
      <c r="B96" s="5">
        <v>45946</v>
      </c>
      <c r="C96" t="s">
        <v>104</v>
      </c>
      <c r="D96" t="s">
        <v>105</v>
      </c>
      <c r="E96" s="9">
        <v>4</v>
      </c>
      <c r="F96" s="10">
        <v>65</v>
      </c>
      <c r="G96" s="11">
        <v>0.02</v>
      </c>
      <c r="H96" s="10">
        <v>254.8</v>
      </c>
      <c r="I96" s="9">
        <v>0</v>
      </c>
      <c r="J96" s="10">
        <v>0</v>
      </c>
      <c r="K96" s="9">
        <v>4</v>
      </c>
      <c r="L96" s="10">
        <v>254.8</v>
      </c>
      <c r="M96" s="10">
        <v>218.99</v>
      </c>
      <c r="N96" s="10">
        <v>35.81</v>
      </c>
      <c r="O96" s="11">
        <f t="shared" si="6"/>
        <v>0.14054160125588697</v>
      </c>
      <c r="P96" s="10">
        <v>27.15</v>
      </c>
      <c r="Q96" s="10">
        <v>8.66</v>
      </c>
      <c r="R96" s="11">
        <f t="shared" si="7"/>
        <v>3.3987441130298272E-2</v>
      </c>
      <c r="S96" t="s">
        <v>81</v>
      </c>
      <c r="T96" t="s">
        <v>86</v>
      </c>
      <c r="U96" t="s">
        <v>71</v>
      </c>
    </row>
    <row r="97" spans="1:21" x14ac:dyDescent="0.35">
      <c r="A97" t="s">
        <v>197</v>
      </c>
      <c r="B97" s="5">
        <v>45885</v>
      </c>
      <c r="C97" t="s">
        <v>100</v>
      </c>
      <c r="D97" t="s">
        <v>64</v>
      </c>
      <c r="E97" s="9">
        <v>5</v>
      </c>
      <c r="F97" s="10">
        <v>310</v>
      </c>
      <c r="G97" s="11">
        <v>0.1</v>
      </c>
      <c r="H97" s="10">
        <v>1395</v>
      </c>
      <c r="I97" s="9">
        <v>0</v>
      </c>
      <c r="J97" s="10">
        <v>0</v>
      </c>
      <c r="K97" s="9">
        <v>5</v>
      </c>
      <c r="L97" s="10">
        <v>1395</v>
      </c>
      <c r="M97" s="10">
        <v>979.43</v>
      </c>
      <c r="N97" s="10">
        <v>415.57</v>
      </c>
      <c r="O97" s="11">
        <f t="shared" si="6"/>
        <v>0.29789964157706095</v>
      </c>
      <c r="P97" s="10">
        <v>82.1</v>
      </c>
      <c r="Q97" s="10">
        <v>333.47</v>
      </c>
      <c r="R97" s="11">
        <f t="shared" si="7"/>
        <v>0.23904659498207886</v>
      </c>
      <c r="S97" t="s">
        <v>75</v>
      </c>
      <c r="T97" t="s">
        <v>86</v>
      </c>
      <c r="U97" t="s">
        <v>61</v>
      </c>
    </row>
    <row r="98" spans="1:21" x14ac:dyDescent="0.35">
      <c r="A98" t="s">
        <v>198</v>
      </c>
      <c r="B98" s="5">
        <v>45752</v>
      </c>
      <c r="C98" t="s">
        <v>73</v>
      </c>
      <c r="D98" t="s">
        <v>74</v>
      </c>
      <c r="E98" s="9">
        <v>5</v>
      </c>
      <c r="F98" s="10">
        <v>280</v>
      </c>
      <c r="G98" s="11">
        <v>0</v>
      </c>
      <c r="H98" s="10">
        <v>1400</v>
      </c>
      <c r="I98" s="9">
        <v>0</v>
      </c>
      <c r="J98" s="10">
        <v>0</v>
      </c>
      <c r="K98" s="9">
        <v>5</v>
      </c>
      <c r="L98" s="10">
        <v>1400</v>
      </c>
      <c r="M98" s="10">
        <v>945.03</v>
      </c>
      <c r="N98" s="10">
        <v>454.97</v>
      </c>
      <c r="O98" s="11">
        <f t="shared" si="6"/>
        <v>0.32497857142857145</v>
      </c>
      <c r="P98" s="10">
        <v>150.63999999999999</v>
      </c>
      <c r="Q98" s="10">
        <v>304.33</v>
      </c>
      <c r="R98" s="11">
        <f t="shared" si="7"/>
        <v>0.21737857142857142</v>
      </c>
      <c r="S98" t="s">
        <v>59</v>
      </c>
      <c r="T98" t="s">
        <v>60</v>
      </c>
      <c r="U98" t="s">
        <v>61</v>
      </c>
    </row>
    <row r="99" spans="1:21" x14ac:dyDescent="0.35">
      <c r="A99" t="s">
        <v>200</v>
      </c>
      <c r="B99" s="5">
        <v>45791</v>
      </c>
      <c r="C99" t="s">
        <v>63</v>
      </c>
      <c r="D99" t="s">
        <v>64</v>
      </c>
      <c r="E99" s="9">
        <v>4</v>
      </c>
      <c r="F99" s="10">
        <v>145</v>
      </c>
      <c r="G99" s="11">
        <v>0.02</v>
      </c>
      <c r="H99" s="10">
        <v>568.4</v>
      </c>
      <c r="I99" s="9">
        <v>0</v>
      </c>
      <c r="J99" s="10">
        <v>0</v>
      </c>
      <c r="K99" s="9">
        <v>4</v>
      </c>
      <c r="L99" s="10">
        <v>568.4</v>
      </c>
      <c r="M99" s="10">
        <v>465.2</v>
      </c>
      <c r="N99" s="10">
        <v>103.2</v>
      </c>
      <c r="O99" s="11">
        <f t="shared" si="6"/>
        <v>0.18156228008444758</v>
      </c>
      <c r="P99" s="10">
        <v>44</v>
      </c>
      <c r="Q99" s="10">
        <v>59.2</v>
      </c>
      <c r="R99" s="11">
        <f t="shared" si="7"/>
        <v>0.10415200562983815</v>
      </c>
      <c r="S99" t="s">
        <v>65</v>
      </c>
      <c r="T99" t="s">
        <v>60</v>
      </c>
      <c r="U99" t="s">
        <v>76</v>
      </c>
    </row>
    <row r="100" spans="1:21" x14ac:dyDescent="0.35">
      <c r="A100" t="s">
        <v>201</v>
      </c>
      <c r="B100" s="5">
        <v>45761</v>
      </c>
      <c r="C100" t="s">
        <v>121</v>
      </c>
      <c r="D100" t="s">
        <v>70</v>
      </c>
      <c r="E100" s="9">
        <v>3</v>
      </c>
      <c r="F100" s="10">
        <v>110</v>
      </c>
      <c r="G100" s="11">
        <v>0.1</v>
      </c>
      <c r="H100" s="10">
        <v>297</v>
      </c>
      <c r="I100" s="9">
        <v>0</v>
      </c>
      <c r="J100" s="10">
        <v>0</v>
      </c>
      <c r="K100" s="9">
        <v>3</v>
      </c>
      <c r="L100" s="10">
        <v>297</v>
      </c>
      <c r="M100" s="10">
        <v>194.06</v>
      </c>
      <c r="N100" s="10">
        <v>102.94</v>
      </c>
      <c r="O100" s="11">
        <f t="shared" si="6"/>
        <v>0.34659932659932657</v>
      </c>
      <c r="P100" s="10">
        <v>20.93</v>
      </c>
      <c r="Q100" s="10">
        <v>82.01</v>
      </c>
      <c r="R100" s="11">
        <f t="shared" si="7"/>
        <v>0.27612794612794617</v>
      </c>
      <c r="S100" t="s">
        <v>65</v>
      </c>
      <c r="T100" t="s">
        <v>60</v>
      </c>
      <c r="U100" t="s">
        <v>61</v>
      </c>
    </row>
    <row r="101" spans="1:21" x14ac:dyDescent="0.35">
      <c r="A101" t="s">
        <v>202</v>
      </c>
      <c r="B101" s="5">
        <v>45749</v>
      </c>
      <c r="C101" t="s">
        <v>69</v>
      </c>
      <c r="D101" t="s">
        <v>70</v>
      </c>
      <c r="E101" s="9">
        <v>3</v>
      </c>
      <c r="F101" s="10">
        <v>210</v>
      </c>
      <c r="G101" s="11">
        <v>0.02</v>
      </c>
      <c r="H101" s="10">
        <v>617.4</v>
      </c>
      <c r="I101" s="9">
        <v>0</v>
      </c>
      <c r="J101" s="10">
        <v>0</v>
      </c>
      <c r="K101" s="9">
        <v>3</v>
      </c>
      <c r="L101" s="10">
        <v>617.4</v>
      </c>
      <c r="M101" s="10">
        <v>519.48</v>
      </c>
      <c r="N101" s="10">
        <v>97.92</v>
      </c>
      <c r="O101" s="11">
        <f t="shared" si="6"/>
        <v>0.15860058309037903</v>
      </c>
      <c r="P101" s="10">
        <v>38.4</v>
      </c>
      <c r="Q101" s="10">
        <v>59.52</v>
      </c>
      <c r="R101" s="11">
        <f t="shared" si="7"/>
        <v>9.6404275996112745E-2</v>
      </c>
      <c r="S101" t="s">
        <v>59</v>
      </c>
      <c r="T101" t="s">
        <v>82</v>
      </c>
      <c r="U101" t="s">
        <v>67</v>
      </c>
    </row>
    <row r="102" spans="1:21" x14ac:dyDescent="0.35">
      <c r="A102" t="s">
        <v>203</v>
      </c>
      <c r="B102" s="5">
        <v>46003</v>
      </c>
      <c r="C102" t="s">
        <v>92</v>
      </c>
      <c r="D102" t="s">
        <v>79</v>
      </c>
      <c r="E102" s="9">
        <v>4</v>
      </c>
      <c r="F102" s="10">
        <v>85</v>
      </c>
      <c r="G102" s="11">
        <v>0.1</v>
      </c>
      <c r="H102" s="10">
        <v>306</v>
      </c>
      <c r="I102" s="9">
        <v>0</v>
      </c>
      <c r="J102" s="10">
        <v>0</v>
      </c>
      <c r="K102" s="9">
        <v>4</v>
      </c>
      <c r="L102" s="10">
        <v>306</v>
      </c>
      <c r="M102" s="10">
        <v>257.69</v>
      </c>
      <c r="N102" s="10">
        <v>48.31</v>
      </c>
      <c r="O102" s="11">
        <f t="shared" si="6"/>
        <v>0.15787581699346406</v>
      </c>
      <c r="P102" s="10">
        <v>18.07</v>
      </c>
      <c r="Q102" s="10">
        <v>30.24</v>
      </c>
      <c r="R102" s="11">
        <f t="shared" si="7"/>
        <v>9.8823529411764699E-2</v>
      </c>
      <c r="S102" t="s">
        <v>81</v>
      </c>
      <c r="T102" t="s">
        <v>86</v>
      </c>
      <c r="U102" t="s">
        <v>71</v>
      </c>
    </row>
    <row r="103" spans="1:21" x14ac:dyDescent="0.35">
      <c r="A103" t="s">
        <v>204</v>
      </c>
      <c r="B103" s="5">
        <v>45794</v>
      </c>
      <c r="C103" t="s">
        <v>114</v>
      </c>
      <c r="D103" t="s">
        <v>64</v>
      </c>
      <c r="E103" s="9">
        <v>6</v>
      </c>
      <c r="F103" s="10">
        <v>420</v>
      </c>
      <c r="G103" s="11">
        <v>0</v>
      </c>
      <c r="H103" s="10">
        <v>2520</v>
      </c>
      <c r="I103" s="9">
        <v>0</v>
      </c>
      <c r="J103" s="10">
        <v>0</v>
      </c>
      <c r="K103" s="9">
        <v>6</v>
      </c>
      <c r="L103" s="10">
        <v>2520</v>
      </c>
      <c r="M103" s="10">
        <v>1920</v>
      </c>
      <c r="N103" s="10">
        <v>600</v>
      </c>
      <c r="O103" s="11">
        <f t="shared" si="6"/>
        <v>0.23809523809523808</v>
      </c>
      <c r="P103" s="10">
        <v>137.04</v>
      </c>
      <c r="Q103" s="10">
        <v>462.96</v>
      </c>
      <c r="R103" s="11">
        <f t="shared" si="7"/>
        <v>0.18371428571428572</v>
      </c>
      <c r="S103" t="s">
        <v>81</v>
      </c>
      <c r="T103" t="s">
        <v>86</v>
      </c>
      <c r="U103" t="s">
        <v>67</v>
      </c>
    </row>
    <row r="104" spans="1:21" x14ac:dyDescent="0.35">
      <c r="A104" t="s">
        <v>205</v>
      </c>
      <c r="B104" s="5">
        <v>46004</v>
      </c>
      <c r="C104" t="s">
        <v>97</v>
      </c>
      <c r="D104" t="s">
        <v>57</v>
      </c>
      <c r="E104" s="9">
        <v>1</v>
      </c>
      <c r="F104" s="10">
        <v>55</v>
      </c>
      <c r="G104" s="11">
        <v>0</v>
      </c>
      <c r="H104" s="10">
        <v>55</v>
      </c>
      <c r="I104" s="9">
        <v>0</v>
      </c>
      <c r="J104" s="10">
        <v>0</v>
      </c>
      <c r="K104" s="9">
        <v>1</v>
      </c>
      <c r="L104" s="10">
        <v>55</v>
      </c>
      <c r="M104" s="10">
        <v>45.5</v>
      </c>
      <c r="N104" s="10">
        <v>9.5</v>
      </c>
      <c r="O104" s="11">
        <f t="shared" si="6"/>
        <v>0.17272727272727273</v>
      </c>
      <c r="P104" s="10">
        <v>4.8</v>
      </c>
      <c r="Q104" s="10">
        <v>4.7</v>
      </c>
      <c r="R104" s="11">
        <f t="shared" si="7"/>
        <v>8.5454545454545464E-2</v>
      </c>
      <c r="S104" t="s">
        <v>75</v>
      </c>
      <c r="T104" t="s">
        <v>86</v>
      </c>
      <c r="U104" t="s">
        <v>76</v>
      </c>
    </row>
    <row r="105" spans="1:21" x14ac:dyDescent="0.35">
      <c r="A105" t="s">
        <v>206</v>
      </c>
      <c r="B105" s="5">
        <v>45818</v>
      </c>
      <c r="C105" t="s">
        <v>69</v>
      </c>
      <c r="D105" t="s">
        <v>70</v>
      </c>
      <c r="E105" s="9">
        <v>6</v>
      </c>
      <c r="F105" s="10">
        <v>210</v>
      </c>
      <c r="G105" s="11">
        <v>0</v>
      </c>
      <c r="H105" s="10">
        <v>1260</v>
      </c>
      <c r="I105" s="9">
        <v>0</v>
      </c>
      <c r="J105" s="10">
        <v>0</v>
      </c>
      <c r="K105" s="9">
        <v>6</v>
      </c>
      <c r="L105" s="10">
        <v>1260</v>
      </c>
      <c r="M105" s="10">
        <v>955.88</v>
      </c>
      <c r="N105" s="10">
        <v>304.12</v>
      </c>
      <c r="O105" s="11">
        <f t="shared" si="6"/>
        <v>0.24136507936507937</v>
      </c>
      <c r="P105" s="10">
        <v>66.42</v>
      </c>
      <c r="Q105" s="10">
        <v>237.7</v>
      </c>
      <c r="R105" s="11">
        <f t="shared" si="7"/>
        <v>0.18865079365079365</v>
      </c>
      <c r="S105" t="s">
        <v>75</v>
      </c>
      <c r="T105" t="s">
        <v>66</v>
      </c>
      <c r="U105" t="s">
        <v>76</v>
      </c>
    </row>
    <row r="106" spans="1:21" x14ac:dyDescent="0.35">
      <c r="A106" t="s">
        <v>207</v>
      </c>
      <c r="B106" s="5">
        <v>45834</v>
      </c>
      <c r="C106" t="s">
        <v>264</v>
      </c>
      <c r="D106" t="s">
        <v>85</v>
      </c>
      <c r="E106" s="9">
        <v>4</v>
      </c>
      <c r="F106" s="10">
        <v>20</v>
      </c>
      <c r="G106" s="11">
        <v>0</v>
      </c>
      <c r="H106" s="10">
        <v>80</v>
      </c>
      <c r="I106" s="9">
        <v>0</v>
      </c>
      <c r="J106" s="10">
        <v>0</v>
      </c>
      <c r="K106" s="9">
        <v>4</v>
      </c>
      <c r="L106" s="10">
        <v>80</v>
      </c>
      <c r="M106" s="10">
        <v>62.34</v>
      </c>
      <c r="N106" s="10">
        <v>17.66</v>
      </c>
      <c r="O106" s="11">
        <f t="shared" si="6"/>
        <v>0.22075</v>
      </c>
      <c r="P106" s="10">
        <v>10.15</v>
      </c>
      <c r="Q106" s="10">
        <v>7.51</v>
      </c>
      <c r="R106" s="11">
        <f t="shared" si="7"/>
        <v>9.3875E-2</v>
      </c>
      <c r="S106" t="s">
        <v>65</v>
      </c>
      <c r="T106" t="s">
        <v>82</v>
      </c>
      <c r="U106" t="s">
        <v>71</v>
      </c>
    </row>
    <row r="107" spans="1:21" x14ac:dyDescent="0.35">
      <c r="A107" t="s">
        <v>209</v>
      </c>
      <c r="B107" s="5">
        <v>45868</v>
      </c>
      <c r="C107" t="s">
        <v>88</v>
      </c>
      <c r="D107" t="s">
        <v>57</v>
      </c>
      <c r="E107" s="9">
        <v>3</v>
      </c>
      <c r="F107" s="10">
        <v>30</v>
      </c>
      <c r="G107" s="11">
        <v>0.02</v>
      </c>
      <c r="H107" s="10">
        <v>88.2</v>
      </c>
      <c r="I107" s="9">
        <v>0</v>
      </c>
      <c r="J107" s="10">
        <v>0</v>
      </c>
      <c r="K107" s="9">
        <v>3</v>
      </c>
      <c r="L107" s="10">
        <v>88.2</v>
      </c>
      <c r="M107" s="10">
        <v>56.1</v>
      </c>
      <c r="N107" s="10">
        <v>32.1</v>
      </c>
      <c r="O107" s="11">
        <f t="shared" si="6"/>
        <v>0.36394557823129253</v>
      </c>
      <c r="P107" s="10">
        <v>5.89</v>
      </c>
      <c r="Q107" s="10">
        <v>26.21</v>
      </c>
      <c r="R107" s="11">
        <f t="shared" si="7"/>
        <v>0.29716553287981862</v>
      </c>
      <c r="S107" t="s">
        <v>81</v>
      </c>
      <c r="T107" t="s">
        <v>86</v>
      </c>
      <c r="U107" t="s">
        <v>71</v>
      </c>
    </row>
    <row r="108" spans="1:21" x14ac:dyDescent="0.35">
      <c r="A108" t="s">
        <v>210</v>
      </c>
      <c r="B108" s="5">
        <v>45832</v>
      </c>
      <c r="C108" t="s">
        <v>107</v>
      </c>
      <c r="D108" t="s">
        <v>74</v>
      </c>
      <c r="E108" s="9">
        <v>1</v>
      </c>
      <c r="F108" s="10">
        <v>125</v>
      </c>
      <c r="G108" s="11">
        <v>0</v>
      </c>
      <c r="H108" s="10">
        <v>125</v>
      </c>
      <c r="I108" s="9">
        <v>0</v>
      </c>
      <c r="J108" s="10">
        <v>0</v>
      </c>
      <c r="K108" s="9">
        <v>1</v>
      </c>
      <c r="L108" s="10">
        <v>125</v>
      </c>
      <c r="M108" s="10">
        <v>94.45</v>
      </c>
      <c r="N108" s="10">
        <v>30.55</v>
      </c>
      <c r="O108" s="11">
        <f t="shared" si="6"/>
        <v>0.24440000000000001</v>
      </c>
      <c r="P108" s="10">
        <v>14.01</v>
      </c>
      <c r="Q108" s="10">
        <v>16.54</v>
      </c>
      <c r="R108" s="11">
        <f t="shared" si="7"/>
        <v>0.13231999999999999</v>
      </c>
      <c r="S108" t="s">
        <v>81</v>
      </c>
      <c r="T108" t="s">
        <v>82</v>
      </c>
      <c r="U108" t="s">
        <v>71</v>
      </c>
    </row>
    <row r="109" spans="1:21" x14ac:dyDescent="0.35">
      <c r="A109" t="s">
        <v>211</v>
      </c>
      <c r="B109" s="5">
        <v>46016</v>
      </c>
      <c r="C109" t="s">
        <v>107</v>
      </c>
      <c r="D109" t="s">
        <v>74</v>
      </c>
      <c r="E109" s="9">
        <v>2</v>
      </c>
      <c r="F109" s="10">
        <v>125</v>
      </c>
      <c r="G109" s="11">
        <v>0.02</v>
      </c>
      <c r="H109" s="10">
        <v>245</v>
      </c>
      <c r="I109" s="9">
        <v>0</v>
      </c>
      <c r="J109" s="10">
        <v>0</v>
      </c>
      <c r="K109" s="9">
        <v>2</v>
      </c>
      <c r="L109" s="10">
        <v>245</v>
      </c>
      <c r="M109" s="10">
        <v>161.03</v>
      </c>
      <c r="N109" s="10">
        <v>83.97</v>
      </c>
      <c r="O109" s="11">
        <f t="shared" si="6"/>
        <v>0.34273469387755101</v>
      </c>
      <c r="P109" s="10">
        <v>29.14</v>
      </c>
      <c r="Q109" s="10">
        <v>54.83</v>
      </c>
      <c r="R109" s="11">
        <f t="shared" si="7"/>
        <v>0.22379591836734694</v>
      </c>
      <c r="S109" t="s">
        <v>59</v>
      </c>
      <c r="T109" t="s">
        <v>86</v>
      </c>
      <c r="U109" t="s">
        <v>71</v>
      </c>
    </row>
    <row r="110" spans="1:21" x14ac:dyDescent="0.35">
      <c r="A110" t="s">
        <v>212</v>
      </c>
      <c r="B110" s="5">
        <v>46006</v>
      </c>
      <c r="C110" t="s">
        <v>84</v>
      </c>
      <c r="D110" t="s">
        <v>85</v>
      </c>
      <c r="E110" s="9">
        <v>6</v>
      </c>
      <c r="F110" s="10">
        <v>48</v>
      </c>
      <c r="G110" s="11">
        <v>0</v>
      </c>
      <c r="H110" s="10">
        <v>288</v>
      </c>
      <c r="I110" s="9">
        <v>0</v>
      </c>
      <c r="J110" s="10">
        <v>0</v>
      </c>
      <c r="K110" s="9">
        <v>6</v>
      </c>
      <c r="L110" s="10">
        <v>288</v>
      </c>
      <c r="M110" s="10">
        <v>233.91</v>
      </c>
      <c r="N110" s="10">
        <v>54.09</v>
      </c>
      <c r="O110" s="11">
        <f t="shared" si="6"/>
        <v>0.18781250000000002</v>
      </c>
      <c r="P110" s="10">
        <v>33.75</v>
      </c>
      <c r="Q110" s="10">
        <v>20.34</v>
      </c>
      <c r="R110" s="11">
        <f t="shared" si="7"/>
        <v>7.0624999999999993E-2</v>
      </c>
      <c r="S110" t="s">
        <v>65</v>
      </c>
      <c r="T110" t="s">
        <v>66</v>
      </c>
      <c r="U110" t="s">
        <v>67</v>
      </c>
    </row>
    <row r="111" spans="1:21" x14ac:dyDescent="0.35">
      <c r="A111" t="s">
        <v>213</v>
      </c>
      <c r="B111" s="5">
        <v>45724</v>
      </c>
      <c r="C111" t="s">
        <v>95</v>
      </c>
      <c r="D111" t="s">
        <v>64</v>
      </c>
      <c r="E111" s="9">
        <v>2</v>
      </c>
      <c r="F111" s="10">
        <v>52</v>
      </c>
      <c r="G111" s="11">
        <v>0.02</v>
      </c>
      <c r="H111" s="10">
        <v>101.92</v>
      </c>
      <c r="I111" s="9">
        <v>0</v>
      </c>
      <c r="J111" s="10">
        <v>0</v>
      </c>
      <c r="K111" s="9">
        <v>2</v>
      </c>
      <c r="L111" s="10">
        <v>101.92</v>
      </c>
      <c r="M111" s="10">
        <v>63.67</v>
      </c>
      <c r="N111" s="10">
        <v>38.25</v>
      </c>
      <c r="O111" s="11">
        <f t="shared" si="6"/>
        <v>0.37529434850863419</v>
      </c>
      <c r="P111" s="10">
        <v>11.62</v>
      </c>
      <c r="Q111" s="10">
        <v>26.63</v>
      </c>
      <c r="R111" s="11">
        <f t="shared" si="7"/>
        <v>0.2612833594976452</v>
      </c>
      <c r="S111" t="s">
        <v>59</v>
      </c>
      <c r="T111" t="s">
        <v>66</v>
      </c>
      <c r="U111" t="s">
        <v>61</v>
      </c>
    </row>
    <row r="112" spans="1:21" x14ac:dyDescent="0.35">
      <c r="A112" t="s">
        <v>214</v>
      </c>
      <c r="B112" s="5">
        <v>45822</v>
      </c>
      <c r="C112" t="s">
        <v>73</v>
      </c>
      <c r="D112" t="s">
        <v>74</v>
      </c>
      <c r="E112" s="9">
        <v>4</v>
      </c>
      <c r="F112" s="10">
        <v>280</v>
      </c>
      <c r="G112" s="11">
        <v>0.05</v>
      </c>
      <c r="H112" s="10">
        <v>1064</v>
      </c>
      <c r="I112" s="9">
        <v>0</v>
      </c>
      <c r="J112" s="10">
        <v>0</v>
      </c>
      <c r="K112" s="9">
        <v>4</v>
      </c>
      <c r="L112" s="10">
        <v>1064</v>
      </c>
      <c r="M112" s="10">
        <v>912.16</v>
      </c>
      <c r="N112" s="10">
        <v>151.84</v>
      </c>
      <c r="O112" s="11">
        <f t="shared" si="6"/>
        <v>0.14270676691729323</v>
      </c>
      <c r="P112" s="10">
        <v>121.88</v>
      </c>
      <c r="Q112" s="10">
        <v>29.96</v>
      </c>
      <c r="R112" s="11">
        <f t="shared" si="7"/>
        <v>2.8157894736842107E-2</v>
      </c>
      <c r="S112" t="s">
        <v>81</v>
      </c>
      <c r="T112" t="s">
        <v>66</v>
      </c>
      <c r="U112" t="s">
        <v>71</v>
      </c>
    </row>
    <row r="113" spans="1:21" x14ac:dyDescent="0.35">
      <c r="A113" t="s">
        <v>215</v>
      </c>
      <c r="B113" s="5">
        <v>45693</v>
      </c>
      <c r="C113" t="s">
        <v>117</v>
      </c>
      <c r="D113" t="s">
        <v>74</v>
      </c>
      <c r="E113" s="9">
        <v>1</v>
      </c>
      <c r="F113" s="10">
        <v>95</v>
      </c>
      <c r="G113" s="11">
        <v>0.02</v>
      </c>
      <c r="H113" s="10">
        <v>93.1</v>
      </c>
      <c r="I113" s="9">
        <v>0</v>
      </c>
      <c r="J113" s="10">
        <v>0</v>
      </c>
      <c r="K113" s="9">
        <v>1</v>
      </c>
      <c r="L113" s="10">
        <v>93.1</v>
      </c>
      <c r="M113" s="10">
        <v>74.17</v>
      </c>
      <c r="N113" s="10">
        <v>18.93</v>
      </c>
      <c r="O113" s="11">
        <f t="shared" si="6"/>
        <v>0.20332975295381311</v>
      </c>
      <c r="P113" s="10">
        <v>5.57</v>
      </c>
      <c r="Q113" s="10">
        <v>13.36</v>
      </c>
      <c r="R113" s="11">
        <f t="shared" si="7"/>
        <v>0.14350161117078411</v>
      </c>
      <c r="S113" t="s">
        <v>75</v>
      </c>
      <c r="T113" t="s">
        <v>86</v>
      </c>
      <c r="U113" t="s">
        <v>71</v>
      </c>
    </row>
    <row r="114" spans="1:21" x14ac:dyDescent="0.35">
      <c r="A114" t="s">
        <v>216</v>
      </c>
      <c r="B114" s="5">
        <v>45776</v>
      </c>
      <c r="C114" t="s">
        <v>100</v>
      </c>
      <c r="D114" t="s">
        <v>64</v>
      </c>
      <c r="E114" s="9">
        <v>6</v>
      </c>
      <c r="F114" s="10">
        <v>310</v>
      </c>
      <c r="G114" s="11">
        <v>0.02</v>
      </c>
      <c r="H114" s="10">
        <v>1822.8</v>
      </c>
      <c r="I114" s="9">
        <v>0</v>
      </c>
      <c r="J114" s="10">
        <v>0</v>
      </c>
      <c r="K114" s="9">
        <v>6</v>
      </c>
      <c r="L114" s="10">
        <v>1822.8</v>
      </c>
      <c r="M114" s="10">
        <v>1277.07</v>
      </c>
      <c r="N114" s="10">
        <v>545.73</v>
      </c>
      <c r="O114" s="11">
        <f t="shared" si="6"/>
        <v>0.2993910467412772</v>
      </c>
      <c r="P114" s="10">
        <v>144.08000000000001</v>
      </c>
      <c r="Q114" s="10">
        <v>401.65</v>
      </c>
      <c r="R114" s="11">
        <f t="shared" si="7"/>
        <v>0.22034781654597321</v>
      </c>
      <c r="S114" t="s">
        <v>65</v>
      </c>
      <c r="T114" t="s">
        <v>86</v>
      </c>
      <c r="U114" t="s">
        <v>67</v>
      </c>
    </row>
    <row r="115" spans="1:21" x14ac:dyDescent="0.35">
      <c r="A115" t="s">
        <v>217</v>
      </c>
      <c r="B115" s="5">
        <v>45999</v>
      </c>
      <c r="C115" t="s">
        <v>125</v>
      </c>
      <c r="D115" t="s">
        <v>85</v>
      </c>
      <c r="E115" s="9">
        <v>2</v>
      </c>
      <c r="F115" s="10">
        <v>125</v>
      </c>
      <c r="G115" s="11">
        <v>0.02</v>
      </c>
      <c r="H115" s="10">
        <v>245</v>
      </c>
      <c r="I115" s="9">
        <v>0</v>
      </c>
      <c r="J115" s="10">
        <v>0</v>
      </c>
      <c r="K115" s="9">
        <v>2</v>
      </c>
      <c r="L115" s="10">
        <v>245</v>
      </c>
      <c r="M115" s="10">
        <v>177.54</v>
      </c>
      <c r="N115" s="10">
        <v>67.459999999999994</v>
      </c>
      <c r="O115" s="11">
        <f t="shared" si="6"/>
        <v>0.2753469387755102</v>
      </c>
      <c r="P115" s="10">
        <v>30.84</v>
      </c>
      <c r="Q115" s="10">
        <v>36.619999999999997</v>
      </c>
      <c r="R115" s="11">
        <f t="shared" si="7"/>
        <v>0.14946938775510202</v>
      </c>
      <c r="S115" t="s">
        <v>65</v>
      </c>
      <c r="T115" t="s">
        <v>86</v>
      </c>
      <c r="U115" t="s">
        <v>67</v>
      </c>
    </row>
    <row r="116" spans="1:21" x14ac:dyDescent="0.35">
      <c r="A116" t="s">
        <v>218</v>
      </c>
      <c r="B116" s="5">
        <v>45866</v>
      </c>
      <c r="C116" t="s">
        <v>84</v>
      </c>
      <c r="D116" t="s">
        <v>85</v>
      </c>
      <c r="E116" s="9">
        <v>3</v>
      </c>
      <c r="F116" s="10">
        <v>48</v>
      </c>
      <c r="G116" s="11">
        <v>0.15</v>
      </c>
      <c r="H116" s="10">
        <v>122.4</v>
      </c>
      <c r="I116" s="9">
        <v>0</v>
      </c>
      <c r="J116" s="10">
        <v>0</v>
      </c>
      <c r="K116" s="9">
        <v>3</v>
      </c>
      <c r="L116" s="10">
        <v>122.4</v>
      </c>
      <c r="M116" s="10">
        <v>89.73</v>
      </c>
      <c r="N116" s="10">
        <v>32.67</v>
      </c>
      <c r="O116" s="11">
        <f t="shared" si="6"/>
        <v>0.26691176470588235</v>
      </c>
      <c r="P116" s="10">
        <v>10.87</v>
      </c>
      <c r="Q116" s="10">
        <v>21.8</v>
      </c>
      <c r="R116" s="11">
        <f t="shared" si="7"/>
        <v>0.1781045751633987</v>
      </c>
      <c r="S116" t="s">
        <v>81</v>
      </c>
      <c r="T116" t="s">
        <v>66</v>
      </c>
      <c r="U116" t="s">
        <v>61</v>
      </c>
    </row>
    <row r="117" spans="1:21" x14ac:dyDescent="0.35">
      <c r="A117" t="s">
        <v>219</v>
      </c>
      <c r="B117" s="5">
        <v>45686</v>
      </c>
      <c r="C117" t="s">
        <v>100</v>
      </c>
      <c r="D117" t="s">
        <v>64</v>
      </c>
      <c r="E117" s="9">
        <v>4</v>
      </c>
      <c r="F117" s="10">
        <v>310</v>
      </c>
      <c r="G117" s="11">
        <v>0</v>
      </c>
      <c r="H117" s="10">
        <v>1240</v>
      </c>
      <c r="I117" s="9">
        <v>0</v>
      </c>
      <c r="J117" s="10">
        <v>0</v>
      </c>
      <c r="K117" s="9">
        <v>4</v>
      </c>
      <c r="L117" s="10">
        <v>1240</v>
      </c>
      <c r="M117" s="10">
        <v>810.27</v>
      </c>
      <c r="N117" s="10">
        <v>429.73</v>
      </c>
      <c r="O117" s="11">
        <f t="shared" si="6"/>
        <v>0.34655645161290322</v>
      </c>
      <c r="P117" s="10">
        <v>159.65</v>
      </c>
      <c r="Q117" s="10">
        <v>270.08</v>
      </c>
      <c r="R117" s="11">
        <f t="shared" si="7"/>
        <v>0.21780645161290321</v>
      </c>
      <c r="S117" t="s">
        <v>75</v>
      </c>
      <c r="T117" t="s">
        <v>82</v>
      </c>
      <c r="U117" t="s">
        <v>76</v>
      </c>
    </row>
    <row r="118" spans="1:21" x14ac:dyDescent="0.35">
      <c r="A118" t="s">
        <v>220</v>
      </c>
      <c r="B118" s="5">
        <v>45674</v>
      </c>
      <c r="C118" t="s">
        <v>125</v>
      </c>
      <c r="D118" t="s">
        <v>85</v>
      </c>
      <c r="E118" s="9">
        <v>1</v>
      </c>
      <c r="F118" s="10">
        <v>125</v>
      </c>
      <c r="G118" s="11">
        <v>0.1</v>
      </c>
      <c r="H118" s="10">
        <v>112.5</v>
      </c>
      <c r="I118" s="9">
        <v>0</v>
      </c>
      <c r="J118" s="10">
        <v>0</v>
      </c>
      <c r="K118" s="9">
        <v>1</v>
      </c>
      <c r="L118" s="10">
        <v>112.5</v>
      </c>
      <c r="M118" s="10">
        <v>72.930000000000007</v>
      </c>
      <c r="N118" s="10">
        <v>39.57</v>
      </c>
      <c r="O118" s="11">
        <f t="shared" si="6"/>
        <v>0.35173333333333334</v>
      </c>
      <c r="P118" s="10">
        <v>8.09</v>
      </c>
      <c r="Q118" s="10">
        <v>31.48</v>
      </c>
      <c r="R118" s="11">
        <f t="shared" si="7"/>
        <v>0.27982222222222225</v>
      </c>
      <c r="S118" t="s">
        <v>75</v>
      </c>
      <c r="T118" t="s">
        <v>66</v>
      </c>
      <c r="U118" t="s">
        <v>71</v>
      </c>
    </row>
    <row r="119" spans="1:21" x14ac:dyDescent="0.35">
      <c r="A119" t="s">
        <v>221</v>
      </c>
      <c r="B119" s="5">
        <v>45825</v>
      </c>
      <c r="C119" t="s">
        <v>69</v>
      </c>
      <c r="D119" t="s">
        <v>70</v>
      </c>
      <c r="E119" s="9">
        <v>1</v>
      </c>
      <c r="F119" s="10">
        <v>210</v>
      </c>
      <c r="G119" s="11">
        <v>0</v>
      </c>
      <c r="H119" s="10">
        <v>210</v>
      </c>
      <c r="I119" s="9">
        <v>0</v>
      </c>
      <c r="J119" s="10">
        <v>0</v>
      </c>
      <c r="K119" s="9">
        <v>1</v>
      </c>
      <c r="L119" s="10">
        <v>210</v>
      </c>
      <c r="M119" s="10">
        <v>137.1</v>
      </c>
      <c r="N119" s="10">
        <v>72.900000000000006</v>
      </c>
      <c r="O119" s="11">
        <f t="shared" si="6"/>
        <v>0.3471428571428572</v>
      </c>
      <c r="P119" s="10">
        <v>25.18</v>
      </c>
      <c r="Q119" s="10">
        <v>47.72</v>
      </c>
      <c r="R119" s="11">
        <f t="shared" si="7"/>
        <v>0.22723809523809524</v>
      </c>
      <c r="S119" t="s">
        <v>81</v>
      </c>
      <c r="T119" t="s">
        <v>86</v>
      </c>
      <c r="U119" t="s">
        <v>67</v>
      </c>
    </row>
    <row r="120" spans="1:21" x14ac:dyDescent="0.35">
      <c r="A120" t="s">
        <v>222</v>
      </c>
      <c r="B120" s="5">
        <v>45787</v>
      </c>
      <c r="C120" t="s">
        <v>56</v>
      </c>
      <c r="D120" t="s">
        <v>57</v>
      </c>
      <c r="E120" s="9">
        <v>3</v>
      </c>
      <c r="F120" s="10">
        <v>40</v>
      </c>
      <c r="G120" s="11">
        <v>0.05</v>
      </c>
      <c r="H120" s="10">
        <v>114</v>
      </c>
      <c r="I120" s="9">
        <v>0</v>
      </c>
      <c r="J120" s="10">
        <v>0</v>
      </c>
      <c r="K120" s="9">
        <v>3</v>
      </c>
      <c r="L120" s="10">
        <v>114</v>
      </c>
      <c r="M120" s="10">
        <v>81.739999999999995</v>
      </c>
      <c r="N120" s="10">
        <v>32.26</v>
      </c>
      <c r="O120" s="11">
        <f t="shared" si="6"/>
        <v>0.28298245614035084</v>
      </c>
      <c r="P120" s="10">
        <v>9.5500000000000007</v>
      </c>
      <c r="Q120" s="10">
        <v>22.71</v>
      </c>
      <c r="R120" s="11">
        <f t="shared" si="7"/>
        <v>0.19921052631578948</v>
      </c>
      <c r="S120" t="s">
        <v>65</v>
      </c>
      <c r="T120" t="s">
        <v>82</v>
      </c>
      <c r="U120" t="s">
        <v>76</v>
      </c>
    </row>
    <row r="121" spans="1:21" x14ac:dyDescent="0.35">
      <c r="A121" t="s">
        <v>223</v>
      </c>
      <c r="B121" s="5">
        <v>45821</v>
      </c>
      <c r="C121" t="s">
        <v>114</v>
      </c>
      <c r="D121" t="s">
        <v>64</v>
      </c>
      <c r="E121" s="9">
        <v>1</v>
      </c>
      <c r="F121" s="10">
        <v>420</v>
      </c>
      <c r="G121" s="11">
        <v>0.02</v>
      </c>
      <c r="H121" s="10">
        <v>411.6</v>
      </c>
      <c r="I121" s="9">
        <v>0</v>
      </c>
      <c r="J121" s="10">
        <v>0</v>
      </c>
      <c r="K121" s="9">
        <v>1</v>
      </c>
      <c r="L121" s="10">
        <v>411.6</v>
      </c>
      <c r="M121" s="10">
        <v>279.43</v>
      </c>
      <c r="N121" s="10">
        <v>132.16999999999999</v>
      </c>
      <c r="O121" s="11">
        <f t="shared" si="6"/>
        <v>0.32111273080660829</v>
      </c>
      <c r="P121" s="10">
        <v>30.09</v>
      </c>
      <c r="Q121" s="10">
        <v>102.08</v>
      </c>
      <c r="R121" s="11">
        <f t="shared" si="7"/>
        <v>0.24800777453838677</v>
      </c>
      <c r="S121" t="s">
        <v>75</v>
      </c>
      <c r="T121" t="s">
        <v>60</v>
      </c>
      <c r="U121" t="s">
        <v>76</v>
      </c>
    </row>
    <row r="122" spans="1:21" x14ac:dyDescent="0.35">
      <c r="A122" t="s">
        <v>224</v>
      </c>
      <c r="B122" s="5">
        <v>45946</v>
      </c>
      <c r="C122" t="s">
        <v>88</v>
      </c>
      <c r="D122" t="s">
        <v>57</v>
      </c>
      <c r="E122" s="9">
        <v>3</v>
      </c>
      <c r="F122" s="10">
        <v>30</v>
      </c>
      <c r="G122" s="11">
        <v>0</v>
      </c>
      <c r="H122" s="10">
        <v>90</v>
      </c>
      <c r="I122" s="9">
        <v>0</v>
      </c>
      <c r="J122" s="10">
        <v>0</v>
      </c>
      <c r="K122" s="9">
        <v>3</v>
      </c>
      <c r="L122" s="10">
        <v>90</v>
      </c>
      <c r="M122" s="10">
        <v>70.14</v>
      </c>
      <c r="N122" s="10">
        <v>19.86</v>
      </c>
      <c r="O122" s="11">
        <f t="shared" si="6"/>
        <v>0.22066666666666665</v>
      </c>
      <c r="P122" s="10">
        <v>9.77</v>
      </c>
      <c r="Q122" s="10">
        <v>10.09</v>
      </c>
      <c r="R122" s="11">
        <f t="shared" si="7"/>
        <v>0.11211111111111111</v>
      </c>
      <c r="S122" t="s">
        <v>81</v>
      </c>
      <c r="T122" t="s">
        <v>86</v>
      </c>
      <c r="U122" t="s">
        <v>76</v>
      </c>
    </row>
    <row r="123" spans="1:21" x14ac:dyDescent="0.35">
      <c r="A123" t="s">
        <v>225</v>
      </c>
      <c r="B123" s="5">
        <v>45858</v>
      </c>
      <c r="C123" t="s">
        <v>104</v>
      </c>
      <c r="D123" t="s">
        <v>105</v>
      </c>
      <c r="E123" s="9">
        <v>1</v>
      </c>
      <c r="F123" s="10">
        <v>65</v>
      </c>
      <c r="G123" s="11">
        <v>0.05</v>
      </c>
      <c r="H123" s="10">
        <v>61.75</v>
      </c>
      <c r="I123" s="9">
        <v>0</v>
      </c>
      <c r="J123" s="10">
        <v>0</v>
      </c>
      <c r="K123" s="9">
        <v>1</v>
      </c>
      <c r="L123" s="10">
        <v>61.75</v>
      </c>
      <c r="M123" s="10">
        <v>50.83</v>
      </c>
      <c r="N123" s="10">
        <v>10.92</v>
      </c>
      <c r="O123" s="11">
        <f t="shared" si="6"/>
        <v>0.17684210526315788</v>
      </c>
      <c r="P123" s="10">
        <v>3.85</v>
      </c>
      <c r="Q123" s="10">
        <v>7.07</v>
      </c>
      <c r="R123" s="11">
        <f t="shared" si="7"/>
        <v>0.11449392712550607</v>
      </c>
      <c r="S123" t="s">
        <v>81</v>
      </c>
      <c r="T123" t="s">
        <v>82</v>
      </c>
      <c r="U123" t="s">
        <v>67</v>
      </c>
    </row>
    <row r="124" spans="1:21" x14ac:dyDescent="0.35">
      <c r="A124" t="s">
        <v>227</v>
      </c>
      <c r="B124" s="5">
        <v>45696</v>
      </c>
      <c r="C124" t="s">
        <v>97</v>
      </c>
      <c r="D124" t="s">
        <v>57</v>
      </c>
      <c r="E124" s="9">
        <v>1</v>
      </c>
      <c r="F124" s="10">
        <v>55</v>
      </c>
      <c r="G124" s="11">
        <v>0.05</v>
      </c>
      <c r="H124" s="10">
        <v>52.25</v>
      </c>
      <c r="I124" s="9">
        <v>0</v>
      </c>
      <c r="J124" s="10">
        <v>0</v>
      </c>
      <c r="K124" s="9">
        <v>1</v>
      </c>
      <c r="L124" s="10">
        <v>52.25</v>
      </c>
      <c r="M124" s="10">
        <v>38.61</v>
      </c>
      <c r="N124" s="10">
        <v>13.64</v>
      </c>
      <c r="O124" s="11">
        <f t="shared" si="6"/>
        <v>0.26105263157894737</v>
      </c>
      <c r="P124" s="10">
        <v>4.43</v>
      </c>
      <c r="Q124" s="10">
        <v>9.2100000000000009</v>
      </c>
      <c r="R124" s="11">
        <f t="shared" si="7"/>
        <v>0.17626794258373207</v>
      </c>
      <c r="S124" t="s">
        <v>59</v>
      </c>
      <c r="T124" t="s">
        <v>60</v>
      </c>
      <c r="U124" t="s">
        <v>71</v>
      </c>
    </row>
    <row r="125" spans="1:21" x14ac:dyDescent="0.35">
      <c r="A125" t="s">
        <v>228</v>
      </c>
      <c r="B125" s="5">
        <v>45962</v>
      </c>
      <c r="C125" t="s">
        <v>125</v>
      </c>
      <c r="D125" t="s">
        <v>85</v>
      </c>
      <c r="E125" s="9">
        <v>1</v>
      </c>
      <c r="F125" s="10">
        <v>125</v>
      </c>
      <c r="G125" s="11">
        <v>0.15</v>
      </c>
      <c r="H125" s="10">
        <v>106.25</v>
      </c>
      <c r="I125" s="9">
        <v>0</v>
      </c>
      <c r="J125" s="10">
        <v>0</v>
      </c>
      <c r="K125" s="9">
        <v>1</v>
      </c>
      <c r="L125" s="10">
        <v>106.25</v>
      </c>
      <c r="M125" s="10">
        <v>66.010000000000005</v>
      </c>
      <c r="N125" s="10">
        <v>40.24</v>
      </c>
      <c r="O125" s="11">
        <f t="shared" si="6"/>
        <v>0.37872941176470593</v>
      </c>
      <c r="P125" s="10">
        <v>7.99</v>
      </c>
      <c r="Q125" s="10">
        <v>32.25</v>
      </c>
      <c r="R125" s="11">
        <f t="shared" si="7"/>
        <v>0.30352941176470588</v>
      </c>
      <c r="S125" t="s">
        <v>75</v>
      </c>
      <c r="T125" t="s">
        <v>66</v>
      </c>
      <c r="U125" t="s">
        <v>71</v>
      </c>
    </row>
    <row r="126" spans="1:21" x14ac:dyDescent="0.35">
      <c r="A126" t="s">
        <v>229</v>
      </c>
      <c r="B126" s="5">
        <v>45872</v>
      </c>
      <c r="C126" t="s">
        <v>107</v>
      </c>
      <c r="D126" t="s">
        <v>74</v>
      </c>
      <c r="E126" s="9">
        <v>1</v>
      </c>
      <c r="F126" s="10">
        <v>125</v>
      </c>
      <c r="G126" s="11">
        <v>0</v>
      </c>
      <c r="H126" s="10">
        <v>125</v>
      </c>
      <c r="I126" s="9">
        <v>0</v>
      </c>
      <c r="J126" s="10">
        <v>0</v>
      </c>
      <c r="K126" s="9">
        <v>1</v>
      </c>
      <c r="L126" s="10">
        <v>125</v>
      </c>
      <c r="M126" s="10">
        <v>103.69</v>
      </c>
      <c r="N126" s="10">
        <v>21.31</v>
      </c>
      <c r="O126" s="11">
        <f t="shared" si="6"/>
        <v>0.17047999999999999</v>
      </c>
      <c r="P126" s="10">
        <v>14.32</v>
      </c>
      <c r="Q126" s="10">
        <v>6.99</v>
      </c>
      <c r="R126" s="11">
        <f t="shared" si="7"/>
        <v>5.5920000000000004E-2</v>
      </c>
      <c r="S126" t="s">
        <v>75</v>
      </c>
      <c r="T126" t="s">
        <v>82</v>
      </c>
      <c r="U126" t="s">
        <v>61</v>
      </c>
    </row>
    <row r="127" spans="1:21" x14ac:dyDescent="0.35">
      <c r="A127" t="s">
        <v>230</v>
      </c>
      <c r="B127" s="5">
        <v>45683</v>
      </c>
      <c r="C127" t="s">
        <v>109</v>
      </c>
      <c r="D127" t="s">
        <v>85</v>
      </c>
      <c r="E127" s="9">
        <v>10</v>
      </c>
      <c r="F127" s="10">
        <v>180</v>
      </c>
      <c r="G127" s="11">
        <v>0.1</v>
      </c>
      <c r="H127" s="10">
        <v>1620</v>
      </c>
      <c r="I127" s="9">
        <v>0</v>
      </c>
      <c r="J127" s="10">
        <v>0</v>
      </c>
      <c r="K127" s="9">
        <v>10</v>
      </c>
      <c r="L127" s="10">
        <v>1620</v>
      </c>
      <c r="M127" s="10">
        <v>1255.82</v>
      </c>
      <c r="N127" s="10">
        <v>364.18</v>
      </c>
      <c r="O127" s="11">
        <f t="shared" si="6"/>
        <v>0.22480246913580249</v>
      </c>
      <c r="P127" s="10">
        <v>87.69</v>
      </c>
      <c r="Q127" s="10">
        <v>276.49</v>
      </c>
      <c r="R127" s="11">
        <f t="shared" si="7"/>
        <v>0.17067283950617285</v>
      </c>
      <c r="S127" t="s">
        <v>59</v>
      </c>
      <c r="T127" t="s">
        <v>86</v>
      </c>
      <c r="U127" t="s">
        <v>71</v>
      </c>
    </row>
    <row r="128" spans="1:21" x14ac:dyDescent="0.35">
      <c r="A128" t="s">
        <v>231</v>
      </c>
      <c r="B128" s="5">
        <v>45774</v>
      </c>
      <c r="C128" t="s">
        <v>117</v>
      </c>
      <c r="D128" t="s">
        <v>74</v>
      </c>
      <c r="E128" s="9">
        <v>8</v>
      </c>
      <c r="F128" s="10">
        <v>95</v>
      </c>
      <c r="G128" s="11">
        <v>0</v>
      </c>
      <c r="H128" s="10">
        <v>760</v>
      </c>
      <c r="I128" s="9">
        <v>0</v>
      </c>
      <c r="J128" s="10">
        <v>0</v>
      </c>
      <c r="K128" s="9">
        <v>8</v>
      </c>
      <c r="L128" s="10">
        <v>760</v>
      </c>
      <c r="M128" s="10">
        <v>574.79</v>
      </c>
      <c r="N128" s="10">
        <v>185.21</v>
      </c>
      <c r="O128" s="11">
        <f t="shared" si="6"/>
        <v>0.24369736842105263</v>
      </c>
      <c r="P128" s="10">
        <v>40.06</v>
      </c>
      <c r="Q128" s="10">
        <v>145.15</v>
      </c>
      <c r="R128" s="11">
        <f t="shared" si="7"/>
        <v>0.19098684210526318</v>
      </c>
      <c r="S128" t="s">
        <v>59</v>
      </c>
      <c r="T128" t="s">
        <v>66</v>
      </c>
      <c r="U128" t="s">
        <v>76</v>
      </c>
    </row>
    <row r="129" spans="1:21" x14ac:dyDescent="0.35">
      <c r="A129" t="s">
        <v>232</v>
      </c>
      <c r="B129" s="5">
        <v>45760</v>
      </c>
      <c r="C129" t="s">
        <v>117</v>
      </c>
      <c r="D129" t="s">
        <v>74</v>
      </c>
      <c r="E129" s="9">
        <v>1</v>
      </c>
      <c r="F129" s="10">
        <v>95</v>
      </c>
      <c r="G129" s="11">
        <v>0</v>
      </c>
      <c r="H129" s="10">
        <v>95</v>
      </c>
      <c r="I129" s="9">
        <v>0</v>
      </c>
      <c r="J129" s="10">
        <v>0</v>
      </c>
      <c r="K129" s="9">
        <v>1</v>
      </c>
      <c r="L129" s="10">
        <v>95</v>
      </c>
      <c r="M129" s="10">
        <v>77.03</v>
      </c>
      <c r="N129" s="10">
        <v>17.97</v>
      </c>
      <c r="O129" s="11">
        <f t="shared" si="6"/>
        <v>0.18915789473684208</v>
      </c>
      <c r="P129" s="10">
        <v>5.17</v>
      </c>
      <c r="Q129" s="10">
        <v>12.8</v>
      </c>
      <c r="R129" s="11">
        <f t="shared" si="7"/>
        <v>0.13473684210526315</v>
      </c>
      <c r="S129" t="s">
        <v>75</v>
      </c>
      <c r="T129" t="s">
        <v>82</v>
      </c>
      <c r="U129" t="s">
        <v>76</v>
      </c>
    </row>
    <row r="130" spans="1:21" x14ac:dyDescent="0.35">
      <c r="A130" t="s">
        <v>233</v>
      </c>
      <c r="B130" s="5">
        <v>46021</v>
      </c>
      <c r="C130" t="s">
        <v>95</v>
      </c>
      <c r="D130" t="s">
        <v>64</v>
      </c>
      <c r="E130" s="9">
        <v>3</v>
      </c>
      <c r="F130" s="10">
        <v>52</v>
      </c>
      <c r="G130" s="11">
        <v>0</v>
      </c>
      <c r="H130" s="10">
        <v>156</v>
      </c>
      <c r="I130" s="9">
        <v>0</v>
      </c>
      <c r="J130" s="10">
        <v>0</v>
      </c>
      <c r="K130" s="9">
        <v>3</v>
      </c>
      <c r="L130" s="10">
        <v>156</v>
      </c>
      <c r="M130" s="10">
        <v>129.85</v>
      </c>
      <c r="N130" s="10">
        <v>26.15</v>
      </c>
      <c r="O130" s="11">
        <f t="shared" si="6"/>
        <v>0.16762820512820512</v>
      </c>
      <c r="P130" s="10">
        <v>13.3</v>
      </c>
      <c r="Q130" s="10">
        <v>12.85</v>
      </c>
      <c r="R130" s="11">
        <f t="shared" si="7"/>
        <v>8.2371794871794871E-2</v>
      </c>
      <c r="S130" t="s">
        <v>59</v>
      </c>
      <c r="T130" t="s">
        <v>60</v>
      </c>
      <c r="U130" t="s">
        <v>61</v>
      </c>
    </row>
    <row r="131" spans="1:21" x14ac:dyDescent="0.35">
      <c r="A131" t="s">
        <v>234</v>
      </c>
      <c r="B131" s="5">
        <v>45765</v>
      </c>
      <c r="C131" t="s">
        <v>107</v>
      </c>
      <c r="D131" t="s">
        <v>74</v>
      </c>
      <c r="E131" s="9">
        <v>3</v>
      </c>
      <c r="F131" s="10">
        <v>125</v>
      </c>
      <c r="G131" s="11">
        <v>0.02</v>
      </c>
      <c r="H131" s="10">
        <v>367.5</v>
      </c>
      <c r="I131" s="9">
        <v>0</v>
      </c>
      <c r="J131" s="10">
        <v>0</v>
      </c>
      <c r="K131" s="9">
        <v>3</v>
      </c>
      <c r="L131" s="10">
        <v>367.5</v>
      </c>
      <c r="M131" s="10">
        <v>292.93</v>
      </c>
      <c r="N131" s="10">
        <v>74.569999999999993</v>
      </c>
      <c r="O131" s="11">
        <f t="shared" si="6"/>
        <v>0.20291156462585033</v>
      </c>
      <c r="P131" s="10">
        <v>30.92</v>
      </c>
      <c r="Q131" s="10">
        <v>43.65</v>
      </c>
      <c r="R131" s="11">
        <f t="shared" si="7"/>
        <v>0.11877551020408163</v>
      </c>
      <c r="S131" t="s">
        <v>81</v>
      </c>
      <c r="T131" t="s">
        <v>82</v>
      </c>
      <c r="U131" t="s">
        <v>2133</v>
      </c>
    </row>
    <row r="132" spans="1:21" x14ac:dyDescent="0.35">
      <c r="A132" t="s">
        <v>235</v>
      </c>
      <c r="B132" s="5">
        <v>45884</v>
      </c>
      <c r="C132" t="s">
        <v>95</v>
      </c>
      <c r="D132" t="s">
        <v>64</v>
      </c>
      <c r="E132" s="9">
        <v>6</v>
      </c>
      <c r="F132" s="10">
        <v>52</v>
      </c>
      <c r="G132" s="11">
        <v>0</v>
      </c>
      <c r="H132" s="10">
        <v>312</v>
      </c>
      <c r="I132" s="9">
        <v>0</v>
      </c>
      <c r="J132" s="10">
        <v>0</v>
      </c>
      <c r="K132" s="9">
        <v>6</v>
      </c>
      <c r="L132" s="10">
        <v>312</v>
      </c>
      <c r="M132" s="10">
        <v>258.94</v>
      </c>
      <c r="N132" s="10">
        <v>53.06</v>
      </c>
      <c r="O132" s="11">
        <f t="shared" si="6"/>
        <v>0.17006410256410256</v>
      </c>
      <c r="P132" s="10">
        <v>39.04</v>
      </c>
      <c r="Q132" s="10">
        <v>14.02</v>
      </c>
      <c r="R132" s="11">
        <f t="shared" si="7"/>
        <v>4.4935897435897432E-2</v>
      </c>
      <c r="S132" t="s">
        <v>59</v>
      </c>
      <c r="T132" t="s">
        <v>60</v>
      </c>
      <c r="U132" t="s">
        <v>71</v>
      </c>
    </row>
    <row r="133" spans="1:21" x14ac:dyDescent="0.35">
      <c r="A133" t="s">
        <v>236</v>
      </c>
      <c r="B133" s="5">
        <v>45893</v>
      </c>
      <c r="C133" t="s">
        <v>104</v>
      </c>
      <c r="D133" t="s">
        <v>105</v>
      </c>
      <c r="E133" s="9">
        <v>1</v>
      </c>
      <c r="F133" s="10">
        <v>65</v>
      </c>
      <c r="G133" s="11">
        <v>0</v>
      </c>
      <c r="H133" s="10">
        <v>65</v>
      </c>
      <c r="I133" s="9">
        <v>0</v>
      </c>
      <c r="J133" s="10">
        <v>0</v>
      </c>
      <c r="K133" s="9">
        <v>1</v>
      </c>
      <c r="L133" s="10">
        <v>65</v>
      </c>
      <c r="M133" s="10">
        <v>40.89</v>
      </c>
      <c r="N133" s="10">
        <v>24.11</v>
      </c>
      <c r="O133" s="11">
        <f t="shared" si="6"/>
        <v>0.37092307692307691</v>
      </c>
      <c r="P133" s="10">
        <v>6.27</v>
      </c>
      <c r="Q133" s="10">
        <v>17.84</v>
      </c>
      <c r="R133" s="11">
        <f t="shared" si="7"/>
        <v>0.27446153846153848</v>
      </c>
      <c r="S133" t="s">
        <v>59</v>
      </c>
      <c r="T133" t="s">
        <v>66</v>
      </c>
      <c r="U133" t="s">
        <v>71</v>
      </c>
    </row>
    <row r="134" spans="1:21" x14ac:dyDescent="0.35">
      <c r="A134" t="s">
        <v>237</v>
      </c>
      <c r="B134" s="5">
        <v>45981</v>
      </c>
      <c r="C134" t="s">
        <v>56</v>
      </c>
      <c r="D134" t="s">
        <v>57</v>
      </c>
      <c r="E134" s="9">
        <v>3</v>
      </c>
      <c r="F134" s="10">
        <v>40</v>
      </c>
      <c r="G134" s="11">
        <v>0.05</v>
      </c>
      <c r="H134" s="10">
        <v>114</v>
      </c>
      <c r="I134" s="9">
        <v>0</v>
      </c>
      <c r="J134" s="10">
        <v>0</v>
      </c>
      <c r="K134" s="9">
        <v>3</v>
      </c>
      <c r="L134" s="10">
        <v>114</v>
      </c>
      <c r="M134" s="10">
        <v>70.77</v>
      </c>
      <c r="N134" s="10">
        <v>43.23</v>
      </c>
      <c r="O134" s="11">
        <f t="shared" si="6"/>
        <v>0.37921052631578944</v>
      </c>
      <c r="P134" s="10">
        <v>8.41</v>
      </c>
      <c r="Q134" s="10">
        <v>34.82</v>
      </c>
      <c r="R134" s="11">
        <f t="shared" si="7"/>
        <v>0.30543859649122806</v>
      </c>
      <c r="S134" t="s">
        <v>81</v>
      </c>
      <c r="T134" t="s">
        <v>82</v>
      </c>
      <c r="U134" t="s">
        <v>67</v>
      </c>
    </row>
    <row r="135" spans="1:21" x14ac:dyDescent="0.35">
      <c r="A135" t="s">
        <v>238</v>
      </c>
      <c r="B135" s="5">
        <v>45797</v>
      </c>
      <c r="C135" t="s">
        <v>117</v>
      </c>
      <c r="D135" t="s">
        <v>74</v>
      </c>
      <c r="E135" s="9">
        <v>1</v>
      </c>
      <c r="F135" s="10">
        <v>95</v>
      </c>
      <c r="G135" s="11">
        <v>0.15</v>
      </c>
      <c r="H135" s="10">
        <v>80.75</v>
      </c>
      <c r="I135" s="9">
        <v>0</v>
      </c>
      <c r="J135" s="10">
        <v>0</v>
      </c>
      <c r="K135" s="9">
        <v>1</v>
      </c>
      <c r="L135" s="10">
        <v>80.75</v>
      </c>
      <c r="M135" s="10">
        <v>58.36</v>
      </c>
      <c r="N135" s="10">
        <v>22.39</v>
      </c>
      <c r="O135" s="11">
        <f t="shared" si="6"/>
        <v>0.27727554179566566</v>
      </c>
      <c r="P135" s="10">
        <v>8.43</v>
      </c>
      <c r="Q135" s="10">
        <v>13.96</v>
      </c>
      <c r="R135" s="11">
        <f t="shared" si="7"/>
        <v>0.17287925696594428</v>
      </c>
      <c r="S135" t="s">
        <v>59</v>
      </c>
      <c r="T135" t="s">
        <v>82</v>
      </c>
      <c r="U135" t="s">
        <v>67</v>
      </c>
    </row>
    <row r="136" spans="1:21" x14ac:dyDescent="0.35">
      <c r="A136" t="s">
        <v>239</v>
      </c>
      <c r="B136" s="5">
        <v>45990</v>
      </c>
      <c r="C136" t="s">
        <v>125</v>
      </c>
      <c r="D136" t="s">
        <v>85</v>
      </c>
      <c r="E136" s="9">
        <v>1</v>
      </c>
      <c r="F136" s="10">
        <v>125</v>
      </c>
      <c r="G136" s="11">
        <v>0</v>
      </c>
      <c r="H136" s="10">
        <v>125</v>
      </c>
      <c r="I136" s="9">
        <v>0</v>
      </c>
      <c r="J136" s="10">
        <v>0</v>
      </c>
      <c r="K136" s="9">
        <v>1</v>
      </c>
      <c r="L136" s="10">
        <v>125</v>
      </c>
      <c r="M136" s="10">
        <v>103.87</v>
      </c>
      <c r="N136" s="10">
        <v>21.13</v>
      </c>
      <c r="O136" s="11">
        <f t="shared" si="6"/>
        <v>0.16904</v>
      </c>
      <c r="P136" s="10">
        <v>10.92</v>
      </c>
      <c r="Q136" s="10">
        <v>10.210000000000001</v>
      </c>
      <c r="R136" s="11">
        <f t="shared" si="7"/>
        <v>8.1680000000000003E-2</v>
      </c>
      <c r="S136" t="s">
        <v>81</v>
      </c>
      <c r="T136" t="s">
        <v>66</v>
      </c>
      <c r="U136" t="s">
        <v>76</v>
      </c>
    </row>
    <row r="137" spans="1:21" x14ac:dyDescent="0.35">
      <c r="A137" t="s">
        <v>240</v>
      </c>
      <c r="B137" s="5">
        <v>45987</v>
      </c>
      <c r="C137" t="s">
        <v>104</v>
      </c>
      <c r="D137" t="s">
        <v>105</v>
      </c>
      <c r="E137" s="9">
        <v>1</v>
      </c>
      <c r="F137" s="10">
        <v>65</v>
      </c>
      <c r="G137" s="11">
        <v>0</v>
      </c>
      <c r="H137" s="10">
        <v>65</v>
      </c>
      <c r="I137" s="9">
        <v>0</v>
      </c>
      <c r="J137" s="10">
        <v>0</v>
      </c>
      <c r="K137" s="9">
        <v>1</v>
      </c>
      <c r="L137" s="10">
        <v>65</v>
      </c>
      <c r="M137" s="10">
        <v>53.37</v>
      </c>
      <c r="N137" s="10">
        <v>11.63</v>
      </c>
      <c r="O137" s="11">
        <f t="shared" si="6"/>
        <v>0.17892307692307693</v>
      </c>
      <c r="P137" s="10">
        <v>7.57</v>
      </c>
      <c r="Q137" s="10">
        <v>4.0599999999999996</v>
      </c>
      <c r="R137" s="11">
        <f t="shared" si="7"/>
        <v>6.2461538461538457E-2</v>
      </c>
      <c r="S137" t="s">
        <v>59</v>
      </c>
      <c r="T137" t="s">
        <v>82</v>
      </c>
      <c r="U137" t="s">
        <v>67</v>
      </c>
    </row>
    <row r="138" spans="1:21" x14ac:dyDescent="0.35">
      <c r="A138" t="s">
        <v>241</v>
      </c>
      <c r="B138" s="5">
        <v>45834</v>
      </c>
      <c r="C138" t="s">
        <v>97</v>
      </c>
      <c r="D138" t="s">
        <v>57</v>
      </c>
      <c r="E138" s="9">
        <v>1</v>
      </c>
      <c r="F138" s="10">
        <v>55</v>
      </c>
      <c r="G138" s="11">
        <v>0.05</v>
      </c>
      <c r="H138" s="10">
        <v>52.25</v>
      </c>
      <c r="I138" s="9">
        <v>0</v>
      </c>
      <c r="J138" s="10">
        <v>0</v>
      </c>
      <c r="K138" s="9">
        <v>1</v>
      </c>
      <c r="L138" s="10">
        <v>52.25</v>
      </c>
      <c r="M138" s="10">
        <v>36.79</v>
      </c>
      <c r="N138" s="10">
        <v>15.46</v>
      </c>
      <c r="O138" s="11">
        <f t="shared" si="6"/>
        <v>0.29588516746411486</v>
      </c>
      <c r="P138" s="10">
        <v>6.66</v>
      </c>
      <c r="Q138" s="10">
        <v>8.8000000000000007</v>
      </c>
      <c r="R138" s="11">
        <f t="shared" si="7"/>
        <v>0.16842105263157897</v>
      </c>
      <c r="S138" t="s">
        <v>75</v>
      </c>
      <c r="T138" t="s">
        <v>60</v>
      </c>
      <c r="U138" t="s">
        <v>61</v>
      </c>
    </row>
    <row r="139" spans="1:21" x14ac:dyDescent="0.35">
      <c r="A139" t="s">
        <v>242</v>
      </c>
      <c r="B139" s="5">
        <v>45817</v>
      </c>
      <c r="C139" t="s">
        <v>107</v>
      </c>
      <c r="D139" t="s">
        <v>74</v>
      </c>
      <c r="E139" s="9">
        <v>1</v>
      </c>
      <c r="F139" s="10">
        <v>125</v>
      </c>
      <c r="G139" s="11">
        <v>0</v>
      </c>
      <c r="H139" s="10">
        <v>125</v>
      </c>
      <c r="I139" s="9">
        <v>0</v>
      </c>
      <c r="J139" s="10">
        <v>0</v>
      </c>
      <c r="K139" s="9">
        <v>1</v>
      </c>
      <c r="L139" s="10">
        <v>125</v>
      </c>
      <c r="M139" s="10">
        <v>100.25</v>
      </c>
      <c r="N139" s="10">
        <v>24.75</v>
      </c>
      <c r="O139" s="11">
        <f t="shared" si="6"/>
        <v>0.19800000000000001</v>
      </c>
      <c r="P139" s="10">
        <v>7.79</v>
      </c>
      <c r="Q139" s="10">
        <v>16.96</v>
      </c>
      <c r="R139" s="11">
        <f t="shared" si="7"/>
        <v>0.13568</v>
      </c>
      <c r="S139" t="s">
        <v>59</v>
      </c>
      <c r="T139" t="s">
        <v>82</v>
      </c>
      <c r="U139" t="s">
        <v>67</v>
      </c>
    </row>
    <row r="140" spans="1:21" x14ac:dyDescent="0.35">
      <c r="A140" t="s">
        <v>244</v>
      </c>
      <c r="B140" s="5">
        <v>45780</v>
      </c>
      <c r="C140" t="s">
        <v>73</v>
      </c>
      <c r="D140" t="s">
        <v>74</v>
      </c>
      <c r="E140" s="9">
        <v>1</v>
      </c>
      <c r="F140" s="10">
        <v>280</v>
      </c>
      <c r="G140" s="11">
        <v>0.1</v>
      </c>
      <c r="H140" s="10">
        <v>252</v>
      </c>
      <c r="I140" s="9">
        <v>0</v>
      </c>
      <c r="J140" s="10">
        <v>0</v>
      </c>
      <c r="K140" s="9">
        <v>1</v>
      </c>
      <c r="L140" s="10">
        <v>252</v>
      </c>
      <c r="M140" s="10">
        <v>208.26</v>
      </c>
      <c r="N140" s="10">
        <v>43.74</v>
      </c>
      <c r="O140" s="11">
        <f t="shared" si="6"/>
        <v>0.17357142857142857</v>
      </c>
      <c r="P140" s="10">
        <v>20.49</v>
      </c>
      <c r="Q140" s="10">
        <v>23.25</v>
      </c>
      <c r="R140" s="11">
        <f t="shared" si="7"/>
        <v>9.2261904761904767E-2</v>
      </c>
      <c r="S140" t="s">
        <v>65</v>
      </c>
      <c r="T140" t="s">
        <v>66</v>
      </c>
      <c r="U140" t="s">
        <v>67</v>
      </c>
    </row>
    <row r="141" spans="1:21" x14ac:dyDescent="0.35">
      <c r="A141" t="s">
        <v>245</v>
      </c>
      <c r="B141" s="5">
        <v>45883</v>
      </c>
      <c r="C141" t="s">
        <v>95</v>
      </c>
      <c r="D141" t="s">
        <v>64</v>
      </c>
      <c r="E141" s="9">
        <v>8</v>
      </c>
      <c r="F141" s="10">
        <v>52</v>
      </c>
      <c r="G141" s="11">
        <v>0.1</v>
      </c>
      <c r="H141" s="10">
        <v>374.4</v>
      </c>
      <c r="I141" s="9">
        <v>0</v>
      </c>
      <c r="J141" s="10">
        <v>0</v>
      </c>
      <c r="K141" s="9">
        <v>8</v>
      </c>
      <c r="L141" s="10">
        <v>374.4</v>
      </c>
      <c r="M141" s="10">
        <v>304.87</v>
      </c>
      <c r="N141" s="10">
        <v>69.53</v>
      </c>
      <c r="O141" s="11">
        <f t="shared" si="6"/>
        <v>0.18571047008547009</v>
      </c>
      <c r="P141" s="10">
        <v>35.22</v>
      </c>
      <c r="Q141" s="10">
        <v>34.31</v>
      </c>
      <c r="R141" s="11">
        <f t="shared" si="7"/>
        <v>9.1639957264957272E-2</v>
      </c>
      <c r="S141" t="s">
        <v>65</v>
      </c>
      <c r="T141" t="s">
        <v>86</v>
      </c>
      <c r="U141" t="s">
        <v>76</v>
      </c>
    </row>
    <row r="142" spans="1:21" x14ac:dyDescent="0.35">
      <c r="A142" t="s">
        <v>246</v>
      </c>
      <c r="B142" s="5">
        <v>45941</v>
      </c>
      <c r="C142" t="s">
        <v>109</v>
      </c>
      <c r="D142" t="s">
        <v>85</v>
      </c>
      <c r="E142" s="9">
        <v>2</v>
      </c>
      <c r="F142" s="10">
        <v>180</v>
      </c>
      <c r="G142" s="11">
        <v>0.05</v>
      </c>
      <c r="H142" s="10">
        <v>342</v>
      </c>
      <c r="I142" s="9">
        <v>0</v>
      </c>
      <c r="J142" s="10">
        <v>0</v>
      </c>
      <c r="K142" s="9">
        <v>2</v>
      </c>
      <c r="L142" s="10">
        <v>342</v>
      </c>
      <c r="M142" s="10">
        <v>252.74</v>
      </c>
      <c r="N142" s="10">
        <v>89.26</v>
      </c>
      <c r="O142" s="11">
        <f t="shared" si="6"/>
        <v>0.26099415204678367</v>
      </c>
      <c r="P142" s="10">
        <v>23.12</v>
      </c>
      <c r="Q142" s="10">
        <v>66.14</v>
      </c>
      <c r="R142" s="11">
        <f t="shared" si="7"/>
        <v>0.19339181286549709</v>
      </c>
      <c r="S142" t="s">
        <v>75</v>
      </c>
      <c r="T142" t="s">
        <v>66</v>
      </c>
      <c r="U142" t="s">
        <v>67</v>
      </c>
    </row>
    <row r="143" spans="1:21" x14ac:dyDescent="0.35">
      <c r="A143" t="s">
        <v>247</v>
      </c>
      <c r="B143" s="5">
        <v>46011</v>
      </c>
      <c r="C143" t="s">
        <v>78</v>
      </c>
      <c r="D143" t="s">
        <v>79</v>
      </c>
      <c r="E143" s="9">
        <v>3</v>
      </c>
      <c r="F143" s="10">
        <v>120</v>
      </c>
      <c r="G143" s="11">
        <v>0</v>
      </c>
      <c r="H143" s="10">
        <v>360</v>
      </c>
      <c r="I143" s="9">
        <v>0</v>
      </c>
      <c r="J143" s="10">
        <v>0</v>
      </c>
      <c r="K143" s="9">
        <v>3</v>
      </c>
      <c r="L143" s="10">
        <v>360</v>
      </c>
      <c r="M143" s="10">
        <v>274.38</v>
      </c>
      <c r="N143" s="10">
        <v>85.62</v>
      </c>
      <c r="O143" s="11">
        <f t="shared" ref="O143:O206" si="8">N143/L143</f>
        <v>0.23783333333333334</v>
      </c>
      <c r="P143" s="10">
        <v>28.02</v>
      </c>
      <c r="Q143" s="10">
        <v>57.6</v>
      </c>
      <c r="R143" s="11">
        <f t="shared" ref="R143:R206" si="9">Q143/L143</f>
        <v>0.16</v>
      </c>
      <c r="S143" t="s">
        <v>65</v>
      </c>
      <c r="T143" t="s">
        <v>60</v>
      </c>
      <c r="U143" t="s">
        <v>67</v>
      </c>
    </row>
    <row r="144" spans="1:21" x14ac:dyDescent="0.35">
      <c r="A144" t="s">
        <v>248</v>
      </c>
      <c r="B144" s="5">
        <v>45961</v>
      </c>
      <c r="C144" t="s">
        <v>90</v>
      </c>
      <c r="D144" t="s">
        <v>70</v>
      </c>
      <c r="E144" s="9">
        <v>4</v>
      </c>
      <c r="F144" s="10">
        <v>38</v>
      </c>
      <c r="G144" s="11">
        <v>0</v>
      </c>
      <c r="H144" s="10">
        <v>152</v>
      </c>
      <c r="I144" s="9">
        <v>0</v>
      </c>
      <c r="J144" s="10">
        <v>0</v>
      </c>
      <c r="K144" s="9">
        <v>4</v>
      </c>
      <c r="L144" s="10">
        <v>152</v>
      </c>
      <c r="M144" s="10">
        <v>125.91</v>
      </c>
      <c r="N144" s="10">
        <v>26.09</v>
      </c>
      <c r="O144" s="11">
        <f t="shared" si="8"/>
        <v>0.17164473684210527</v>
      </c>
      <c r="P144" s="10">
        <v>9.51</v>
      </c>
      <c r="Q144" s="10">
        <v>16.579999999999998</v>
      </c>
      <c r="R144" s="11">
        <f t="shared" si="9"/>
        <v>0.10907894736842104</v>
      </c>
      <c r="S144" t="s">
        <v>75</v>
      </c>
      <c r="T144" t="s">
        <v>66</v>
      </c>
      <c r="U144" t="s">
        <v>76</v>
      </c>
    </row>
    <row r="145" spans="1:21" x14ac:dyDescent="0.35">
      <c r="A145" t="s">
        <v>249</v>
      </c>
      <c r="B145" s="5">
        <v>45892</v>
      </c>
      <c r="C145" t="s">
        <v>90</v>
      </c>
      <c r="D145" t="s">
        <v>70</v>
      </c>
      <c r="E145" s="9">
        <v>4</v>
      </c>
      <c r="F145" s="10">
        <v>38</v>
      </c>
      <c r="G145" s="11">
        <v>0.02</v>
      </c>
      <c r="H145" s="10">
        <v>148.96</v>
      </c>
      <c r="I145" s="9">
        <v>0</v>
      </c>
      <c r="J145" s="10">
        <v>0</v>
      </c>
      <c r="K145" s="9">
        <v>4</v>
      </c>
      <c r="L145" s="10">
        <v>148.96</v>
      </c>
      <c r="M145" s="10">
        <v>114.47</v>
      </c>
      <c r="N145" s="10">
        <v>34.49</v>
      </c>
      <c r="O145" s="11">
        <f t="shared" si="8"/>
        <v>0.23153866809881848</v>
      </c>
      <c r="P145" s="10">
        <v>9.34</v>
      </c>
      <c r="Q145" s="10">
        <v>25.15</v>
      </c>
      <c r="R145" s="11">
        <f t="shared" si="9"/>
        <v>0.16883727175080557</v>
      </c>
      <c r="S145" t="s">
        <v>75</v>
      </c>
      <c r="T145" t="s">
        <v>2133</v>
      </c>
      <c r="U145" t="s">
        <v>67</v>
      </c>
    </row>
    <row r="146" spans="1:21" x14ac:dyDescent="0.35">
      <c r="A146" t="s">
        <v>250</v>
      </c>
      <c r="B146" s="5">
        <v>45739</v>
      </c>
      <c r="C146" t="s">
        <v>92</v>
      </c>
      <c r="D146" t="s">
        <v>79</v>
      </c>
      <c r="E146" s="9">
        <v>6</v>
      </c>
      <c r="F146" s="10">
        <v>85</v>
      </c>
      <c r="G146" s="11">
        <v>0</v>
      </c>
      <c r="H146" s="10">
        <v>510</v>
      </c>
      <c r="I146" s="9">
        <v>0</v>
      </c>
      <c r="J146" s="10">
        <v>0</v>
      </c>
      <c r="K146" s="9">
        <v>6</v>
      </c>
      <c r="L146" s="10">
        <v>510</v>
      </c>
      <c r="M146" s="10">
        <v>416.56</v>
      </c>
      <c r="N146" s="10">
        <v>93.44</v>
      </c>
      <c r="O146" s="11">
        <f t="shared" si="8"/>
        <v>0.18321568627450979</v>
      </c>
      <c r="P146" s="10">
        <v>62.58</v>
      </c>
      <c r="Q146" s="10">
        <v>30.86</v>
      </c>
      <c r="R146" s="11">
        <f t="shared" si="9"/>
        <v>6.0509803921568628E-2</v>
      </c>
      <c r="S146" t="s">
        <v>65</v>
      </c>
      <c r="T146" t="s">
        <v>82</v>
      </c>
      <c r="U146" t="s">
        <v>71</v>
      </c>
    </row>
    <row r="147" spans="1:21" x14ac:dyDescent="0.35">
      <c r="A147" t="s">
        <v>251</v>
      </c>
      <c r="B147" s="5">
        <v>45674</v>
      </c>
      <c r="C147" t="s">
        <v>90</v>
      </c>
      <c r="D147" t="s">
        <v>70</v>
      </c>
      <c r="E147" s="9">
        <v>3</v>
      </c>
      <c r="F147" s="10">
        <v>38</v>
      </c>
      <c r="G147" s="11">
        <v>0</v>
      </c>
      <c r="H147" s="10">
        <v>114</v>
      </c>
      <c r="I147" s="9">
        <v>0</v>
      </c>
      <c r="J147" s="10">
        <v>0</v>
      </c>
      <c r="K147" s="9">
        <v>3</v>
      </c>
      <c r="L147" s="10">
        <v>114</v>
      </c>
      <c r="M147" s="10">
        <v>78.53</v>
      </c>
      <c r="N147" s="10">
        <v>35.47</v>
      </c>
      <c r="O147" s="11">
        <f t="shared" si="8"/>
        <v>0.31114035087719299</v>
      </c>
      <c r="P147" s="10">
        <v>14.65</v>
      </c>
      <c r="Q147" s="10">
        <v>20.82</v>
      </c>
      <c r="R147" s="11">
        <f t="shared" si="9"/>
        <v>0.18263157894736842</v>
      </c>
      <c r="S147" t="s">
        <v>65</v>
      </c>
      <c r="T147" t="s">
        <v>60</v>
      </c>
      <c r="U147" t="s">
        <v>71</v>
      </c>
    </row>
    <row r="148" spans="1:21" x14ac:dyDescent="0.35">
      <c r="A148" t="s">
        <v>252</v>
      </c>
      <c r="B148" s="5">
        <v>45976</v>
      </c>
      <c r="C148" t="s">
        <v>90</v>
      </c>
      <c r="D148" t="s">
        <v>70</v>
      </c>
      <c r="E148" s="9">
        <v>5</v>
      </c>
      <c r="F148" s="10">
        <v>38</v>
      </c>
      <c r="G148" s="11">
        <v>0</v>
      </c>
      <c r="H148" s="10">
        <v>190</v>
      </c>
      <c r="I148" s="9">
        <v>0</v>
      </c>
      <c r="J148" s="10">
        <v>0</v>
      </c>
      <c r="K148" s="9">
        <v>5</v>
      </c>
      <c r="L148" s="10">
        <v>190</v>
      </c>
      <c r="M148" s="10">
        <v>152.5</v>
      </c>
      <c r="N148" s="10">
        <v>37.5</v>
      </c>
      <c r="O148" s="11">
        <f t="shared" si="8"/>
        <v>0.19736842105263158</v>
      </c>
      <c r="P148" s="10">
        <v>24.14</v>
      </c>
      <c r="Q148" s="10">
        <v>13.36</v>
      </c>
      <c r="R148" s="11">
        <f t="shared" si="9"/>
        <v>7.0315789473684207E-2</v>
      </c>
      <c r="S148" t="s">
        <v>65</v>
      </c>
      <c r="T148" t="s">
        <v>86</v>
      </c>
      <c r="U148" t="s">
        <v>76</v>
      </c>
    </row>
    <row r="149" spans="1:21" x14ac:dyDescent="0.35">
      <c r="A149" t="s">
        <v>253</v>
      </c>
      <c r="B149" s="5">
        <v>45674</v>
      </c>
      <c r="C149" t="s">
        <v>125</v>
      </c>
      <c r="D149" t="s">
        <v>85</v>
      </c>
      <c r="E149" s="9">
        <v>1</v>
      </c>
      <c r="F149" s="10">
        <v>125</v>
      </c>
      <c r="G149" s="11">
        <v>0.1</v>
      </c>
      <c r="H149" s="10">
        <v>112.5</v>
      </c>
      <c r="I149" s="9">
        <v>0</v>
      </c>
      <c r="J149" s="10">
        <v>0</v>
      </c>
      <c r="K149" s="9">
        <v>1</v>
      </c>
      <c r="L149" s="10">
        <v>112.5</v>
      </c>
      <c r="M149" s="10">
        <v>88.32</v>
      </c>
      <c r="N149" s="10">
        <v>24.18</v>
      </c>
      <c r="O149" s="11">
        <f t="shared" si="8"/>
        <v>0.21493333333333334</v>
      </c>
      <c r="P149" s="10">
        <v>8.33</v>
      </c>
      <c r="Q149" s="10">
        <v>15.85</v>
      </c>
      <c r="R149" s="11">
        <f t="shared" si="9"/>
        <v>0.1408888888888889</v>
      </c>
      <c r="S149" t="s">
        <v>65</v>
      </c>
      <c r="T149" t="s">
        <v>82</v>
      </c>
      <c r="U149" t="s">
        <v>67</v>
      </c>
    </row>
    <row r="150" spans="1:21" x14ac:dyDescent="0.35">
      <c r="A150" t="s">
        <v>254</v>
      </c>
      <c r="B150" s="5">
        <v>45832</v>
      </c>
      <c r="C150" t="s">
        <v>84</v>
      </c>
      <c r="D150" t="s">
        <v>85</v>
      </c>
      <c r="E150" s="9">
        <v>3</v>
      </c>
      <c r="F150" s="10">
        <v>48</v>
      </c>
      <c r="G150" s="11">
        <v>0</v>
      </c>
      <c r="H150" s="10">
        <v>144</v>
      </c>
      <c r="I150" s="9">
        <v>0</v>
      </c>
      <c r="J150" s="10">
        <v>0</v>
      </c>
      <c r="K150" s="9">
        <v>3</v>
      </c>
      <c r="L150" s="10">
        <v>144</v>
      </c>
      <c r="M150" s="10">
        <v>91.86</v>
      </c>
      <c r="N150" s="10">
        <v>52.14</v>
      </c>
      <c r="O150" s="11">
        <f t="shared" si="8"/>
        <v>0.36208333333333331</v>
      </c>
      <c r="P150" s="10">
        <v>18.61</v>
      </c>
      <c r="Q150" s="10">
        <v>33.53</v>
      </c>
      <c r="R150" s="11">
        <f t="shared" si="9"/>
        <v>0.23284722222222223</v>
      </c>
      <c r="S150" t="s">
        <v>75</v>
      </c>
      <c r="T150" t="s">
        <v>86</v>
      </c>
      <c r="U150" t="s">
        <v>61</v>
      </c>
    </row>
    <row r="151" spans="1:21" x14ac:dyDescent="0.35">
      <c r="A151" t="s">
        <v>255</v>
      </c>
      <c r="B151" s="5">
        <v>45715</v>
      </c>
      <c r="C151" t="s">
        <v>95</v>
      </c>
      <c r="D151" t="s">
        <v>64</v>
      </c>
      <c r="E151" s="9">
        <v>3</v>
      </c>
      <c r="F151" s="10">
        <v>52</v>
      </c>
      <c r="G151" s="11">
        <v>0</v>
      </c>
      <c r="H151" s="10">
        <v>156</v>
      </c>
      <c r="I151" s="9">
        <v>0</v>
      </c>
      <c r="J151" s="10">
        <v>0</v>
      </c>
      <c r="K151" s="9">
        <v>3</v>
      </c>
      <c r="L151" s="10">
        <v>156</v>
      </c>
      <c r="M151" s="10">
        <v>99.18</v>
      </c>
      <c r="N151" s="10">
        <v>56.82</v>
      </c>
      <c r="O151" s="11">
        <f t="shared" si="8"/>
        <v>0.36423076923076925</v>
      </c>
      <c r="P151" s="10">
        <v>12.44</v>
      </c>
      <c r="Q151" s="10">
        <v>44.38</v>
      </c>
      <c r="R151" s="11">
        <f t="shared" si="9"/>
        <v>0.2844871794871795</v>
      </c>
      <c r="S151" t="s">
        <v>2133</v>
      </c>
      <c r="T151" t="s">
        <v>82</v>
      </c>
      <c r="U151" t="s">
        <v>71</v>
      </c>
    </row>
    <row r="152" spans="1:21" x14ac:dyDescent="0.35">
      <c r="A152" t="s">
        <v>256</v>
      </c>
      <c r="B152" s="5">
        <v>45942</v>
      </c>
      <c r="C152" t="s">
        <v>121</v>
      </c>
      <c r="D152" t="s">
        <v>70</v>
      </c>
      <c r="E152" s="9">
        <v>3</v>
      </c>
      <c r="F152" s="10">
        <v>110</v>
      </c>
      <c r="G152" s="11">
        <v>0.1</v>
      </c>
      <c r="H152" s="10">
        <v>297</v>
      </c>
      <c r="I152" s="9">
        <v>0</v>
      </c>
      <c r="J152" s="10">
        <v>0</v>
      </c>
      <c r="K152" s="9">
        <v>3</v>
      </c>
      <c r="L152" s="10">
        <v>297</v>
      </c>
      <c r="M152" s="10">
        <v>191.42</v>
      </c>
      <c r="N152" s="10">
        <v>105.58</v>
      </c>
      <c r="O152" s="11">
        <f t="shared" si="8"/>
        <v>0.35548821548821546</v>
      </c>
      <c r="P152" s="10">
        <v>27.37</v>
      </c>
      <c r="Q152" s="10">
        <v>78.209999999999994</v>
      </c>
      <c r="R152" s="11">
        <f t="shared" si="9"/>
        <v>0.26333333333333331</v>
      </c>
      <c r="S152" t="s">
        <v>75</v>
      </c>
      <c r="T152" t="s">
        <v>60</v>
      </c>
      <c r="U152" t="s">
        <v>61</v>
      </c>
    </row>
    <row r="153" spans="1:21" x14ac:dyDescent="0.35">
      <c r="A153" t="s">
        <v>257</v>
      </c>
      <c r="B153" s="5">
        <v>45749</v>
      </c>
      <c r="C153" t="s">
        <v>100</v>
      </c>
      <c r="D153" t="s">
        <v>64</v>
      </c>
      <c r="E153" s="9">
        <v>5</v>
      </c>
      <c r="F153" s="10">
        <v>310</v>
      </c>
      <c r="G153" s="11">
        <v>0</v>
      </c>
      <c r="H153" s="10">
        <v>1550</v>
      </c>
      <c r="I153" s="9">
        <v>0</v>
      </c>
      <c r="J153" s="10">
        <v>0</v>
      </c>
      <c r="K153" s="9">
        <v>5</v>
      </c>
      <c r="L153" s="10">
        <v>1550</v>
      </c>
      <c r="M153" s="10">
        <v>1009.86</v>
      </c>
      <c r="N153" s="10">
        <v>540.14</v>
      </c>
      <c r="O153" s="11">
        <f t="shared" si="8"/>
        <v>0.34847741935483872</v>
      </c>
      <c r="P153" s="10">
        <v>196.94</v>
      </c>
      <c r="Q153" s="10">
        <v>343.2</v>
      </c>
      <c r="R153" s="11">
        <f t="shared" si="9"/>
        <v>0.22141935483870967</v>
      </c>
      <c r="S153" t="s">
        <v>75</v>
      </c>
      <c r="T153" t="s">
        <v>66</v>
      </c>
      <c r="U153" t="s">
        <v>76</v>
      </c>
    </row>
    <row r="154" spans="1:21" x14ac:dyDescent="0.35">
      <c r="A154" t="s">
        <v>258</v>
      </c>
      <c r="B154" s="5">
        <v>45715</v>
      </c>
      <c r="C154" t="s">
        <v>117</v>
      </c>
      <c r="D154" t="s">
        <v>74</v>
      </c>
      <c r="E154" s="9">
        <v>6</v>
      </c>
      <c r="F154" s="10">
        <v>95</v>
      </c>
      <c r="G154" s="11">
        <v>0.15</v>
      </c>
      <c r="H154" s="10">
        <v>484.5</v>
      </c>
      <c r="I154" s="9">
        <v>0</v>
      </c>
      <c r="J154" s="10">
        <v>0</v>
      </c>
      <c r="K154" s="9">
        <v>6</v>
      </c>
      <c r="L154" s="10">
        <v>484.5</v>
      </c>
      <c r="M154" s="10">
        <v>388.77</v>
      </c>
      <c r="N154" s="10">
        <v>95.73</v>
      </c>
      <c r="O154" s="11">
        <f t="shared" si="8"/>
        <v>0.19758513931888547</v>
      </c>
      <c r="P154" s="10">
        <v>36.32</v>
      </c>
      <c r="Q154" s="10">
        <v>59.41</v>
      </c>
      <c r="R154" s="11">
        <f t="shared" si="9"/>
        <v>0.12262125902992775</v>
      </c>
      <c r="S154" t="s">
        <v>65</v>
      </c>
      <c r="T154" t="s">
        <v>82</v>
      </c>
      <c r="U154" t="s">
        <v>76</v>
      </c>
    </row>
    <row r="155" spans="1:21" x14ac:dyDescent="0.35">
      <c r="A155" t="s">
        <v>259</v>
      </c>
      <c r="B155" s="5">
        <v>45865</v>
      </c>
      <c r="C155" t="s">
        <v>100</v>
      </c>
      <c r="D155" t="s">
        <v>64</v>
      </c>
      <c r="E155" s="9">
        <v>1</v>
      </c>
      <c r="F155" s="10">
        <v>310</v>
      </c>
      <c r="G155" s="11">
        <v>0</v>
      </c>
      <c r="H155" s="10">
        <v>310</v>
      </c>
      <c r="I155" s="9">
        <v>0</v>
      </c>
      <c r="J155" s="10">
        <v>0</v>
      </c>
      <c r="K155" s="9">
        <v>1</v>
      </c>
      <c r="L155" s="10">
        <v>310</v>
      </c>
      <c r="M155" s="10">
        <v>240.68</v>
      </c>
      <c r="N155" s="10">
        <v>69.319999999999993</v>
      </c>
      <c r="O155" s="11">
        <f t="shared" si="8"/>
        <v>0.22361290322580643</v>
      </c>
      <c r="P155" s="10">
        <v>36.94</v>
      </c>
      <c r="Q155" s="10">
        <v>32.380000000000003</v>
      </c>
      <c r="R155" s="11">
        <f t="shared" si="9"/>
        <v>0.10445161290322581</v>
      </c>
      <c r="S155" t="s">
        <v>2133</v>
      </c>
      <c r="T155" t="s">
        <v>86</v>
      </c>
      <c r="U155" t="s">
        <v>61</v>
      </c>
    </row>
    <row r="156" spans="1:21" x14ac:dyDescent="0.35">
      <c r="A156" t="s">
        <v>260</v>
      </c>
      <c r="B156" s="5">
        <v>45856</v>
      </c>
      <c r="C156" t="s">
        <v>121</v>
      </c>
      <c r="D156" t="s">
        <v>70</v>
      </c>
      <c r="E156" s="9">
        <v>1</v>
      </c>
      <c r="F156" s="10">
        <v>110</v>
      </c>
      <c r="G156" s="11">
        <v>0</v>
      </c>
      <c r="H156" s="10">
        <v>110</v>
      </c>
      <c r="I156" s="9">
        <v>0</v>
      </c>
      <c r="J156" s="10">
        <v>0</v>
      </c>
      <c r="K156" s="9">
        <v>1</v>
      </c>
      <c r="L156" s="10">
        <v>110</v>
      </c>
      <c r="M156" s="10">
        <v>72.260000000000005</v>
      </c>
      <c r="N156" s="10">
        <v>37.74</v>
      </c>
      <c r="O156" s="11">
        <f t="shared" si="8"/>
        <v>0.34309090909090911</v>
      </c>
      <c r="P156" s="10">
        <v>10.17</v>
      </c>
      <c r="Q156" s="10">
        <v>27.57</v>
      </c>
      <c r="R156" s="11">
        <f t="shared" si="9"/>
        <v>0.25063636363636366</v>
      </c>
      <c r="S156" t="s">
        <v>59</v>
      </c>
      <c r="T156" t="s">
        <v>66</v>
      </c>
      <c r="U156" t="s">
        <v>61</v>
      </c>
    </row>
    <row r="157" spans="1:21" x14ac:dyDescent="0.35">
      <c r="A157" t="s">
        <v>261</v>
      </c>
      <c r="B157" s="5">
        <v>45863</v>
      </c>
      <c r="C157" t="s">
        <v>69</v>
      </c>
      <c r="D157" t="s">
        <v>70</v>
      </c>
      <c r="E157" s="9">
        <v>1</v>
      </c>
      <c r="F157" s="10">
        <v>210</v>
      </c>
      <c r="G157" s="11">
        <v>0.1</v>
      </c>
      <c r="H157" s="10">
        <v>189</v>
      </c>
      <c r="I157" s="9">
        <v>0</v>
      </c>
      <c r="J157" s="10">
        <v>0</v>
      </c>
      <c r="K157" s="9">
        <v>1</v>
      </c>
      <c r="L157" s="10">
        <v>189</v>
      </c>
      <c r="M157" s="10">
        <v>145.15</v>
      </c>
      <c r="N157" s="10">
        <v>43.85</v>
      </c>
      <c r="O157" s="11">
        <f t="shared" si="8"/>
        <v>0.23201058201058203</v>
      </c>
      <c r="P157" s="10">
        <v>16.73</v>
      </c>
      <c r="Q157" s="10">
        <v>27.12</v>
      </c>
      <c r="R157" s="11">
        <f t="shared" si="9"/>
        <v>0.1434920634920635</v>
      </c>
      <c r="S157" t="s">
        <v>59</v>
      </c>
      <c r="T157" t="s">
        <v>66</v>
      </c>
      <c r="U157" t="s">
        <v>71</v>
      </c>
    </row>
    <row r="158" spans="1:21" x14ac:dyDescent="0.35">
      <c r="A158" t="s">
        <v>262</v>
      </c>
      <c r="B158" s="5">
        <v>45774</v>
      </c>
      <c r="C158" t="s">
        <v>69</v>
      </c>
      <c r="D158" t="s">
        <v>70</v>
      </c>
      <c r="E158" s="9">
        <v>2</v>
      </c>
      <c r="F158" s="10">
        <v>210</v>
      </c>
      <c r="G158" s="11">
        <v>0.02</v>
      </c>
      <c r="H158" s="10">
        <v>411.6</v>
      </c>
      <c r="I158" s="9">
        <v>0</v>
      </c>
      <c r="J158" s="10">
        <v>0</v>
      </c>
      <c r="K158" s="9">
        <v>2</v>
      </c>
      <c r="L158" s="10">
        <v>411.6</v>
      </c>
      <c r="M158" s="10">
        <v>277.47000000000003</v>
      </c>
      <c r="N158" s="10">
        <v>134.13</v>
      </c>
      <c r="O158" s="11">
        <f t="shared" si="8"/>
        <v>0.32587463556851309</v>
      </c>
      <c r="P158" s="10">
        <v>42.03</v>
      </c>
      <c r="Q158" s="10">
        <v>92.1</v>
      </c>
      <c r="R158" s="11">
        <f t="shared" si="9"/>
        <v>0.22376093294460639</v>
      </c>
      <c r="S158" t="s">
        <v>81</v>
      </c>
      <c r="T158" t="s">
        <v>86</v>
      </c>
      <c r="U158" t="s">
        <v>61</v>
      </c>
    </row>
    <row r="159" spans="1:21" x14ac:dyDescent="0.35">
      <c r="A159" t="s">
        <v>263</v>
      </c>
      <c r="B159" s="5">
        <v>45752</v>
      </c>
      <c r="C159" t="s">
        <v>264</v>
      </c>
      <c r="D159" t="s">
        <v>85</v>
      </c>
      <c r="E159" s="9">
        <v>10</v>
      </c>
      <c r="F159" s="10">
        <v>20</v>
      </c>
      <c r="G159" s="11">
        <v>0</v>
      </c>
      <c r="H159" s="10">
        <v>200</v>
      </c>
      <c r="I159" s="9">
        <v>0</v>
      </c>
      <c r="J159" s="10">
        <v>0</v>
      </c>
      <c r="K159" s="9">
        <v>10</v>
      </c>
      <c r="L159" s="10">
        <v>200</v>
      </c>
      <c r="M159" s="10">
        <v>146.30000000000001</v>
      </c>
      <c r="N159" s="10">
        <v>53.7</v>
      </c>
      <c r="O159" s="11">
        <f t="shared" si="8"/>
        <v>0.26850000000000002</v>
      </c>
      <c r="P159" s="10">
        <v>16.329999999999998</v>
      </c>
      <c r="Q159" s="10">
        <v>37.369999999999997</v>
      </c>
      <c r="R159" s="11">
        <f t="shared" si="9"/>
        <v>0.18684999999999999</v>
      </c>
      <c r="S159" t="s">
        <v>81</v>
      </c>
      <c r="T159" t="s">
        <v>86</v>
      </c>
      <c r="U159" t="s">
        <v>76</v>
      </c>
    </row>
    <row r="160" spans="1:21" x14ac:dyDescent="0.35">
      <c r="A160" t="s">
        <v>265</v>
      </c>
      <c r="B160" s="5">
        <v>45698</v>
      </c>
      <c r="C160" t="s">
        <v>90</v>
      </c>
      <c r="D160" t="s">
        <v>70</v>
      </c>
      <c r="E160" s="9">
        <v>5</v>
      </c>
      <c r="F160" s="10">
        <v>38</v>
      </c>
      <c r="G160" s="11">
        <v>0.15</v>
      </c>
      <c r="H160" s="10">
        <v>161.5</v>
      </c>
      <c r="I160" s="9">
        <v>0</v>
      </c>
      <c r="J160" s="10">
        <v>0</v>
      </c>
      <c r="K160" s="9">
        <v>5</v>
      </c>
      <c r="L160" s="10">
        <v>161.5</v>
      </c>
      <c r="M160" s="10">
        <v>135.32</v>
      </c>
      <c r="N160" s="10">
        <v>26.18</v>
      </c>
      <c r="O160" s="11">
        <f t="shared" si="8"/>
        <v>0.16210526315789472</v>
      </c>
      <c r="P160" s="10">
        <v>17.75</v>
      </c>
      <c r="Q160" s="10">
        <v>8.43</v>
      </c>
      <c r="R160" s="11">
        <f t="shared" si="9"/>
        <v>5.2198142414860677E-2</v>
      </c>
      <c r="S160" t="s">
        <v>75</v>
      </c>
      <c r="T160" t="s">
        <v>86</v>
      </c>
      <c r="U160" t="s">
        <v>67</v>
      </c>
    </row>
    <row r="161" spans="1:21" x14ac:dyDescent="0.35">
      <c r="A161" t="s">
        <v>266</v>
      </c>
      <c r="B161" s="5">
        <v>45899</v>
      </c>
      <c r="C161" t="s">
        <v>121</v>
      </c>
      <c r="D161" t="s">
        <v>70</v>
      </c>
      <c r="E161" s="9">
        <v>1</v>
      </c>
      <c r="F161" s="10">
        <v>110</v>
      </c>
      <c r="G161" s="11">
        <v>0</v>
      </c>
      <c r="H161" s="10">
        <v>110</v>
      </c>
      <c r="I161" s="9">
        <v>0</v>
      </c>
      <c r="J161" s="10">
        <v>0</v>
      </c>
      <c r="K161" s="9">
        <v>1</v>
      </c>
      <c r="L161" s="10">
        <v>110</v>
      </c>
      <c r="M161" s="10">
        <v>84.52</v>
      </c>
      <c r="N161" s="10">
        <v>25.48</v>
      </c>
      <c r="O161" s="11">
        <f t="shared" si="8"/>
        <v>0.23163636363636364</v>
      </c>
      <c r="P161" s="10">
        <v>10.42</v>
      </c>
      <c r="Q161" s="10">
        <v>15.06</v>
      </c>
      <c r="R161" s="11">
        <f t="shared" si="9"/>
        <v>0.13690909090909092</v>
      </c>
      <c r="S161" t="s">
        <v>65</v>
      </c>
      <c r="T161" t="s">
        <v>66</v>
      </c>
      <c r="U161" t="s">
        <v>71</v>
      </c>
    </row>
    <row r="162" spans="1:21" x14ac:dyDescent="0.35">
      <c r="A162" t="s">
        <v>267</v>
      </c>
      <c r="B162" s="5">
        <v>45851</v>
      </c>
      <c r="C162" t="s">
        <v>114</v>
      </c>
      <c r="D162" t="s">
        <v>64</v>
      </c>
      <c r="E162" s="9">
        <v>1</v>
      </c>
      <c r="F162" s="10">
        <v>420</v>
      </c>
      <c r="G162" s="11">
        <v>0</v>
      </c>
      <c r="H162" s="10">
        <v>420</v>
      </c>
      <c r="I162" s="9">
        <v>0</v>
      </c>
      <c r="J162" s="10">
        <v>0</v>
      </c>
      <c r="K162" s="9">
        <v>1</v>
      </c>
      <c r="L162" s="10">
        <v>420</v>
      </c>
      <c r="M162" s="10">
        <v>263.75</v>
      </c>
      <c r="N162" s="10">
        <v>156.25</v>
      </c>
      <c r="O162" s="11">
        <f t="shared" si="8"/>
        <v>0.37202380952380953</v>
      </c>
      <c r="P162" s="10">
        <v>34.340000000000003</v>
      </c>
      <c r="Q162" s="10">
        <v>121.91</v>
      </c>
      <c r="R162" s="11">
        <f t="shared" si="9"/>
        <v>0.29026190476190478</v>
      </c>
      <c r="S162" t="s">
        <v>81</v>
      </c>
      <c r="T162" t="s">
        <v>60</v>
      </c>
      <c r="U162" t="s">
        <v>71</v>
      </c>
    </row>
    <row r="163" spans="1:21" x14ac:dyDescent="0.35">
      <c r="A163" t="s">
        <v>268</v>
      </c>
      <c r="B163" s="5">
        <v>45974</v>
      </c>
      <c r="C163" t="s">
        <v>121</v>
      </c>
      <c r="D163" t="s">
        <v>70</v>
      </c>
      <c r="E163" s="9">
        <v>4</v>
      </c>
      <c r="F163" s="10">
        <v>110</v>
      </c>
      <c r="G163" s="11">
        <v>0.05</v>
      </c>
      <c r="H163" s="10">
        <v>418</v>
      </c>
      <c r="I163" s="9">
        <v>0</v>
      </c>
      <c r="J163" s="10">
        <v>0</v>
      </c>
      <c r="K163" s="9">
        <v>4</v>
      </c>
      <c r="L163" s="10">
        <v>418</v>
      </c>
      <c r="M163" s="10">
        <v>263.29000000000002</v>
      </c>
      <c r="N163" s="10">
        <v>154.71</v>
      </c>
      <c r="O163" s="11">
        <f t="shared" si="8"/>
        <v>0.3701196172248804</v>
      </c>
      <c r="P163" s="10">
        <v>52.72</v>
      </c>
      <c r="Q163" s="10">
        <v>101.99</v>
      </c>
      <c r="R163" s="11">
        <f t="shared" si="9"/>
        <v>0.24399521531100477</v>
      </c>
      <c r="S163" t="s">
        <v>59</v>
      </c>
      <c r="T163" t="s">
        <v>60</v>
      </c>
      <c r="U163" t="s">
        <v>71</v>
      </c>
    </row>
    <row r="164" spans="1:21" x14ac:dyDescent="0.35">
      <c r="A164" t="s">
        <v>269</v>
      </c>
      <c r="B164" s="5">
        <v>45835</v>
      </c>
      <c r="C164" t="s">
        <v>97</v>
      </c>
      <c r="D164" t="s">
        <v>57</v>
      </c>
      <c r="E164" s="9">
        <v>8</v>
      </c>
      <c r="F164" s="10">
        <v>55</v>
      </c>
      <c r="G164" s="11">
        <v>0</v>
      </c>
      <c r="H164" s="10">
        <v>440</v>
      </c>
      <c r="I164" s="9">
        <v>0</v>
      </c>
      <c r="J164" s="10">
        <v>0</v>
      </c>
      <c r="K164" s="9">
        <v>8</v>
      </c>
      <c r="L164" s="10">
        <v>440</v>
      </c>
      <c r="M164" s="10">
        <v>329.96</v>
      </c>
      <c r="N164" s="10">
        <v>110.04</v>
      </c>
      <c r="O164" s="11">
        <f t="shared" si="8"/>
        <v>0.25009090909090909</v>
      </c>
      <c r="P164" s="10">
        <v>52.66</v>
      </c>
      <c r="Q164" s="10">
        <v>57.38</v>
      </c>
      <c r="R164" s="11">
        <f t="shared" si="9"/>
        <v>0.13040909090909092</v>
      </c>
      <c r="S164" t="s">
        <v>65</v>
      </c>
      <c r="T164" t="s">
        <v>82</v>
      </c>
      <c r="U164" t="s">
        <v>61</v>
      </c>
    </row>
    <row r="165" spans="1:21" x14ac:dyDescent="0.35">
      <c r="A165" t="s">
        <v>270</v>
      </c>
      <c r="B165" s="5">
        <v>45660</v>
      </c>
      <c r="C165" t="s">
        <v>73</v>
      </c>
      <c r="D165" t="s">
        <v>74</v>
      </c>
      <c r="E165" s="9">
        <v>5</v>
      </c>
      <c r="F165" s="10">
        <v>280</v>
      </c>
      <c r="G165" s="11">
        <v>0</v>
      </c>
      <c r="H165" s="10">
        <v>1400</v>
      </c>
      <c r="I165" s="9">
        <v>0</v>
      </c>
      <c r="J165" s="10">
        <v>0</v>
      </c>
      <c r="K165" s="9">
        <v>5</v>
      </c>
      <c r="L165" s="10">
        <v>1400</v>
      </c>
      <c r="M165" s="10">
        <v>1168.6600000000001</v>
      </c>
      <c r="N165" s="10">
        <v>231.34</v>
      </c>
      <c r="O165" s="11">
        <f t="shared" si="8"/>
        <v>0.16524285714285714</v>
      </c>
      <c r="P165" s="10">
        <v>161.54</v>
      </c>
      <c r="Q165" s="10">
        <v>69.8</v>
      </c>
      <c r="R165" s="11">
        <f t="shared" si="9"/>
        <v>4.9857142857142857E-2</v>
      </c>
      <c r="S165" t="s">
        <v>59</v>
      </c>
      <c r="T165" t="s">
        <v>66</v>
      </c>
      <c r="U165" t="s">
        <v>61</v>
      </c>
    </row>
    <row r="166" spans="1:21" x14ac:dyDescent="0.35">
      <c r="A166" t="s">
        <v>272</v>
      </c>
      <c r="B166" s="5">
        <v>45900</v>
      </c>
      <c r="C166" t="s">
        <v>84</v>
      </c>
      <c r="D166" t="s">
        <v>85</v>
      </c>
      <c r="E166" s="9">
        <v>2</v>
      </c>
      <c r="F166" s="10">
        <v>48</v>
      </c>
      <c r="G166" s="11">
        <v>0.05</v>
      </c>
      <c r="H166" s="10">
        <v>91.2</v>
      </c>
      <c r="I166" s="9">
        <v>0</v>
      </c>
      <c r="J166" s="10">
        <v>0</v>
      </c>
      <c r="K166" s="9">
        <v>2</v>
      </c>
      <c r="L166" s="10">
        <v>91.2</v>
      </c>
      <c r="M166" s="10">
        <v>69.53</v>
      </c>
      <c r="N166" s="10">
        <v>21.67</v>
      </c>
      <c r="O166" s="11">
        <f t="shared" si="8"/>
        <v>0.23760964912280702</v>
      </c>
      <c r="P166" s="10">
        <v>8.06</v>
      </c>
      <c r="Q166" s="10">
        <v>13.61</v>
      </c>
      <c r="R166" s="11">
        <f t="shared" si="9"/>
        <v>0.14923245614035086</v>
      </c>
      <c r="S166" t="s">
        <v>81</v>
      </c>
      <c r="T166" t="s">
        <v>60</v>
      </c>
      <c r="U166" t="s">
        <v>76</v>
      </c>
    </row>
    <row r="167" spans="1:21" x14ac:dyDescent="0.35">
      <c r="A167" t="s">
        <v>273</v>
      </c>
      <c r="B167" s="5">
        <v>45739</v>
      </c>
      <c r="C167" t="s">
        <v>121</v>
      </c>
      <c r="D167" t="s">
        <v>70</v>
      </c>
      <c r="E167" s="9">
        <v>2</v>
      </c>
      <c r="F167" s="10">
        <v>110</v>
      </c>
      <c r="G167" s="11">
        <v>0</v>
      </c>
      <c r="H167" s="10">
        <v>220</v>
      </c>
      <c r="I167" s="9">
        <v>0</v>
      </c>
      <c r="J167" s="10">
        <v>0</v>
      </c>
      <c r="K167" s="9">
        <v>2</v>
      </c>
      <c r="L167" s="10">
        <v>220</v>
      </c>
      <c r="M167" s="10">
        <v>178.1</v>
      </c>
      <c r="N167" s="10">
        <v>41.9</v>
      </c>
      <c r="O167" s="11">
        <f t="shared" si="8"/>
        <v>0.19045454545454546</v>
      </c>
      <c r="P167" s="10">
        <v>19.77</v>
      </c>
      <c r="Q167" s="10">
        <v>22.13</v>
      </c>
      <c r="R167" s="11">
        <f t="shared" si="9"/>
        <v>0.10059090909090909</v>
      </c>
      <c r="S167" t="s">
        <v>81</v>
      </c>
      <c r="T167" t="s">
        <v>82</v>
      </c>
      <c r="U167" t="s">
        <v>76</v>
      </c>
    </row>
    <row r="168" spans="1:21" x14ac:dyDescent="0.35">
      <c r="A168" t="s">
        <v>274</v>
      </c>
      <c r="B168" s="5">
        <v>45750</v>
      </c>
      <c r="C168" t="s">
        <v>125</v>
      </c>
      <c r="D168" t="s">
        <v>85</v>
      </c>
      <c r="E168" s="9">
        <v>10</v>
      </c>
      <c r="F168" s="10">
        <v>125</v>
      </c>
      <c r="G168" s="11">
        <v>0.15</v>
      </c>
      <c r="H168" s="10">
        <v>1062.5</v>
      </c>
      <c r="I168" s="9">
        <v>0</v>
      </c>
      <c r="J168" s="10">
        <v>0</v>
      </c>
      <c r="K168" s="9">
        <v>10</v>
      </c>
      <c r="L168" s="10">
        <v>1062.5</v>
      </c>
      <c r="M168" s="10">
        <v>824.58</v>
      </c>
      <c r="N168" s="10">
        <v>237.92</v>
      </c>
      <c r="O168" s="11">
        <f t="shared" si="8"/>
        <v>0.22392470588235294</v>
      </c>
      <c r="P168" s="10">
        <v>110.94</v>
      </c>
      <c r="Q168" s="10">
        <v>126.98</v>
      </c>
      <c r="R168" s="11">
        <f t="shared" si="9"/>
        <v>0.11951058823529412</v>
      </c>
      <c r="S168" t="s">
        <v>81</v>
      </c>
      <c r="T168" t="s">
        <v>60</v>
      </c>
      <c r="U168" t="s">
        <v>76</v>
      </c>
    </row>
    <row r="169" spans="1:21" x14ac:dyDescent="0.35">
      <c r="A169" t="s">
        <v>275</v>
      </c>
      <c r="B169" s="5">
        <v>45950</v>
      </c>
      <c r="C169" t="s">
        <v>114</v>
      </c>
      <c r="D169" t="s">
        <v>64</v>
      </c>
      <c r="E169" s="9">
        <v>5</v>
      </c>
      <c r="F169" s="10">
        <v>420</v>
      </c>
      <c r="G169" s="11">
        <v>0</v>
      </c>
      <c r="H169" s="10">
        <v>2100</v>
      </c>
      <c r="I169" s="9">
        <v>0</v>
      </c>
      <c r="J169" s="10">
        <v>0</v>
      </c>
      <c r="K169" s="9">
        <v>5</v>
      </c>
      <c r="L169" s="10">
        <v>2100</v>
      </c>
      <c r="M169" s="10">
        <v>1786.23</v>
      </c>
      <c r="N169" s="10">
        <v>313.77</v>
      </c>
      <c r="O169" s="11">
        <f t="shared" si="8"/>
        <v>0.14941428571428569</v>
      </c>
      <c r="P169" s="10">
        <v>247.17</v>
      </c>
      <c r="Q169" s="10">
        <v>66.599999999999994</v>
      </c>
      <c r="R169" s="11">
        <f t="shared" si="9"/>
        <v>3.1714285714285709E-2</v>
      </c>
      <c r="S169" t="s">
        <v>65</v>
      </c>
      <c r="T169" t="s">
        <v>86</v>
      </c>
      <c r="U169" t="s">
        <v>61</v>
      </c>
    </row>
    <row r="170" spans="1:21" x14ac:dyDescent="0.35">
      <c r="A170" t="s">
        <v>276</v>
      </c>
      <c r="B170" s="5">
        <v>46011</v>
      </c>
      <c r="C170" t="s">
        <v>104</v>
      </c>
      <c r="D170" t="s">
        <v>105</v>
      </c>
      <c r="E170" s="9">
        <v>3</v>
      </c>
      <c r="F170" s="10">
        <v>65</v>
      </c>
      <c r="G170" s="11">
        <v>0</v>
      </c>
      <c r="H170" s="10">
        <v>195</v>
      </c>
      <c r="I170" s="9">
        <v>0</v>
      </c>
      <c r="J170" s="10">
        <v>0</v>
      </c>
      <c r="K170" s="9">
        <v>3</v>
      </c>
      <c r="L170" s="10">
        <v>195</v>
      </c>
      <c r="M170" s="10">
        <v>144.96</v>
      </c>
      <c r="N170" s="10">
        <v>50.04</v>
      </c>
      <c r="O170" s="11">
        <f t="shared" si="8"/>
        <v>0.25661538461538463</v>
      </c>
      <c r="P170" s="10">
        <v>10.210000000000001</v>
      </c>
      <c r="Q170" s="10">
        <v>39.83</v>
      </c>
      <c r="R170" s="11">
        <f t="shared" si="9"/>
        <v>0.20425641025641025</v>
      </c>
      <c r="S170" t="s">
        <v>65</v>
      </c>
      <c r="T170" t="s">
        <v>86</v>
      </c>
      <c r="U170" t="s">
        <v>71</v>
      </c>
    </row>
    <row r="171" spans="1:21" x14ac:dyDescent="0.35">
      <c r="A171" t="s">
        <v>277</v>
      </c>
      <c r="B171" s="5">
        <v>45925</v>
      </c>
      <c r="C171" t="s">
        <v>73</v>
      </c>
      <c r="D171" t="s">
        <v>74</v>
      </c>
      <c r="E171" s="9">
        <v>6</v>
      </c>
      <c r="F171" s="10">
        <v>280</v>
      </c>
      <c r="G171" s="11">
        <v>0</v>
      </c>
      <c r="H171" s="10">
        <v>1680</v>
      </c>
      <c r="I171" s="9">
        <v>0</v>
      </c>
      <c r="J171" s="10">
        <v>0</v>
      </c>
      <c r="K171" s="9">
        <v>6</v>
      </c>
      <c r="L171" s="10">
        <v>1680</v>
      </c>
      <c r="M171" s="10">
        <v>1153.22</v>
      </c>
      <c r="N171" s="10">
        <v>526.78</v>
      </c>
      <c r="O171" s="11">
        <f t="shared" si="8"/>
        <v>0.31355952380952379</v>
      </c>
      <c r="P171" s="10">
        <v>206.62</v>
      </c>
      <c r="Q171" s="10">
        <v>320.16000000000003</v>
      </c>
      <c r="R171" s="11">
        <f t="shared" si="9"/>
        <v>0.19057142857142859</v>
      </c>
      <c r="S171" t="s">
        <v>59</v>
      </c>
      <c r="T171" t="s">
        <v>66</v>
      </c>
      <c r="U171" t="s">
        <v>71</v>
      </c>
    </row>
    <row r="172" spans="1:21" x14ac:dyDescent="0.35">
      <c r="A172" t="s">
        <v>278</v>
      </c>
      <c r="B172" s="5">
        <v>45955</v>
      </c>
      <c r="C172" t="s">
        <v>88</v>
      </c>
      <c r="D172" t="s">
        <v>57</v>
      </c>
      <c r="E172" s="9">
        <v>5</v>
      </c>
      <c r="F172" s="10">
        <v>30</v>
      </c>
      <c r="G172" s="11">
        <v>0</v>
      </c>
      <c r="H172" s="10">
        <v>150</v>
      </c>
      <c r="I172" s="9">
        <v>0</v>
      </c>
      <c r="J172" s="10">
        <v>0</v>
      </c>
      <c r="K172" s="9">
        <v>5</v>
      </c>
      <c r="L172" s="10">
        <v>150</v>
      </c>
      <c r="M172" s="10">
        <v>120.94</v>
      </c>
      <c r="N172" s="10">
        <v>29.06</v>
      </c>
      <c r="O172" s="11">
        <f t="shared" si="8"/>
        <v>0.19373333333333331</v>
      </c>
      <c r="P172" s="10">
        <v>14.72</v>
      </c>
      <c r="Q172" s="10">
        <v>14.34</v>
      </c>
      <c r="R172" s="11">
        <f t="shared" si="9"/>
        <v>9.5600000000000004E-2</v>
      </c>
      <c r="S172" t="s">
        <v>65</v>
      </c>
      <c r="T172" t="s">
        <v>82</v>
      </c>
      <c r="U172" t="s">
        <v>71</v>
      </c>
    </row>
    <row r="173" spans="1:21" x14ac:dyDescent="0.35">
      <c r="A173" t="s">
        <v>279</v>
      </c>
      <c r="B173" s="5">
        <v>45768</v>
      </c>
      <c r="C173" t="s">
        <v>100</v>
      </c>
      <c r="D173" t="s">
        <v>64</v>
      </c>
      <c r="E173" s="9">
        <v>1</v>
      </c>
      <c r="F173" s="10">
        <v>310</v>
      </c>
      <c r="G173" s="11">
        <v>0.1</v>
      </c>
      <c r="H173" s="10">
        <v>279</v>
      </c>
      <c r="I173" s="9">
        <v>0</v>
      </c>
      <c r="J173" s="10">
        <v>0</v>
      </c>
      <c r="K173" s="9">
        <v>1</v>
      </c>
      <c r="L173" s="10">
        <v>279</v>
      </c>
      <c r="M173" s="10">
        <v>205.94</v>
      </c>
      <c r="N173" s="10">
        <v>73.06</v>
      </c>
      <c r="O173" s="11">
        <f t="shared" si="8"/>
        <v>0.26186379928315412</v>
      </c>
      <c r="P173" s="10">
        <v>33.39</v>
      </c>
      <c r="Q173" s="10">
        <v>39.67</v>
      </c>
      <c r="R173" s="11">
        <f t="shared" si="9"/>
        <v>0.14218637992831543</v>
      </c>
      <c r="S173" t="s">
        <v>81</v>
      </c>
      <c r="T173" t="s">
        <v>86</v>
      </c>
      <c r="U173" t="s">
        <v>76</v>
      </c>
    </row>
    <row r="174" spans="1:21" x14ac:dyDescent="0.35">
      <c r="A174" t="s">
        <v>281</v>
      </c>
      <c r="B174" s="5">
        <v>45886</v>
      </c>
      <c r="C174" t="s">
        <v>104</v>
      </c>
      <c r="D174" t="s">
        <v>105</v>
      </c>
      <c r="E174" s="9">
        <v>3</v>
      </c>
      <c r="F174" s="10">
        <v>65</v>
      </c>
      <c r="G174" s="11">
        <v>0</v>
      </c>
      <c r="H174" s="10">
        <v>195</v>
      </c>
      <c r="I174" s="9">
        <v>0</v>
      </c>
      <c r="J174" s="10">
        <v>0</v>
      </c>
      <c r="K174" s="9">
        <v>3</v>
      </c>
      <c r="L174" s="10">
        <v>195</v>
      </c>
      <c r="M174" s="10">
        <v>139.19999999999999</v>
      </c>
      <c r="N174" s="10">
        <v>55.8</v>
      </c>
      <c r="O174" s="11">
        <f t="shared" si="8"/>
        <v>0.28615384615384615</v>
      </c>
      <c r="P174" s="10">
        <v>13.78</v>
      </c>
      <c r="Q174" s="10">
        <v>42.02</v>
      </c>
      <c r="R174" s="11">
        <f t="shared" si="9"/>
        <v>0.21548717948717949</v>
      </c>
      <c r="S174" t="s">
        <v>75</v>
      </c>
      <c r="T174" t="s">
        <v>60</v>
      </c>
      <c r="U174" t="s">
        <v>67</v>
      </c>
    </row>
    <row r="175" spans="1:21" x14ac:dyDescent="0.35">
      <c r="A175" t="s">
        <v>282</v>
      </c>
      <c r="B175" s="5">
        <v>45775</v>
      </c>
      <c r="C175" t="s">
        <v>88</v>
      </c>
      <c r="D175" t="s">
        <v>57</v>
      </c>
      <c r="E175" s="9">
        <v>3</v>
      </c>
      <c r="F175" s="10">
        <v>30</v>
      </c>
      <c r="G175" s="11">
        <v>0</v>
      </c>
      <c r="H175" s="10">
        <v>90</v>
      </c>
      <c r="I175" s="9">
        <v>0</v>
      </c>
      <c r="J175" s="10">
        <v>0</v>
      </c>
      <c r="K175" s="9">
        <v>3</v>
      </c>
      <c r="L175" s="10">
        <v>90</v>
      </c>
      <c r="M175" s="10">
        <v>60.92</v>
      </c>
      <c r="N175" s="10">
        <v>29.08</v>
      </c>
      <c r="O175" s="11">
        <f t="shared" si="8"/>
        <v>0.32311111111111107</v>
      </c>
      <c r="P175" s="10">
        <v>10.86</v>
      </c>
      <c r="Q175" s="10">
        <v>18.22</v>
      </c>
      <c r="R175" s="11">
        <f t="shared" si="9"/>
        <v>0.20244444444444443</v>
      </c>
      <c r="S175" t="s">
        <v>81</v>
      </c>
      <c r="T175" t="s">
        <v>86</v>
      </c>
      <c r="U175" t="s">
        <v>71</v>
      </c>
    </row>
    <row r="176" spans="1:21" x14ac:dyDescent="0.35">
      <c r="A176" t="s">
        <v>283</v>
      </c>
      <c r="B176" s="5">
        <v>45970</v>
      </c>
      <c r="C176" t="s">
        <v>84</v>
      </c>
      <c r="D176" t="s">
        <v>85</v>
      </c>
      <c r="E176" s="9">
        <v>4</v>
      </c>
      <c r="F176" s="10">
        <v>48</v>
      </c>
      <c r="G176" s="11">
        <v>0</v>
      </c>
      <c r="H176" s="10">
        <v>192</v>
      </c>
      <c r="I176" s="9">
        <v>0</v>
      </c>
      <c r="J176" s="10">
        <v>0</v>
      </c>
      <c r="K176" s="9">
        <v>4</v>
      </c>
      <c r="L176" s="10">
        <v>192</v>
      </c>
      <c r="M176" s="10">
        <v>139.75</v>
      </c>
      <c r="N176" s="10">
        <v>52.25</v>
      </c>
      <c r="O176" s="11">
        <f t="shared" si="8"/>
        <v>0.27213541666666669</v>
      </c>
      <c r="P176" s="10">
        <v>24.17</v>
      </c>
      <c r="Q176" s="10">
        <v>28.08</v>
      </c>
      <c r="R176" s="11">
        <f t="shared" si="9"/>
        <v>0.14624999999999999</v>
      </c>
      <c r="S176" t="s">
        <v>65</v>
      </c>
      <c r="T176" t="s">
        <v>82</v>
      </c>
      <c r="U176" t="s">
        <v>61</v>
      </c>
    </row>
    <row r="177" spans="1:21" x14ac:dyDescent="0.35">
      <c r="A177" t="s">
        <v>284</v>
      </c>
      <c r="B177" s="5">
        <v>45813</v>
      </c>
      <c r="C177" t="s">
        <v>264</v>
      </c>
      <c r="D177" t="s">
        <v>85</v>
      </c>
      <c r="E177" s="9">
        <v>4</v>
      </c>
      <c r="F177" s="10">
        <v>20</v>
      </c>
      <c r="G177" s="11">
        <v>0.02</v>
      </c>
      <c r="H177" s="10">
        <v>78.400000000000006</v>
      </c>
      <c r="I177" s="9">
        <v>0</v>
      </c>
      <c r="J177" s="10">
        <v>0</v>
      </c>
      <c r="K177" s="9">
        <v>4</v>
      </c>
      <c r="L177" s="10">
        <v>78.400000000000006</v>
      </c>
      <c r="M177" s="10">
        <v>57.54</v>
      </c>
      <c r="N177" s="10">
        <v>20.86</v>
      </c>
      <c r="O177" s="11">
        <f t="shared" si="8"/>
        <v>0.26607142857142857</v>
      </c>
      <c r="P177" s="10">
        <v>8.9700000000000006</v>
      </c>
      <c r="Q177" s="10">
        <v>11.89</v>
      </c>
      <c r="R177" s="11">
        <f t="shared" si="9"/>
        <v>0.15165816326530612</v>
      </c>
      <c r="S177" t="s">
        <v>59</v>
      </c>
      <c r="T177" t="s">
        <v>60</v>
      </c>
      <c r="U177" t="s">
        <v>71</v>
      </c>
    </row>
    <row r="178" spans="1:21" x14ac:dyDescent="0.35">
      <c r="A178" t="s">
        <v>285</v>
      </c>
      <c r="B178" s="5">
        <v>45939</v>
      </c>
      <c r="C178" t="s">
        <v>69</v>
      </c>
      <c r="D178" t="s">
        <v>70</v>
      </c>
      <c r="E178" s="9">
        <v>3</v>
      </c>
      <c r="F178" s="10">
        <v>210</v>
      </c>
      <c r="G178" s="11">
        <v>0</v>
      </c>
      <c r="H178" s="10">
        <v>630</v>
      </c>
      <c r="I178" s="9">
        <v>0</v>
      </c>
      <c r="J178" s="10">
        <v>0</v>
      </c>
      <c r="K178" s="9">
        <v>3</v>
      </c>
      <c r="L178" s="10">
        <v>630</v>
      </c>
      <c r="M178" s="10">
        <v>539.79</v>
      </c>
      <c r="N178" s="10">
        <v>90.21</v>
      </c>
      <c r="O178" s="11">
        <f t="shared" si="8"/>
        <v>0.14319047619047617</v>
      </c>
      <c r="P178" s="10">
        <v>43.15</v>
      </c>
      <c r="Q178" s="10">
        <v>47.06</v>
      </c>
      <c r="R178" s="11">
        <f t="shared" si="9"/>
        <v>7.4698412698412708E-2</v>
      </c>
      <c r="S178" t="s">
        <v>75</v>
      </c>
      <c r="T178" t="s">
        <v>66</v>
      </c>
      <c r="U178" t="s">
        <v>76</v>
      </c>
    </row>
    <row r="179" spans="1:21" x14ac:dyDescent="0.35">
      <c r="A179" t="s">
        <v>286</v>
      </c>
      <c r="B179" s="5">
        <v>45933</v>
      </c>
      <c r="C179" t="s">
        <v>95</v>
      </c>
      <c r="D179" t="s">
        <v>64</v>
      </c>
      <c r="E179" s="9">
        <v>3</v>
      </c>
      <c r="F179" s="10">
        <v>52</v>
      </c>
      <c r="G179" s="11">
        <v>0.1</v>
      </c>
      <c r="H179" s="10">
        <v>140.4</v>
      </c>
      <c r="I179" s="9">
        <v>0</v>
      </c>
      <c r="J179" s="10">
        <v>0</v>
      </c>
      <c r="K179" s="9">
        <v>3</v>
      </c>
      <c r="L179" s="10">
        <v>140.4</v>
      </c>
      <c r="M179" s="10">
        <v>97.7</v>
      </c>
      <c r="N179" s="10">
        <v>42.7</v>
      </c>
      <c r="O179" s="11">
        <f t="shared" si="8"/>
        <v>0.30413105413105412</v>
      </c>
      <c r="P179" s="10">
        <v>7.49</v>
      </c>
      <c r="Q179" s="10">
        <v>35.21</v>
      </c>
      <c r="R179" s="11">
        <f t="shared" si="9"/>
        <v>0.25078347578347576</v>
      </c>
      <c r="S179" t="s">
        <v>75</v>
      </c>
      <c r="T179" t="s">
        <v>82</v>
      </c>
      <c r="U179" t="s">
        <v>61</v>
      </c>
    </row>
    <row r="180" spans="1:21" x14ac:dyDescent="0.35">
      <c r="A180" t="s">
        <v>287</v>
      </c>
      <c r="B180" s="5">
        <v>45835</v>
      </c>
      <c r="C180" t="s">
        <v>264</v>
      </c>
      <c r="D180" t="s">
        <v>85</v>
      </c>
      <c r="E180" s="9">
        <v>1</v>
      </c>
      <c r="F180" s="10">
        <v>20</v>
      </c>
      <c r="G180" s="11">
        <v>0</v>
      </c>
      <c r="H180" s="10">
        <v>20</v>
      </c>
      <c r="I180" s="9">
        <v>0</v>
      </c>
      <c r="J180" s="10">
        <v>0</v>
      </c>
      <c r="K180" s="9">
        <v>1</v>
      </c>
      <c r="L180" s="10">
        <v>20</v>
      </c>
      <c r="M180" s="10">
        <v>17.07</v>
      </c>
      <c r="N180" s="10">
        <v>2.93</v>
      </c>
      <c r="O180" s="11">
        <f t="shared" si="8"/>
        <v>0.14650000000000002</v>
      </c>
      <c r="P180" s="10">
        <v>1.41</v>
      </c>
      <c r="Q180" s="10">
        <v>1.52</v>
      </c>
      <c r="R180" s="11">
        <f t="shared" si="9"/>
        <v>7.5999999999999998E-2</v>
      </c>
      <c r="S180" t="s">
        <v>59</v>
      </c>
      <c r="T180" t="s">
        <v>86</v>
      </c>
      <c r="U180" t="s">
        <v>71</v>
      </c>
    </row>
    <row r="181" spans="1:21" x14ac:dyDescent="0.35">
      <c r="A181" t="s">
        <v>288</v>
      </c>
      <c r="B181" s="5">
        <v>45665</v>
      </c>
      <c r="C181" t="s">
        <v>104</v>
      </c>
      <c r="D181" t="s">
        <v>105</v>
      </c>
      <c r="E181" s="9">
        <v>1</v>
      </c>
      <c r="F181" s="10">
        <v>65</v>
      </c>
      <c r="G181" s="11">
        <v>0</v>
      </c>
      <c r="H181" s="10">
        <v>65</v>
      </c>
      <c r="I181" s="9">
        <v>0</v>
      </c>
      <c r="J181" s="10">
        <v>0</v>
      </c>
      <c r="K181" s="9">
        <v>1</v>
      </c>
      <c r="L181" s="10">
        <v>65</v>
      </c>
      <c r="M181" s="10">
        <v>42.54</v>
      </c>
      <c r="N181" s="10">
        <v>22.46</v>
      </c>
      <c r="O181" s="11">
        <f t="shared" si="8"/>
        <v>0.34553846153846157</v>
      </c>
      <c r="P181" s="10">
        <v>7.06</v>
      </c>
      <c r="Q181" s="10">
        <v>15.4</v>
      </c>
      <c r="R181" s="11">
        <f t="shared" si="9"/>
        <v>0.23692307692307693</v>
      </c>
      <c r="S181" t="s">
        <v>81</v>
      </c>
      <c r="T181" t="s">
        <v>66</v>
      </c>
      <c r="U181" t="s">
        <v>67</v>
      </c>
    </row>
    <row r="182" spans="1:21" x14ac:dyDescent="0.35">
      <c r="A182" t="s">
        <v>289</v>
      </c>
      <c r="B182" s="5">
        <v>45776</v>
      </c>
      <c r="C182" t="s">
        <v>88</v>
      </c>
      <c r="D182" t="s">
        <v>57</v>
      </c>
      <c r="E182" s="9">
        <v>1</v>
      </c>
      <c r="F182" s="10">
        <v>30</v>
      </c>
      <c r="G182" s="11">
        <v>0</v>
      </c>
      <c r="H182" s="10">
        <v>30</v>
      </c>
      <c r="I182" s="9">
        <v>0</v>
      </c>
      <c r="J182" s="10">
        <v>0</v>
      </c>
      <c r="K182" s="9">
        <v>1</v>
      </c>
      <c r="L182" s="10">
        <v>30</v>
      </c>
      <c r="M182" s="10">
        <v>25.54</v>
      </c>
      <c r="N182" s="10">
        <v>4.46</v>
      </c>
      <c r="O182" s="11">
        <f t="shared" si="8"/>
        <v>0.14866666666666667</v>
      </c>
      <c r="P182" s="10">
        <v>3.09</v>
      </c>
      <c r="Q182" s="10">
        <v>1.37</v>
      </c>
      <c r="R182" s="11">
        <f t="shared" si="9"/>
        <v>4.5666666666666668E-2</v>
      </c>
      <c r="S182" t="s">
        <v>81</v>
      </c>
      <c r="T182" t="s">
        <v>60</v>
      </c>
      <c r="U182" t="s">
        <v>71</v>
      </c>
    </row>
    <row r="183" spans="1:21" x14ac:dyDescent="0.35">
      <c r="A183" t="s">
        <v>290</v>
      </c>
      <c r="B183" s="5">
        <v>46002</v>
      </c>
      <c r="C183" t="s">
        <v>78</v>
      </c>
      <c r="D183" t="s">
        <v>79</v>
      </c>
      <c r="E183" s="9">
        <v>2</v>
      </c>
      <c r="F183" s="10">
        <v>120</v>
      </c>
      <c r="G183" s="11">
        <v>0.05</v>
      </c>
      <c r="H183" s="10">
        <v>228</v>
      </c>
      <c r="I183" s="9">
        <v>0</v>
      </c>
      <c r="J183" s="10">
        <v>0</v>
      </c>
      <c r="K183" s="9">
        <v>2</v>
      </c>
      <c r="L183" s="10">
        <v>228</v>
      </c>
      <c r="M183" s="10">
        <v>188.67</v>
      </c>
      <c r="N183" s="10">
        <v>39.33</v>
      </c>
      <c r="O183" s="11">
        <f t="shared" si="8"/>
        <v>0.17249999999999999</v>
      </c>
      <c r="P183" s="10">
        <v>13.46</v>
      </c>
      <c r="Q183" s="10">
        <v>25.87</v>
      </c>
      <c r="R183" s="11">
        <f t="shared" si="9"/>
        <v>0.11346491228070175</v>
      </c>
      <c r="S183" t="s">
        <v>81</v>
      </c>
      <c r="T183" t="s">
        <v>86</v>
      </c>
      <c r="U183" t="s">
        <v>67</v>
      </c>
    </row>
    <row r="184" spans="1:21" x14ac:dyDescent="0.35">
      <c r="A184" t="s">
        <v>291</v>
      </c>
      <c r="B184" s="5">
        <v>45877</v>
      </c>
      <c r="C184" t="s">
        <v>114</v>
      </c>
      <c r="D184" t="s">
        <v>64</v>
      </c>
      <c r="E184" s="9">
        <v>1</v>
      </c>
      <c r="F184" s="10">
        <v>420</v>
      </c>
      <c r="G184" s="11">
        <v>0.02</v>
      </c>
      <c r="H184" s="10">
        <v>411.6</v>
      </c>
      <c r="I184" s="9">
        <v>0</v>
      </c>
      <c r="J184" s="10">
        <v>0</v>
      </c>
      <c r="K184" s="9">
        <v>1</v>
      </c>
      <c r="L184" s="10">
        <v>411.6</v>
      </c>
      <c r="M184" s="10">
        <v>294.10000000000002</v>
      </c>
      <c r="N184" s="10">
        <v>117.5</v>
      </c>
      <c r="O184" s="11">
        <f t="shared" si="8"/>
        <v>0.28547133138969871</v>
      </c>
      <c r="P184" s="10">
        <v>24.09</v>
      </c>
      <c r="Q184" s="10">
        <v>93.41</v>
      </c>
      <c r="R184" s="11">
        <f t="shared" si="9"/>
        <v>0.22694363459669581</v>
      </c>
      <c r="S184" t="s">
        <v>81</v>
      </c>
      <c r="T184" t="s">
        <v>82</v>
      </c>
      <c r="U184" t="s">
        <v>61</v>
      </c>
    </row>
    <row r="185" spans="1:21" x14ac:dyDescent="0.35">
      <c r="A185" t="s">
        <v>292</v>
      </c>
      <c r="B185" s="5">
        <v>45816</v>
      </c>
      <c r="C185" t="s">
        <v>109</v>
      </c>
      <c r="D185" t="s">
        <v>85</v>
      </c>
      <c r="E185" s="9">
        <v>2</v>
      </c>
      <c r="F185" s="10">
        <v>180</v>
      </c>
      <c r="G185" s="11">
        <v>0.1</v>
      </c>
      <c r="H185" s="10">
        <v>324</v>
      </c>
      <c r="I185" s="9">
        <v>0</v>
      </c>
      <c r="J185" s="10">
        <v>0</v>
      </c>
      <c r="K185" s="9">
        <v>2</v>
      </c>
      <c r="L185" s="10">
        <v>324</v>
      </c>
      <c r="M185" s="10">
        <v>278.12</v>
      </c>
      <c r="N185" s="10">
        <v>45.88</v>
      </c>
      <c r="O185" s="11">
        <f t="shared" si="8"/>
        <v>0.14160493827160495</v>
      </c>
      <c r="P185" s="10">
        <v>18.55</v>
      </c>
      <c r="Q185" s="10">
        <v>27.33</v>
      </c>
      <c r="R185" s="11">
        <f t="shared" si="9"/>
        <v>8.4351851851851845E-2</v>
      </c>
      <c r="S185" t="s">
        <v>75</v>
      </c>
      <c r="T185" t="s">
        <v>60</v>
      </c>
      <c r="U185" t="s">
        <v>61</v>
      </c>
    </row>
    <row r="186" spans="1:21" x14ac:dyDescent="0.35">
      <c r="A186" t="s">
        <v>294</v>
      </c>
      <c r="B186" s="5">
        <v>45936</v>
      </c>
      <c r="C186" t="s">
        <v>100</v>
      </c>
      <c r="D186" t="s">
        <v>64</v>
      </c>
      <c r="E186" s="9">
        <v>2</v>
      </c>
      <c r="F186" s="10">
        <v>310</v>
      </c>
      <c r="G186" s="11">
        <v>0</v>
      </c>
      <c r="H186" s="10">
        <v>620</v>
      </c>
      <c r="I186" s="9">
        <v>0</v>
      </c>
      <c r="J186" s="10">
        <v>0</v>
      </c>
      <c r="K186" s="9">
        <v>2</v>
      </c>
      <c r="L186" s="10">
        <v>620</v>
      </c>
      <c r="M186" s="10">
        <v>483.74</v>
      </c>
      <c r="N186" s="10">
        <v>136.26</v>
      </c>
      <c r="O186" s="11">
        <f t="shared" si="8"/>
        <v>0.21977419354838709</v>
      </c>
      <c r="P186" s="10">
        <v>68.81</v>
      </c>
      <c r="Q186" s="10">
        <v>67.45</v>
      </c>
      <c r="R186" s="11">
        <f t="shared" si="9"/>
        <v>0.10879032258064517</v>
      </c>
      <c r="S186" t="s">
        <v>59</v>
      </c>
      <c r="T186" t="s">
        <v>2133</v>
      </c>
      <c r="U186" t="s">
        <v>76</v>
      </c>
    </row>
    <row r="187" spans="1:21" x14ac:dyDescent="0.35">
      <c r="A187" t="s">
        <v>296</v>
      </c>
      <c r="B187" s="5">
        <v>45856</v>
      </c>
      <c r="C187" t="s">
        <v>114</v>
      </c>
      <c r="D187" t="s">
        <v>64</v>
      </c>
      <c r="E187" s="9">
        <v>1</v>
      </c>
      <c r="F187" s="10">
        <v>420</v>
      </c>
      <c r="G187" s="11">
        <v>0</v>
      </c>
      <c r="H187" s="10">
        <v>420</v>
      </c>
      <c r="I187" s="9">
        <v>0</v>
      </c>
      <c r="J187" s="10">
        <v>0</v>
      </c>
      <c r="K187" s="9">
        <v>1</v>
      </c>
      <c r="L187" s="10">
        <v>420</v>
      </c>
      <c r="M187" s="10">
        <v>260.98</v>
      </c>
      <c r="N187" s="10">
        <v>159.02000000000001</v>
      </c>
      <c r="O187" s="11">
        <f t="shared" si="8"/>
        <v>0.37861904761904763</v>
      </c>
      <c r="P187" s="10">
        <v>33.31</v>
      </c>
      <c r="Q187" s="10">
        <v>125.71</v>
      </c>
      <c r="R187" s="11">
        <f t="shared" si="9"/>
        <v>0.2993095238095238</v>
      </c>
      <c r="S187" t="s">
        <v>59</v>
      </c>
      <c r="T187" t="s">
        <v>66</v>
      </c>
      <c r="U187" t="s">
        <v>76</v>
      </c>
    </row>
    <row r="188" spans="1:21" x14ac:dyDescent="0.35">
      <c r="A188" t="s">
        <v>297</v>
      </c>
      <c r="B188" s="5">
        <v>45767</v>
      </c>
      <c r="C188" t="s">
        <v>114</v>
      </c>
      <c r="D188" t="s">
        <v>64</v>
      </c>
      <c r="E188" s="9">
        <v>2</v>
      </c>
      <c r="F188" s="10">
        <v>420</v>
      </c>
      <c r="G188" s="11">
        <v>0</v>
      </c>
      <c r="H188" s="10">
        <v>840</v>
      </c>
      <c r="I188" s="9">
        <v>0</v>
      </c>
      <c r="J188" s="10">
        <v>0</v>
      </c>
      <c r="K188" s="9">
        <v>2</v>
      </c>
      <c r="L188" s="10">
        <v>840</v>
      </c>
      <c r="M188" s="10">
        <v>566.62</v>
      </c>
      <c r="N188" s="10">
        <v>273.38</v>
      </c>
      <c r="O188" s="11">
        <f t="shared" si="8"/>
        <v>0.32545238095238094</v>
      </c>
      <c r="P188" s="10">
        <v>82.55</v>
      </c>
      <c r="Q188" s="10">
        <v>190.83</v>
      </c>
      <c r="R188" s="11">
        <f t="shared" si="9"/>
        <v>0.22717857142857145</v>
      </c>
      <c r="S188" t="s">
        <v>81</v>
      </c>
      <c r="T188" t="s">
        <v>82</v>
      </c>
      <c r="U188" t="s">
        <v>71</v>
      </c>
    </row>
    <row r="189" spans="1:21" x14ac:dyDescent="0.35">
      <c r="A189" t="s">
        <v>298</v>
      </c>
      <c r="B189" s="5">
        <v>45878</v>
      </c>
      <c r="C189" t="s">
        <v>121</v>
      </c>
      <c r="D189" t="s">
        <v>70</v>
      </c>
      <c r="E189" s="9">
        <v>3</v>
      </c>
      <c r="F189" s="10">
        <v>110</v>
      </c>
      <c r="G189" s="11">
        <v>0</v>
      </c>
      <c r="H189" s="10">
        <v>330</v>
      </c>
      <c r="I189" s="9">
        <v>0</v>
      </c>
      <c r="J189" s="10">
        <v>0</v>
      </c>
      <c r="K189" s="9">
        <v>3</v>
      </c>
      <c r="L189" s="10">
        <v>330</v>
      </c>
      <c r="M189" s="10">
        <v>279.95999999999998</v>
      </c>
      <c r="N189" s="10">
        <v>50.04</v>
      </c>
      <c r="O189" s="11">
        <f t="shared" si="8"/>
        <v>0.15163636363636362</v>
      </c>
      <c r="P189" s="10">
        <v>40.64</v>
      </c>
      <c r="Q189" s="10">
        <v>9.4</v>
      </c>
      <c r="R189" s="11">
        <f t="shared" si="9"/>
        <v>2.8484848484848484E-2</v>
      </c>
      <c r="S189" t="s">
        <v>81</v>
      </c>
      <c r="T189" t="s">
        <v>66</v>
      </c>
      <c r="U189" t="s">
        <v>61</v>
      </c>
    </row>
    <row r="190" spans="1:21" x14ac:dyDescent="0.35">
      <c r="A190" t="s">
        <v>299</v>
      </c>
      <c r="B190" s="5">
        <v>45983</v>
      </c>
      <c r="C190" t="s">
        <v>125</v>
      </c>
      <c r="D190" t="s">
        <v>85</v>
      </c>
      <c r="E190" s="9">
        <v>2</v>
      </c>
      <c r="F190" s="10">
        <v>125</v>
      </c>
      <c r="G190" s="11">
        <v>0.02</v>
      </c>
      <c r="H190" s="10">
        <v>245</v>
      </c>
      <c r="I190" s="9">
        <v>0</v>
      </c>
      <c r="J190" s="10">
        <v>0</v>
      </c>
      <c r="K190" s="9">
        <v>2</v>
      </c>
      <c r="L190" s="10">
        <v>245</v>
      </c>
      <c r="M190" s="10">
        <v>183.28</v>
      </c>
      <c r="N190" s="10">
        <v>61.72</v>
      </c>
      <c r="O190" s="11">
        <f t="shared" si="8"/>
        <v>0.25191836734693879</v>
      </c>
      <c r="P190" s="10">
        <v>27.24</v>
      </c>
      <c r="Q190" s="10">
        <v>34.479999999999997</v>
      </c>
      <c r="R190" s="11">
        <f t="shared" si="9"/>
        <v>0.140734693877551</v>
      </c>
      <c r="S190" t="s">
        <v>81</v>
      </c>
      <c r="T190" t="s">
        <v>82</v>
      </c>
      <c r="U190" t="s">
        <v>61</v>
      </c>
    </row>
    <row r="191" spans="1:21" x14ac:dyDescent="0.35">
      <c r="A191" t="s">
        <v>300</v>
      </c>
      <c r="B191" s="5">
        <v>45938</v>
      </c>
      <c r="C191" t="s">
        <v>264</v>
      </c>
      <c r="D191" t="s">
        <v>85</v>
      </c>
      <c r="E191" s="9">
        <v>1</v>
      </c>
      <c r="F191" s="10">
        <v>20</v>
      </c>
      <c r="G191" s="11">
        <v>0</v>
      </c>
      <c r="H191" s="10">
        <v>20</v>
      </c>
      <c r="I191" s="9">
        <v>0</v>
      </c>
      <c r="J191" s="10">
        <v>0</v>
      </c>
      <c r="K191" s="9">
        <v>1</v>
      </c>
      <c r="L191" s="10">
        <v>20</v>
      </c>
      <c r="M191" s="10">
        <v>12.44</v>
      </c>
      <c r="N191" s="10">
        <v>7.56</v>
      </c>
      <c r="O191" s="11">
        <f t="shared" si="8"/>
        <v>0.378</v>
      </c>
      <c r="P191" s="10">
        <v>2.44</v>
      </c>
      <c r="Q191" s="10">
        <v>5.12</v>
      </c>
      <c r="R191" s="11">
        <f t="shared" si="9"/>
        <v>0.25600000000000001</v>
      </c>
      <c r="S191" t="s">
        <v>65</v>
      </c>
      <c r="T191" t="s">
        <v>60</v>
      </c>
      <c r="U191" t="s">
        <v>76</v>
      </c>
    </row>
    <row r="192" spans="1:21" x14ac:dyDescent="0.35">
      <c r="A192" t="s">
        <v>301</v>
      </c>
      <c r="B192" s="5">
        <v>45709</v>
      </c>
      <c r="C192" t="s">
        <v>73</v>
      </c>
      <c r="D192" t="s">
        <v>74</v>
      </c>
      <c r="E192" s="9">
        <v>1</v>
      </c>
      <c r="F192" s="10">
        <v>280</v>
      </c>
      <c r="G192" s="11">
        <v>0</v>
      </c>
      <c r="H192" s="10">
        <v>280</v>
      </c>
      <c r="I192" s="9">
        <v>0</v>
      </c>
      <c r="J192" s="10">
        <v>0</v>
      </c>
      <c r="K192" s="9">
        <v>1</v>
      </c>
      <c r="L192" s="10">
        <v>280</v>
      </c>
      <c r="M192" s="10">
        <v>186.67</v>
      </c>
      <c r="N192" s="10">
        <v>93.33</v>
      </c>
      <c r="O192" s="11">
        <f t="shared" si="8"/>
        <v>0.33332142857142855</v>
      </c>
      <c r="P192" s="10">
        <v>27.83</v>
      </c>
      <c r="Q192" s="10">
        <v>65.5</v>
      </c>
      <c r="R192" s="11">
        <f t="shared" si="9"/>
        <v>0.23392857142857143</v>
      </c>
      <c r="S192" t="s">
        <v>81</v>
      </c>
      <c r="T192" t="s">
        <v>60</v>
      </c>
      <c r="U192" t="s">
        <v>67</v>
      </c>
    </row>
    <row r="193" spans="1:21" x14ac:dyDescent="0.35">
      <c r="A193" t="s">
        <v>302</v>
      </c>
      <c r="B193" s="5">
        <v>45734</v>
      </c>
      <c r="C193" t="s">
        <v>73</v>
      </c>
      <c r="D193" t="s">
        <v>74</v>
      </c>
      <c r="E193" s="9">
        <v>3</v>
      </c>
      <c r="F193" s="10">
        <v>280</v>
      </c>
      <c r="G193" s="11">
        <v>0.02</v>
      </c>
      <c r="H193" s="10">
        <v>823.2</v>
      </c>
      <c r="I193" s="9">
        <v>0</v>
      </c>
      <c r="J193" s="10">
        <v>0</v>
      </c>
      <c r="K193" s="9">
        <v>3</v>
      </c>
      <c r="L193" s="10">
        <v>823.2</v>
      </c>
      <c r="M193" s="10">
        <v>528.09</v>
      </c>
      <c r="N193" s="10">
        <v>295.11</v>
      </c>
      <c r="O193" s="11">
        <f t="shared" si="8"/>
        <v>0.35849125364431489</v>
      </c>
      <c r="P193" s="10">
        <v>67.5</v>
      </c>
      <c r="Q193" s="10">
        <v>227.61</v>
      </c>
      <c r="R193" s="11">
        <f t="shared" si="9"/>
        <v>0.27649416909620994</v>
      </c>
      <c r="S193" t="s">
        <v>65</v>
      </c>
      <c r="T193" t="s">
        <v>82</v>
      </c>
      <c r="U193" t="s">
        <v>67</v>
      </c>
    </row>
    <row r="194" spans="1:21" x14ac:dyDescent="0.35">
      <c r="A194" t="s">
        <v>303</v>
      </c>
      <c r="B194" s="5">
        <v>45898</v>
      </c>
      <c r="C194" t="s">
        <v>264</v>
      </c>
      <c r="D194" t="s">
        <v>85</v>
      </c>
      <c r="E194" s="9">
        <v>1</v>
      </c>
      <c r="F194" s="10">
        <v>20</v>
      </c>
      <c r="G194" s="11">
        <v>0.1</v>
      </c>
      <c r="H194" s="10">
        <v>18</v>
      </c>
      <c r="I194" s="9">
        <v>0</v>
      </c>
      <c r="J194" s="10">
        <v>0</v>
      </c>
      <c r="K194" s="9">
        <v>1</v>
      </c>
      <c r="L194" s="10">
        <v>18</v>
      </c>
      <c r="M194" s="10">
        <v>14.62</v>
      </c>
      <c r="N194" s="10">
        <v>3.38</v>
      </c>
      <c r="O194" s="11">
        <f t="shared" si="8"/>
        <v>0.18777777777777777</v>
      </c>
      <c r="P194" s="10">
        <v>1.33</v>
      </c>
      <c r="Q194" s="10">
        <v>2.0499999999999998</v>
      </c>
      <c r="R194" s="11">
        <f t="shared" si="9"/>
        <v>0.11388888888888887</v>
      </c>
      <c r="S194" t="s">
        <v>81</v>
      </c>
      <c r="T194" t="s">
        <v>66</v>
      </c>
      <c r="U194" t="s">
        <v>71</v>
      </c>
    </row>
    <row r="195" spans="1:21" x14ac:dyDescent="0.35">
      <c r="A195" t="s">
        <v>304</v>
      </c>
      <c r="B195" s="5">
        <v>45704</v>
      </c>
      <c r="C195" t="s">
        <v>63</v>
      </c>
      <c r="D195" t="s">
        <v>64</v>
      </c>
      <c r="E195" s="9">
        <v>2</v>
      </c>
      <c r="F195" s="10">
        <v>145</v>
      </c>
      <c r="G195" s="11">
        <v>0</v>
      </c>
      <c r="H195" s="10">
        <v>290</v>
      </c>
      <c r="I195" s="9">
        <v>0</v>
      </c>
      <c r="J195" s="10">
        <v>0</v>
      </c>
      <c r="K195" s="9">
        <v>2</v>
      </c>
      <c r="L195" s="10">
        <v>290</v>
      </c>
      <c r="M195" s="10">
        <v>236.58</v>
      </c>
      <c r="N195" s="10">
        <v>53.42</v>
      </c>
      <c r="O195" s="11">
        <f t="shared" si="8"/>
        <v>0.18420689655172415</v>
      </c>
      <c r="P195" s="10">
        <v>26.71</v>
      </c>
      <c r="Q195" s="10">
        <v>26.71</v>
      </c>
      <c r="R195" s="11">
        <f t="shared" si="9"/>
        <v>9.2103448275862074E-2</v>
      </c>
      <c r="S195" t="s">
        <v>59</v>
      </c>
      <c r="T195" t="s">
        <v>66</v>
      </c>
      <c r="U195" t="s">
        <v>76</v>
      </c>
    </row>
    <row r="196" spans="1:21" x14ac:dyDescent="0.35">
      <c r="A196" t="s">
        <v>305</v>
      </c>
      <c r="B196" s="5">
        <v>45809</v>
      </c>
      <c r="C196" t="s">
        <v>97</v>
      </c>
      <c r="D196" t="s">
        <v>57</v>
      </c>
      <c r="E196" s="9">
        <v>5</v>
      </c>
      <c r="F196" s="10">
        <v>55</v>
      </c>
      <c r="G196" s="11">
        <v>0.02</v>
      </c>
      <c r="H196" s="10">
        <v>269.5</v>
      </c>
      <c r="I196" s="9">
        <v>0</v>
      </c>
      <c r="J196" s="10">
        <v>0</v>
      </c>
      <c r="K196" s="9">
        <v>5</v>
      </c>
      <c r="L196" s="10">
        <v>269.5</v>
      </c>
      <c r="M196" s="10">
        <v>178.39</v>
      </c>
      <c r="N196" s="10">
        <v>91.11</v>
      </c>
      <c r="O196" s="11">
        <f t="shared" si="8"/>
        <v>0.33807050092764379</v>
      </c>
      <c r="P196" s="10">
        <v>33.01</v>
      </c>
      <c r="Q196" s="10">
        <v>58.1</v>
      </c>
      <c r="R196" s="11">
        <f t="shared" si="9"/>
        <v>0.2155844155844156</v>
      </c>
      <c r="S196" t="s">
        <v>65</v>
      </c>
      <c r="T196" t="s">
        <v>66</v>
      </c>
      <c r="U196" t="s">
        <v>71</v>
      </c>
    </row>
    <row r="197" spans="1:21" x14ac:dyDescent="0.35">
      <c r="A197" t="s">
        <v>306</v>
      </c>
      <c r="B197" s="5">
        <v>45821</v>
      </c>
      <c r="C197" t="s">
        <v>125</v>
      </c>
      <c r="D197" t="s">
        <v>85</v>
      </c>
      <c r="E197" s="9">
        <v>2</v>
      </c>
      <c r="F197" s="10">
        <v>125</v>
      </c>
      <c r="G197" s="11">
        <v>0.05</v>
      </c>
      <c r="H197" s="10">
        <v>237.5</v>
      </c>
      <c r="I197" s="9">
        <v>0</v>
      </c>
      <c r="J197" s="10">
        <v>0</v>
      </c>
      <c r="K197" s="9">
        <v>2</v>
      </c>
      <c r="L197" s="10">
        <v>237.5</v>
      </c>
      <c r="M197" s="10">
        <v>195.77</v>
      </c>
      <c r="N197" s="10">
        <v>41.73</v>
      </c>
      <c r="O197" s="11">
        <f t="shared" si="8"/>
        <v>0.17570526315789473</v>
      </c>
      <c r="P197" s="10">
        <v>27.26</v>
      </c>
      <c r="Q197" s="10">
        <v>14.47</v>
      </c>
      <c r="R197" s="11">
        <f t="shared" si="9"/>
        <v>6.092631578947369E-2</v>
      </c>
      <c r="S197" t="s">
        <v>81</v>
      </c>
      <c r="T197" t="s">
        <v>66</v>
      </c>
      <c r="U197" t="s">
        <v>76</v>
      </c>
    </row>
    <row r="198" spans="1:21" x14ac:dyDescent="0.35">
      <c r="A198" t="s">
        <v>307</v>
      </c>
      <c r="B198" s="5">
        <v>45807</v>
      </c>
      <c r="C198" t="s">
        <v>78</v>
      </c>
      <c r="D198" t="s">
        <v>79</v>
      </c>
      <c r="E198" s="9">
        <v>1</v>
      </c>
      <c r="F198" s="10">
        <v>120</v>
      </c>
      <c r="G198" s="11">
        <v>0</v>
      </c>
      <c r="H198" s="10">
        <v>120</v>
      </c>
      <c r="I198" s="9">
        <v>0</v>
      </c>
      <c r="J198" s="10">
        <v>0</v>
      </c>
      <c r="K198" s="9">
        <v>1</v>
      </c>
      <c r="L198" s="10">
        <v>120</v>
      </c>
      <c r="M198" s="10">
        <v>99.43</v>
      </c>
      <c r="N198" s="10">
        <v>20.57</v>
      </c>
      <c r="O198" s="11">
        <f t="shared" si="8"/>
        <v>0.17141666666666666</v>
      </c>
      <c r="P198" s="10">
        <v>11.14</v>
      </c>
      <c r="Q198" s="10">
        <v>9.43</v>
      </c>
      <c r="R198" s="11">
        <f t="shared" si="9"/>
        <v>7.8583333333333324E-2</v>
      </c>
      <c r="S198" t="s">
        <v>65</v>
      </c>
      <c r="T198" t="s">
        <v>66</v>
      </c>
      <c r="U198" t="s">
        <v>76</v>
      </c>
    </row>
    <row r="199" spans="1:21" x14ac:dyDescent="0.35">
      <c r="A199" t="s">
        <v>309</v>
      </c>
      <c r="B199" s="5">
        <v>45911</v>
      </c>
      <c r="C199" t="s">
        <v>95</v>
      </c>
      <c r="D199" t="s">
        <v>64</v>
      </c>
      <c r="E199" s="9">
        <v>3</v>
      </c>
      <c r="F199" s="10">
        <v>52</v>
      </c>
      <c r="G199" s="11">
        <v>0</v>
      </c>
      <c r="H199" s="10">
        <v>156</v>
      </c>
      <c r="I199" s="9">
        <v>0</v>
      </c>
      <c r="J199" s="10">
        <v>0</v>
      </c>
      <c r="K199" s="9">
        <v>3</v>
      </c>
      <c r="L199" s="10">
        <v>156</v>
      </c>
      <c r="M199" s="10">
        <v>105.4</v>
      </c>
      <c r="N199" s="10">
        <v>50.6</v>
      </c>
      <c r="O199" s="11">
        <f t="shared" si="8"/>
        <v>0.32435897435897437</v>
      </c>
      <c r="P199" s="10">
        <v>15.22</v>
      </c>
      <c r="Q199" s="10">
        <v>35.380000000000003</v>
      </c>
      <c r="R199" s="11">
        <f t="shared" si="9"/>
        <v>0.22679487179487182</v>
      </c>
      <c r="S199" t="s">
        <v>75</v>
      </c>
      <c r="T199" t="s">
        <v>82</v>
      </c>
      <c r="U199" t="s">
        <v>61</v>
      </c>
    </row>
    <row r="200" spans="1:21" x14ac:dyDescent="0.35">
      <c r="A200" t="s">
        <v>310</v>
      </c>
      <c r="B200" s="5">
        <v>45937</v>
      </c>
      <c r="C200" t="s">
        <v>95</v>
      </c>
      <c r="D200" t="s">
        <v>64</v>
      </c>
      <c r="E200" s="9">
        <v>3</v>
      </c>
      <c r="F200" s="10">
        <v>52</v>
      </c>
      <c r="G200" s="11">
        <v>0.02</v>
      </c>
      <c r="H200" s="10">
        <v>152.88</v>
      </c>
      <c r="I200" s="9">
        <v>0</v>
      </c>
      <c r="J200" s="10">
        <v>0</v>
      </c>
      <c r="K200" s="9">
        <v>3</v>
      </c>
      <c r="L200" s="10">
        <v>152.88</v>
      </c>
      <c r="M200" s="10">
        <v>111.03</v>
      </c>
      <c r="N200" s="10">
        <v>41.85</v>
      </c>
      <c r="O200" s="11">
        <f t="shared" si="8"/>
        <v>0.27374411302982732</v>
      </c>
      <c r="P200" s="10">
        <v>16.510000000000002</v>
      </c>
      <c r="Q200" s="10">
        <v>25.34</v>
      </c>
      <c r="R200" s="11">
        <f t="shared" si="9"/>
        <v>0.16575091575091574</v>
      </c>
      <c r="S200" t="s">
        <v>65</v>
      </c>
      <c r="T200" t="s">
        <v>82</v>
      </c>
      <c r="U200" t="s">
        <v>76</v>
      </c>
    </row>
    <row r="201" spans="1:21" x14ac:dyDescent="0.35">
      <c r="A201" t="s">
        <v>311</v>
      </c>
      <c r="B201" s="5">
        <v>46010</v>
      </c>
      <c r="C201" t="s">
        <v>63</v>
      </c>
      <c r="D201" t="s">
        <v>64</v>
      </c>
      <c r="E201" s="9">
        <v>4</v>
      </c>
      <c r="F201" s="10">
        <v>145</v>
      </c>
      <c r="G201" s="11">
        <v>0.02</v>
      </c>
      <c r="H201" s="10">
        <v>568.4</v>
      </c>
      <c r="I201" s="9">
        <v>0</v>
      </c>
      <c r="J201" s="10">
        <v>0</v>
      </c>
      <c r="K201" s="9">
        <v>4</v>
      </c>
      <c r="L201" s="10">
        <v>568.4</v>
      </c>
      <c r="M201" s="10">
        <v>389.81</v>
      </c>
      <c r="N201" s="10">
        <v>178.59</v>
      </c>
      <c r="O201" s="11">
        <f t="shared" si="8"/>
        <v>0.31419774806474315</v>
      </c>
      <c r="P201" s="10">
        <v>32.32</v>
      </c>
      <c r="Q201" s="10">
        <v>146.27000000000001</v>
      </c>
      <c r="R201" s="11">
        <f t="shared" si="9"/>
        <v>0.25733638282899368</v>
      </c>
      <c r="S201" t="s">
        <v>65</v>
      </c>
      <c r="T201" t="s">
        <v>60</v>
      </c>
      <c r="U201" t="s">
        <v>67</v>
      </c>
    </row>
    <row r="202" spans="1:21" x14ac:dyDescent="0.35">
      <c r="A202" t="s">
        <v>312</v>
      </c>
      <c r="B202" s="5">
        <v>45662</v>
      </c>
      <c r="C202" t="s">
        <v>88</v>
      </c>
      <c r="D202" t="s">
        <v>57</v>
      </c>
      <c r="E202" s="9">
        <v>2</v>
      </c>
      <c r="F202" s="10">
        <v>30</v>
      </c>
      <c r="G202" s="11">
        <v>0</v>
      </c>
      <c r="H202" s="10">
        <v>60</v>
      </c>
      <c r="I202" s="9">
        <v>0</v>
      </c>
      <c r="J202" s="10">
        <v>0</v>
      </c>
      <c r="K202" s="9">
        <v>2</v>
      </c>
      <c r="L202" s="10">
        <v>60</v>
      </c>
      <c r="M202" s="10">
        <v>46.09</v>
      </c>
      <c r="N202" s="10">
        <v>13.91</v>
      </c>
      <c r="O202" s="11">
        <f t="shared" si="8"/>
        <v>0.23183333333333334</v>
      </c>
      <c r="P202" s="10">
        <v>6.99</v>
      </c>
      <c r="Q202" s="10">
        <v>6.92</v>
      </c>
      <c r="R202" s="11">
        <f t="shared" si="9"/>
        <v>0.11533333333333333</v>
      </c>
      <c r="S202" t="s">
        <v>65</v>
      </c>
      <c r="T202" t="s">
        <v>60</v>
      </c>
      <c r="U202" t="s">
        <v>61</v>
      </c>
    </row>
    <row r="203" spans="1:21" x14ac:dyDescent="0.35">
      <c r="A203" t="s">
        <v>313</v>
      </c>
      <c r="B203" s="5">
        <v>45983</v>
      </c>
      <c r="C203" t="s">
        <v>88</v>
      </c>
      <c r="D203" t="s">
        <v>57</v>
      </c>
      <c r="E203" s="9">
        <v>6</v>
      </c>
      <c r="F203" s="10">
        <v>30</v>
      </c>
      <c r="G203" s="11">
        <v>0.02</v>
      </c>
      <c r="H203" s="10">
        <v>176.4</v>
      </c>
      <c r="I203" s="9">
        <v>0</v>
      </c>
      <c r="J203" s="10">
        <v>0</v>
      </c>
      <c r="K203" s="9">
        <v>6</v>
      </c>
      <c r="L203" s="10">
        <v>176.4</v>
      </c>
      <c r="M203" s="10">
        <v>131.93</v>
      </c>
      <c r="N203" s="10">
        <v>44.47</v>
      </c>
      <c r="O203" s="11">
        <f t="shared" si="8"/>
        <v>0.25209750566893424</v>
      </c>
      <c r="P203" s="10">
        <v>13.52</v>
      </c>
      <c r="Q203" s="10">
        <v>30.95</v>
      </c>
      <c r="R203" s="11">
        <f t="shared" si="9"/>
        <v>0.17545351473922902</v>
      </c>
      <c r="S203" t="s">
        <v>81</v>
      </c>
      <c r="T203" t="s">
        <v>60</v>
      </c>
      <c r="U203" t="s">
        <v>61</v>
      </c>
    </row>
    <row r="204" spans="1:21" x14ac:dyDescent="0.35">
      <c r="A204" t="s">
        <v>314</v>
      </c>
      <c r="B204" s="5">
        <v>45693</v>
      </c>
      <c r="C204" t="s">
        <v>100</v>
      </c>
      <c r="D204" t="s">
        <v>64</v>
      </c>
      <c r="E204" s="9">
        <v>2</v>
      </c>
      <c r="F204" s="10">
        <v>310</v>
      </c>
      <c r="G204" s="11">
        <v>0.15</v>
      </c>
      <c r="H204" s="10">
        <v>527</v>
      </c>
      <c r="I204" s="9">
        <v>0</v>
      </c>
      <c r="J204" s="10">
        <v>0</v>
      </c>
      <c r="K204" s="9">
        <v>2</v>
      </c>
      <c r="L204" s="10">
        <v>527</v>
      </c>
      <c r="M204" s="10">
        <v>383.19</v>
      </c>
      <c r="N204" s="10">
        <v>143.81</v>
      </c>
      <c r="O204" s="11">
        <f t="shared" si="8"/>
        <v>0.27288425047438331</v>
      </c>
      <c r="P204" s="10">
        <v>50.82</v>
      </c>
      <c r="Q204" s="10">
        <v>92.99</v>
      </c>
      <c r="R204" s="11">
        <f t="shared" si="9"/>
        <v>0.17645161290322581</v>
      </c>
      <c r="S204" t="s">
        <v>75</v>
      </c>
      <c r="T204" t="s">
        <v>66</v>
      </c>
      <c r="U204" t="s">
        <v>67</v>
      </c>
    </row>
    <row r="205" spans="1:21" x14ac:dyDescent="0.35">
      <c r="A205" t="s">
        <v>315</v>
      </c>
      <c r="B205" s="5">
        <v>45802</v>
      </c>
      <c r="C205" t="s">
        <v>73</v>
      </c>
      <c r="D205" t="s">
        <v>74</v>
      </c>
      <c r="E205" s="9">
        <v>1</v>
      </c>
      <c r="F205" s="10">
        <v>280</v>
      </c>
      <c r="G205" s="11">
        <v>0</v>
      </c>
      <c r="H205" s="10">
        <v>280</v>
      </c>
      <c r="I205" s="9">
        <v>0</v>
      </c>
      <c r="J205" s="10">
        <v>0</v>
      </c>
      <c r="K205" s="9">
        <v>1</v>
      </c>
      <c r="L205" s="10">
        <v>280</v>
      </c>
      <c r="M205" s="10">
        <v>180.1</v>
      </c>
      <c r="N205" s="10">
        <v>99.9</v>
      </c>
      <c r="O205" s="11">
        <f t="shared" si="8"/>
        <v>0.35678571428571432</v>
      </c>
      <c r="P205" s="10">
        <v>30.94</v>
      </c>
      <c r="Q205" s="10">
        <v>68.959999999999994</v>
      </c>
      <c r="R205" s="11">
        <f t="shared" si="9"/>
        <v>0.24628571428571427</v>
      </c>
      <c r="S205" t="s">
        <v>65</v>
      </c>
      <c r="T205" t="s">
        <v>86</v>
      </c>
      <c r="U205" t="s">
        <v>61</v>
      </c>
    </row>
    <row r="206" spans="1:21" x14ac:dyDescent="0.35">
      <c r="A206" t="s">
        <v>316</v>
      </c>
      <c r="B206" s="5">
        <v>46017</v>
      </c>
      <c r="C206" t="s">
        <v>104</v>
      </c>
      <c r="D206" t="s">
        <v>105</v>
      </c>
      <c r="E206" s="9">
        <v>3</v>
      </c>
      <c r="F206" s="10">
        <v>65</v>
      </c>
      <c r="G206" s="11">
        <v>0</v>
      </c>
      <c r="H206" s="10">
        <v>195</v>
      </c>
      <c r="I206" s="9">
        <v>0</v>
      </c>
      <c r="J206" s="10">
        <v>0</v>
      </c>
      <c r="K206" s="9">
        <v>3</v>
      </c>
      <c r="L206" s="10">
        <v>195</v>
      </c>
      <c r="M206" s="10">
        <v>126.51</v>
      </c>
      <c r="N206" s="10">
        <v>68.489999999999995</v>
      </c>
      <c r="O206" s="11">
        <f t="shared" si="8"/>
        <v>0.35123076923076918</v>
      </c>
      <c r="P206" s="10">
        <v>10.06</v>
      </c>
      <c r="Q206" s="10">
        <v>58.43</v>
      </c>
      <c r="R206" s="11">
        <f t="shared" si="9"/>
        <v>0.29964102564102563</v>
      </c>
      <c r="S206" t="s">
        <v>65</v>
      </c>
      <c r="T206" t="s">
        <v>86</v>
      </c>
      <c r="U206" t="s">
        <v>67</v>
      </c>
    </row>
    <row r="207" spans="1:21" x14ac:dyDescent="0.35">
      <c r="A207" t="s">
        <v>317</v>
      </c>
      <c r="B207" s="5">
        <v>45695</v>
      </c>
      <c r="C207" t="s">
        <v>104</v>
      </c>
      <c r="D207" t="s">
        <v>105</v>
      </c>
      <c r="E207" s="9">
        <v>4</v>
      </c>
      <c r="F207" s="10">
        <v>65</v>
      </c>
      <c r="G207" s="11">
        <v>0</v>
      </c>
      <c r="H207" s="10">
        <v>260</v>
      </c>
      <c r="I207" s="9">
        <v>0</v>
      </c>
      <c r="J207" s="10">
        <v>0</v>
      </c>
      <c r="K207" s="9">
        <v>4</v>
      </c>
      <c r="L207" s="10">
        <v>260</v>
      </c>
      <c r="M207" s="10">
        <v>208.33</v>
      </c>
      <c r="N207" s="10">
        <v>51.67</v>
      </c>
      <c r="O207" s="11">
        <f t="shared" ref="O207:O270" si="10">N207/L207</f>
        <v>0.19873076923076924</v>
      </c>
      <c r="P207" s="10">
        <v>30.18</v>
      </c>
      <c r="Q207" s="10">
        <v>21.49</v>
      </c>
      <c r="R207" s="11">
        <f t="shared" ref="R207:R270" si="11">Q207/L207</f>
        <v>8.2653846153846147E-2</v>
      </c>
      <c r="S207" t="s">
        <v>65</v>
      </c>
      <c r="T207" t="s">
        <v>82</v>
      </c>
      <c r="U207" t="s">
        <v>67</v>
      </c>
    </row>
    <row r="208" spans="1:21" x14ac:dyDescent="0.35">
      <c r="A208" t="s">
        <v>318</v>
      </c>
      <c r="B208" s="5">
        <v>45906</v>
      </c>
      <c r="C208" t="s">
        <v>121</v>
      </c>
      <c r="D208" t="s">
        <v>70</v>
      </c>
      <c r="E208" s="9">
        <v>1</v>
      </c>
      <c r="F208" s="10">
        <v>110</v>
      </c>
      <c r="G208" s="11">
        <v>0</v>
      </c>
      <c r="H208" s="10">
        <v>110</v>
      </c>
      <c r="I208" s="9">
        <v>0</v>
      </c>
      <c r="J208" s="10">
        <v>0</v>
      </c>
      <c r="K208" s="9">
        <v>1</v>
      </c>
      <c r="L208" s="10">
        <v>110</v>
      </c>
      <c r="M208" s="10">
        <v>77.22</v>
      </c>
      <c r="N208" s="10">
        <v>32.78</v>
      </c>
      <c r="O208" s="11">
        <f t="shared" si="10"/>
        <v>0.29799999999999999</v>
      </c>
      <c r="P208" s="10">
        <v>8.5500000000000007</v>
      </c>
      <c r="Q208" s="10">
        <v>24.23</v>
      </c>
      <c r="R208" s="11">
        <f t="shared" si="11"/>
        <v>0.22027272727272729</v>
      </c>
      <c r="S208" t="s">
        <v>75</v>
      </c>
      <c r="T208" t="s">
        <v>66</v>
      </c>
      <c r="U208" t="s">
        <v>76</v>
      </c>
    </row>
    <row r="209" spans="1:21" x14ac:dyDescent="0.35">
      <c r="A209" t="s">
        <v>319</v>
      </c>
      <c r="B209" s="5">
        <v>45800</v>
      </c>
      <c r="C209" t="s">
        <v>95</v>
      </c>
      <c r="D209" t="s">
        <v>64</v>
      </c>
      <c r="E209" s="9">
        <v>2</v>
      </c>
      <c r="F209" s="10">
        <v>52</v>
      </c>
      <c r="G209" s="11">
        <v>0</v>
      </c>
      <c r="H209" s="10">
        <v>104</v>
      </c>
      <c r="I209" s="9">
        <v>0</v>
      </c>
      <c r="J209" s="10">
        <v>0</v>
      </c>
      <c r="K209" s="9">
        <v>2</v>
      </c>
      <c r="L209" s="10">
        <v>104</v>
      </c>
      <c r="M209" s="10">
        <v>79.47</v>
      </c>
      <c r="N209" s="10">
        <v>24.53</v>
      </c>
      <c r="O209" s="11">
        <f t="shared" si="10"/>
        <v>0.23586538461538462</v>
      </c>
      <c r="P209" s="10">
        <v>12.85</v>
      </c>
      <c r="Q209" s="10">
        <v>11.68</v>
      </c>
      <c r="R209" s="11">
        <f t="shared" si="11"/>
        <v>0.1123076923076923</v>
      </c>
      <c r="S209" t="s">
        <v>81</v>
      </c>
      <c r="T209" t="s">
        <v>86</v>
      </c>
      <c r="U209" t="s">
        <v>67</v>
      </c>
    </row>
    <row r="210" spans="1:21" x14ac:dyDescent="0.35">
      <c r="A210" t="s">
        <v>320</v>
      </c>
      <c r="B210" s="5">
        <v>45873</v>
      </c>
      <c r="C210" t="s">
        <v>104</v>
      </c>
      <c r="D210" t="s">
        <v>105</v>
      </c>
      <c r="E210" s="9">
        <v>1</v>
      </c>
      <c r="F210" s="10">
        <v>65</v>
      </c>
      <c r="G210" s="11">
        <v>0.1</v>
      </c>
      <c r="H210" s="10">
        <v>58.5</v>
      </c>
      <c r="I210" s="9">
        <v>0</v>
      </c>
      <c r="J210" s="10">
        <v>0</v>
      </c>
      <c r="K210" s="9">
        <v>1</v>
      </c>
      <c r="L210" s="10">
        <v>58.5</v>
      </c>
      <c r="M210" s="10">
        <v>37.9</v>
      </c>
      <c r="N210" s="10">
        <v>20.6</v>
      </c>
      <c r="O210" s="11">
        <f t="shared" si="10"/>
        <v>0.35213675213675216</v>
      </c>
      <c r="P210" s="10">
        <v>4.71</v>
      </c>
      <c r="Q210" s="10">
        <v>15.89</v>
      </c>
      <c r="R210" s="11">
        <f t="shared" si="11"/>
        <v>0.27162393162393161</v>
      </c>
      <c r="S210" t="s">
        <v>81</v>
      </c>
      <c r="T210" t="s">
        <v>82</v>
      </c>
      <c r="U210" t="s">
        <v>71</v>
      </c>
    </row>
    <row r="211" spans="1:21" x14ac:dyDescent="0.35">
      <c r="A211" t="s">
        <v>321</v>
      </c>
      <c r="B211" s="5">
        <v>46004</v>
      </c>
      <c r="C211" t="s">
        <v>109</v>
      </c>
      <c r="D211" t="s">
        <v>85</v>
      </c>
      <c r="E211" s="9">
        <v>1</v>
      </c>
      <c r="F211" s="10">
        <v>180</v>
      </c>
      <c r="G211" s="11">
        <v>0</v>
      </c>
      <c r="H211" s="10">
        <v>180</v>
      </c>
      <c r="I211" s="9">
        <v>0</v>
      </c>
      <c r="J211" s="10">
        <v>0</v>
      </c>
      <c r="K211" s="9">
        <v>1</v>
      </c>
      <c r="L211" s="10">
        <v>180</v>
      </c>
      <c r="M211" s="10">
        <v>146.97</v>
      </c>
      <c r="N211" s="10">
        <v>33.03</v>
      </c>
      <c r="O211" s="11">
        <f t="shared" si="10"/>
        <v>0.1835</v>
      </c>
      <c r="P211" s="10">
        <v>9.33</v>
      </c>
      <c r="Q211" s="10">
        <v>23.7</v>
      </c>
      <c r="R211" s="11">
        <f t="shared" si="11"/>
        <v>0.13166666666666665</v>
      </c>
      <c r="S211" t="s">
        <v>81</v>
      </c>
      <c r="T211" t="s">
        <v>60</v>
      </c>
      <c r="U211" t="s">
        <v>71</v>
      </c>
    </row>
    <row r="212" spans="1:21" x14ac:dyDescent="0.35">
      <c r="A212" t="s">
        <v>322</v>
      </c>
      <c r="B212" s="5">
        <v>45821</v>
      </c>
      <c r="C212" t="s">
        <v>121</v>
      </c>
      <c r="D212" t="s">
        <v>70</v>
      </c>
      <c r="E212" s="9">
        <v>10</v>
      </c>
      <c r="F212" s="10">
        <v>110</v>
      </c>
      <c r="G212" s="11">
        <v>0.02</v>
      </c>
      <c r="H212" s="10">
        <v>1078</v>
      </c>
      <c r="I212" s="9">
        <v>0</v>
      </c>
      <c r="J212" s="10">
        <v>0</v>
      </c>
      <c r="K212" s="9">
        <v>10</v>
      </c>
      <c r="L212" s="10">
        <v>1078</v>
      </c>
      <c r="M212" s="10">
        <v>881.15</v>
      </c>
      <c r="N212" s="10">
        <v>196.85</v>
      </c>
      <c r="O212" s="11">
        <f t="shared" si="10"/>
        <v>0.18260667903525046</v>
      </c>
      <c r="P212" s="10">
        <v>128.24</v>
      </c>
      <c r="Q212" s="10">
        <v>68.61</v>
      </c>
      <c r="R212" s="11">
        <f t="shared" si="11"/>
        <v>6.3645640074211501E-2</v>
      </c>
      <c r="S212" t="s">
        <v>59</v>
      </c>
      <c r="T212" t="s">
        <v>82</v>
      </c>
      <c r="U212" t="s">
        <v>67</v>
      </c>
    </row>
    <row r="213" spans="1:21" x14ac:dyDescent="0.35">
      <c r="A213" t="s">
        <v>323</v>
      </c>
      <c r="B213" s="5">
        <v>45798</v>
      </c>
      <c r="C213" t="s">
        <v>121</v>
      </c>
      <c r="D213" t="s">
        <v>70</v>
      </c>
      <c r="E213" s="9">
        <v>6</v>
      </c>
      <c r="F213" s="10">
        <v>110</v>
      </c>
      <c r="G213" s="11">
        <v>0.05</v>
      </c>
      <c r="H213" s="10">
        <v>627</v>
      </c>
      <c r="I213" s="9">
        <v>0</v>
      </c>
      <c r="J213" s="10">
        <v>0</v>
      </c>
      <c r="K213" s="9">
        <v>6</v>
      </c>
      <c r="L213" s="10">
        <v>627</v>
      </c>
      <c r="M213" s="10">
        <v>436.52</v>
      </c>
      <c r="N213" s="10">
        <v>190.48</v>
      </c>
      <c r="O213" s="11">
        <f t="shared" si="10"/>
        <v>0.30379585326953745</v>
      </c>
      <c r="P213" s="10">
        <v>72.739999999999995</v>
      </c>
      <c r="Q213" s="10">
        <v>117.74</v>
      </c>
      <c r="R213" s="11">
        <f t="shared" si="11"/>
        <v>0.18778309409888355</v>
      </c>
      <c r="S213" t="s">
        <v>75</v>
      </c>
      <c r="T213" t="s">
        <v>82</v>
      </c>
      <c r="U213" t="s">
        <v>61</v>
      </c>
    </row>
    <row r="214" spans="1:21" x14ac:dyDescent="0.35">
      <c r="A214" t="s">
        <v>324</v>
      </c>
      <c r="B214" s="5">
        <v>45749</v>
      </c>
      <c r="C214" t="s">
        <v>100</v>
      </c>
      <c r="D214" t="s">
        <v>64</v>
      </c>
      <c r="E214" s="9">
        <v>3</v>
      </c>
      <c r="F214" s="10">
        <v>310</v>
      </c>
      <c r="G214" s="11">
        <v>0</v>
      </c>
      <c r="H214" s="10">
        <v>930</v>
      </c>
      <c r="I214" s="9">
        <v>0</v>
      </c>
      <c r="J214" s="10">
        <v>0</v>
      </c>
      <c r="K214" s="9">
        <v>3</v>
      </c>
      <c r="L214" s="10">
        <v>930</v>
      </c>
      <c r="M214" s="10">
        <v>594.45000000000005</v>
      </c>
      <c r="N214" s="10">
        <v>335.55</v>
      </c>
      <c r="O214" s="11">
        <f t="shared" si="10"/>
        <v>0.36080645161290326</v>
      </c>
      <c r="P214" s="10">
        <v>55.58</v>
      </c>
      <c r="Q214" s="10">
        <v>279.97000000000003</v>
      </c>
      <c r="R214" s="11">
        <f t="shared" si="11"/>
        <v>0.30104301075268819</v>
      </c>
      <c r="S214" t="s">
        <v>75</v>
      </c>
      <c r="T214" t="s">
        <v>60</v>
      </c>
      <c r="U214" t="s">
        <v>71</v>
      </c>
    </row>
    <row r="215" spans="1:21" x14ac:dyDescent="0.35">
      <c r="A215" t="s">
        <v>325</v>
      </c>
      <c r="B215" s="5">
        <v>45717</v>
      </c>
      <c r="C215" t="s">
        <v>104</v>
      </c>
      <c r="D215" t="s">
        <v>105</v>
      </c>
      <c r="E215" s="9">
        <v>2</v>
      </c>
      <c r="F215" s="10">
        <v>65</v>
      </c>
      <c r="G215" s="11">
        <v>0</v>
      </c>
      <c r="H215" s="10">
        <v>130</v>
      </c>
      <c r="I215" s="9">
        <v>0</v>
      </c>
      <c r="J215" s="10">
        <v>0</v>
      </c>
      <c r="K215" s="9">
        <v>2</v>
      </c>
      <c r="L215" s="10">
        <v>130</v>
      </c>
      <c r="M215" s="10">
        <v>100.59</v>
      </c>
      <c r="N215" s="10">
        <v>29.41</v>
      </c>
      <c r="O215" s="11">
        <f t="shared" si="10"/>
        <v>0.22623076923076924</v>
      </c>
      <c r="P215" s="10">
        <v>12.94</v>
      </c>
      <c r="Q215" s="10">
        <v>16.47</v>
      </c>
      <c r="R215" s="11">
        <f t="shared" si="11"/>
        <v>0.12669230769230769</v>
      </c>
      <c r="S215" t="s">
        <v>59</v>
      </c>
      <c r="T215" t="s">
        <v>60</v>
      </c>
      <c r="U215" t="s">
        <v>76</v>
      </c>
    </row>
    <row r="216" spans="1:21" x14ac:dyDescent="0.35">
      <c r="A216" t="s">
        <v>326</v>
      </c>
      <c r="B216" s="5">
        <v>45713</v>
      </c>
      <c r="C216" t="s">
        <v>92</v>
      </c>
      <c r="D216" t="s">
        <v>79</v>
      </c>
      <c r="E216" s="9">
        <v>3</v>
      </c>
      <c r="F216" s="10">
        <v>85</v>
      </c>
      <c r="G216" s="11">
        <v>0</v>
      </c>
      <c r="H216" s="10">
        <v>255</v>
      </c>
      <c r="I216" s="9">
        <v>0</v>
      </c>
      <c r="J216" s="10">
        <v>0</v>
      </c>
      <c r="K216" s="9">
        <v>3</v>
      </c>
      <c r="L216" s="10">
        <v>255</v>
      </c>
      <c r="M216" s="10">
        <v>171.06</v>
      </c>
      <c r="N216" s="10">
        <v>83.94</v>
      </c>
      <c r="O216" s="11">
        <f t="shared" si="10"/>
        <v>0.32917647058823529</v>
      </c>
      <c r="P216" s="10">
        <v>28.14</v>
      </c>
      <c r="Q216" s="10">
        <v>55.8</v>
      </c>
      <c r="R216" s="11">
        <f t="shared" si="11"/>
        <v>0.21882352941176469</v>
      </c>
      <c r="S216" t="s">
        <v>59</v>
      </c>
      <c r="T216" t="s">
        <v>66</v>
      </c>
      <c r="U216" t="s">
        <v>76</v>
      </c>
    </row>
    <row r="217" spans="1:21" x14ac:dyDescent="0.35">
      <c r="A217" t="s">
        <v>327</v>
      </c>
      <c r="B217" s="5">
        <v>45909</v>
      </c>
      <c r="C217" t="s">
        <v>92</v>
      </c>
      <c r="D217" t="s">
        <v>79</v>
      </c>
      <c r="E217" s="9">
        <v>1</v>
      </c>
      <c r="F217" s="10">
        <v>85</v>
      </c>
      <c r="G217" s="11">
        <v>0</v>
      </c>
      <c r="H217" s="10">
        <v>85</v>
      </c>
      <c r="I217" s="9">
        <v>0</v>
      </c>
      <c r="J217" s="10">
        <v>0</v>
      </c>
      <c r="K217" s="9">
        <v>1</v>
      </c>
      <c r="L217" s="10">
        <v>85</v>
      </c>
      <c r="M217" s="10">
        <v>68.67</v>
      </c>
      <c r="N217" s="10">
        <v>16.329999999999998</v>
      </c>
      <c r="O217" s="11">
        <f t="shared" si="10"/>
        <v>0.1921176470588235</v>
      </c>
      <c r="P217" s="10">
        <v>5.46</v>
      </c>
      <c r="Q217" s="10">
        <v>10.87</v>
      </c>
      <c r="R217" s="11">
        <f t="shared" si="11"/>
        <v>0.12788235294117647</v>
      </c>
      <c r="S217" t="s">
        <v>75</v>
      </c>
      <c r="T217" t="s">
        <v>86</v>
      </c>
      <c r="U217" t="s">
        <v>61</v>
      </c>
    </row>
    <row r="218" spans="1:21" x14ac:dyDescent="0.35">
      <c r="A218" t="s">
        <v>328</v>
      </c>
      <c r="B218" s="5">
        <v>45888</v>
      </c>
      <c r="C218" t="s">
        <v>56</v>
      </c>
      <c r="D218" t="s">
        <v>57</v>
      </c>
      <c r="E218" s="9">
        <v>2</v>
      </c>
      <c r="F218" s="10">
        <v>40</v>
      </c>
      <c r="G218" s="11">
        <v>0</v>
      </c>
      <c r="H218" s="10">
        <v>80</v>
      </c>
      <c r="I218" s="9">
        <v>0</v>
      </c>
      <c r="J218" s="10">
        <v>0</v>
      </c>
      <c r="K218" s="9">
        <v>2</v>
      </c>
      <c r="L218" s="10">
        <v>80</v>
      </c>
      <c r="M218" s="10">
        <v>53.84</v>
      </c>
      <c r="N218" s="10">
        <v>26.16</v>
      </c>
      <c r="O218" s="11">
        <f t="shared" si="10"/>
        <v>0.32700000000000001</v>
      </c>
      <c r="P218" s="10">
        <v>8.1999999999999993</v>
      </c>
      <c r="Q218" s="10">
        <v>17.96</v>
      </c>
      <c r="R218" s="11">
        <f t="shared" si="11"/>
        <v>0.22450000000000001</v>
      </c>
      <c r="S218" t="s">
        <v>81</v>
      </c>
      <c r="T218" t="s">
        <v>60</v>
      </c>
      <c r="U218" t="s">
        <v>67</v>
      </c>
    </row>
    <row r="219" spans="1:21" x14ac:dyDescent="0.35">
      <c r="A219" t="s">
        <v>329</v>
      </c>
      <c r="B219" s="5">
        <v>45886</v>
      </c>
      <c r="C219" t="s">
        <v>104</v>
      </c>
      <c r="D219" t="s">
        <v>105</v>
      </c>
      <c r="E219" s="9">
        <v>2</v>
      </c>
      <c r="F219" s="10">
        <v>65</v>
      </c>
      <c r="G219" s="11">
        <v>0.02</v>
      </c>
      <c r="H219" s="10">
        <v>127.4</v>
      </c>
      <c r="I219" s="9">
        <v>0</v>
      </c>
      <c r="J219" s="10">
        <v>0</v>
      </c>
      <c r="K219" s="9">
        <v>2</v>
      </c>
      <c r="L219" s="10">
        <v>127.4</v>
      </c>
      <c r="M219" s="10">
        <v>89.82</v>
      </c>
      <c r="N219" s="10">
        <v>37.58</v>
      </c>
      <c r="O219" s="11">
        <f t="shared" si="10"/>
        <v>0.29497645211930923</v>
      </c>
      <c r="P219" s="10">
        <v>11.28</v>
      </c>
      <c r="Q219" s="10">
        <v>26.3</v>
      </c>
      <c r="R219" s="11">
        <f t="shared" si="11"/>
        <v>0.206436420722135</v>
      </c>
      <c r="S219" t="s">
        <v>75</v>
      </c>
      <c r="T219" t="s">
        <v>82</v>
      </c>
      <c r="U219" t="s">
        <v>67</v>
      </c>
    </row>
    <row r="220" spans="1:21" x14ac:dyDescent="0.35">
      <c r="A220" t="s">
        <v>330</v>
      </c>
      <c r="B220" s="5">
        <v>45722</v>
      </c>
      <c r="C220" t="s">
        <v>100</v>
      </c>
      <c r="D220" t="s">
        <v>64</v>
      </c>
      <c r="E220" s="9">
        <v>1</v>
      </c>
      <c r="F220" s="10">
        <v>310</v>
      </c>
      <c r="G220" s="11">
        <v>0</v>
      </c>
      <c r="H220" s="10">
        <v>310</v>
      </c>
      <c r="I220" s="9">
        <v>0</v>
      </c>
      <c r="J220" s="10">
        <v>0</v>
      </c>
      <c r="K220" s="9">
        <v>1</v>
      </c>
      <c r="L220" s="10">
        <v>310</v>
      </c>
      <c r="M220" s="10">
        <v>251</v>
      </c>
      <c r="N220" s="10">
        <v>59</v>
      </c>
      <c r="O220" s="11">
        <f t="shared" si="10"/>
        <v>0.19032258064516128</v>
      </c>
      <c r="P220" s="10">
        <v>32.39</v>
      </c>
      <c r="Q220" s="10">
        <v>26.61</v>
      </c>
      <c r="R220" s="11">
        <f t="shared" si="11"/>
        <v>8.5838709677419356E-2</v>
      </c>
      <c r="S220" t="s">
        <v>75</v>
      </c>
      <c r="T220" t="s">
        <v>66</v>
      </c>
      <c r="U220" t="s">
        <v>71</v>
      </c>
    </row>
    <row r="221" spans="1:21" x14ac:dyDescent="0.35">
      <c r="A221" t="s">
        <v>331</v>
      </c>
      <c r="B221" s="5">
        <v>45845</v>
      </c>
      <c r="C221" t="s">
        <v>78</v>
      </c>
      <c r="D221" t="s">
        <v>79</v>
      </c>
      <c r="E221" s="9">
        <v>4</v>
      </c>
      <c r="F221" s="10">
        <v>120</v>
      </c>
      <c r="G221" s="11">
        <v>0</v>
      </c>
      <c r="H221" s="10">
        <v>480</v>
      </c>
      <c r="I221" s="9">
        <v>0</v>
      </c>
      <c r="J221" s="10">
        <v>0</v>
      </c>
      <c r="K221" s="9">
        <v>4</v>
      </c>
      <c r="L221" s="10">
        <v>480</v>
      </c>
      <c r="M221" s="10">
        <v>305.04000000000002</v>
      </c>
      <c r="N221" s="10">
        <v>174.96</v>
      </c>
      <c r="O221" s="11">
        <f t="shared" si="10"/>
        <v>0.36449999999999999</v>
      </c>
      <c r="P221" s="10">
        <v>38.26</v>
      </c>
      <c r="Q221" s="10">
        <v>136.69999999999999</v>
      </c>
      <c r="R221" s="11">
        <f t="shared" si="11"/>
        <v>0.28479166666666667</v>
      </c>
      <c r="S221" t="s">
        <v>59</v>
      </c>
      <c r="T221" t="s">
        <v>60</v>
      </c>
      <c r="U221" t="s">
        <v>67</v>
      </c>
    </row>
    <row r="222" spans="1:21" x14ac:dyDescent="0.35">
      <c r="A222" t="s">
        <v>332</v>
      </c>
      <c r="B222" s="5">
        <v>45739</v>
      </c>
      <c r="C222" t="s">
        <v>104</v>
      </c>
      <c r="D222" t="s">
        <v>105</v>
      </c>
      <c r="E222" s="9">
        <v>2</v>
      </c>
      <c r="F222" s="10">
        <v>65</v>
      </c>
      <c r="G222" s="11">
        <v>0</v>
      </c>
      <c r="H222" s="10">
        <v>130</v>
      </c>
      <c r="I222" s="9">
        <v>0</v>
      </c>
      <c r="J222" s="10">
        <v>0</v>
      </c>
      <c r="K222" s="9">
        <v>2</v>
      </c>
      <c r="L222" s="10">
        <v>130</v>
      </c>
      <c r="M222" s="10">
        <v>84.57</v>
      </c>
      <c r="N222" s="10">
        <v>45.43</v>
      </c>
      <c r="O222" s="11">
        <f t="shared" si="10"/>
        <v>0.34946153846153843</v>
      </c>
      <c r="P222" s="10">
        <v>9.0299999999999994</v>
      </c>
      <c r="Q222" s="10">
        <v>36.4</v>
      </c>
      <c r="R222" s="11">
        <f t="shared" si="11"/>
        <v>0.27999999999999997</v>
      </c>
      <c r="S222" t="s">
        <v>65</v>
      </c>
      <c r="T222" t="s">
        <v>60</v>
      </c>
      <c r="U222" t="s">
        <v>67</v>
      </c>
    </row>
    <row r="223" spans="1:21" x14ac:dyDescent="0.35">
      <c r="A223" t="s">
        <v>333</v>
      </c>
      <c r="B223" s="5">
        <v>45777</v>
      </c>
      <c r="C223" t="s">
        <v>104</v>
      </c>
      <c r="D223" t="s">
        <v>105</v>
      </c>
      <c r="E223" s="9">
        <v>6</v>
      </c>
      <c r="F223" s="10">
        <v>65</v>
      </c>
      <c r="G223" s="11">
        <v>0</v>
      </c>
      <c r="H223" s="10">
        <v>390</v>
      </c>
      <c r="I223" s="9">
        <v>0</v>
      </c>
      <c r="J223" s="10">
        <v>0</v>
      </c>
      <c r="K223" s="9">
        <v>6</v>
      </c>
      <c r="L223" s="10">
        <v>390</v>
      </c>
      <c r="M223" s="10">
        <v>331.3</v>
      </c>
      <c r="N223" s="10">
        <v>58.7</v>
      </c>
      <c r="O223" s="11">
        <f t="shared" si="10"/>
        <v>0.15051282051282053</v>
      </c>
      <c r="P223" s="10">
        <v>22.69</v>
      </c>
      <c r="Q223" s="10">
        <v>36.01</v>
      </c>
      <c r="R223" s="11">
        <f t="shared" si="11"/>
        <v>9.2333333333333323E-2</v>
      </c>
      <c r="S223" t="s">
        <v>75</v>
      </c>
      <c r="T223" t="s">
        <v>66</v>
      </c>
      <c r="U223" t="s">
        <v>67</v>
      </c>
    </row>
    <row r="224" spans="1:21" x14ac:dyDescent="0.35">
      <c r="A224" t="s">
        <v>334</v>
      </c>
      <c r="B224" s="5">
        <v>45934</v>
      </c>
      <c r="C224" t="s">
        <v>100</v>
      </c>
      <c r="D224" t="s">
        <v>64</v>
      </c>
      <c r="E224" s="9">
        <v>2</v>
      </c>
      <c r="F224" s="10">
        <v>310</v>
      </c>
      <c r="G224" s="11">
        <v>0</v>
      </c>
      <c r="H224" s="10">
        <v>620</v>
      </c>
      <c r="I224" s="9">
        <v>0</v>
      </c>
      <c r="J224" s="10">
        <v>0</v>
      </c>
      <c r="K224" s="9">
        <v>2</v>
      </c>
      <c r="L224" s="10">
        <v>620</v>
      </c>
      <c r="M224" s="10">
        <v>509.52</v>
      </c>
      <c r="N224" s="10">
        <v>110.48</v>
      </c>
      <c r="O224" s="11">
        <f t="shared" si="10"/>
        <v>0.17819354838709678</v>
      </c>
      <c r="P224" s="10">
        <v>75.73</v>
      </c>
      <c r="Q224" s="10">
        <v>34.75</v>
      </c>
      <c r="R224" s="11">
        <f t="shared" si="11"/>
        <v>5.6048387096774191E-2</v>
      </c>
      <c r="S224" t="s">
        <v>65</v>
      </c>
      <c r="T224" t="s">
        <v>60</v>
      </c>
      <c r="U224" t="s">
        <v>76</v>
      </c>
    </row>
    <row r="225" spans="1:21" x14ac:dyDescent="0.35">
      <c r="A225" t="s">
        <v>335</v>
      </c>
      <c r="B225" s="5">
        <v>45830</v>
      </c>
      <c r="C225" t="s">
        <v>100</v>
      </c>
      <c r="D225" t="s">
        <v>64</v>
      </c>
      <c r="E225" s="9">
        <v>2</v>
      </c>
      <c r="F225" s="10">
        <v>310</v>
      </c>
      <c r="G225" s="11">
        <v>0</v>
      </c>
      <c r="H225" s="10">
        <v>620</v>
      </c>
      <c r="I225" s="9">
        <v>0</v>
      </c>
      <c r="J225" s="10">
        <v>0</v>
      </c>
      <c r="K225" s="9">
        <v>2</v>
      </c>
      <c r="L225" s="10">
        <v>620</v>
      </c>
      <c r="M225" s="10">
        <v>418.17</v>
      </c>
      <c r="N225" s="10">
        <v>201.83</v>
      </c>
      <c r="O225" s="11">
        <f t="shared" si="10"/>
        <v>0.32553225806451613</v>
      </c>
      <c r="P225" s="10">
        <v>53.35</v>
      </c>
      <c r="Q225" s="10">
        <v>148.47999999999999</v>
      </c>
      <c r="R225" s="11">
        <f t="shared" si="11"/>
        <v>0.23948387096774193</v>
      </c>
      <c r="S225" t="s">
        <v>59</v>
      </c>
      <c r="T225" t="s">
        <v>66</v>
      </c>
      <c r="U225" t="s">
        <v>61</v>
      </c>
    </row>
    <row r="226" spans="1:21" x14ac:dyDescent="0.35">
      <c r="A226" t="s">
        <v>336</v>
      </c>
      <c r="B226" s="5">
        <v>45766</v>
      </c>
      <c r="C226" t="s">
        <v>69</v>
      </c>
      <c r="D226" t="s">
        <v>70</v>
      </c>
      <c r="E226" s="9">
        <v>3</v>
      </c>
      <c r="F226" s="10">
        <v>210</v>
      </c>
      <c r="G226" s="11">
        <v>0.02</v>
      </c>
      <c r="H226" s="10">
        <v>617.4</v>
      </c>
      <c r="I226" s="9">
        <v>0</v>
      </c>
      <c r="J226" s="10">
        <v>0</v>
      </c>
      <c r="K226" s="9">
        <v>3</v>
      </c>
      <c r="L226" s="10">
        <v>617.4</v>
      </c>
      <c r="M226" s="10">
        <v>388.96</v>
      </c>
      <c r="N226" s="10">
        <v>228.44</v>
      </c>
      <c r="O226" s="11">
        <f t="shared" si="10"/>
        <v>0.3700032393909945</v>
      </c>
      <c r="P226" s="10">
        <v>66.25</v>
      </c>
      <c r="Q226" s="10">
        <v>162.19</v>
      </c>
      <c r="R226" s="11">
        <f t="shared" si="11"/>
        <v>0.26269841269841271</v>
      </c>
      <c r="S226" t="s">
        <v>59</v>
      </c>
      <c r="T226" t="s">
        <v>86</v>
      </c>
      <c r="U226" t="s">
        <v>76</v>
      </c>
    </row>
    <row r="227" spans="1:21" x14ac:dyDescent="0.35">
      <c r="A227" t="s">
        <v>337</v>
      </c>
      <c r="B227" s="5">
        <v>45868</v>
      </c>
      <c r="C227" t="s">
        <v>107</v>
      </c>
      <c r="D227" t="s">
        <v>74</v>
      </c>
      <c r="E227" s="9">
        <v>8</v>
      </c>
      <c r="F227" s="10">
        <v>125</v>
      </c>
      <c r="G227" s="11">
        <v>0.05</v>
      </c>
      <c r="H227" s="10">
        <v>950</v>
      </c>
      <c r="I227" s="9">
        <v>0</v>
      </c>
      <c r="J227" s="10">
        <v>0</v>
      </c>
      <c r="K227" s="9">
        <v>8</v>
      </c>
      <c r="L227" s="10">
        <v>950</v>
      </c>
      <c r="M227" s="10">
        <v>669.54</v>
      </c>
      <c r="N227" s="10">
        <v>280.45999999999998</v>
      </c>
      <c r="O227" s="11">
        <f t="shared" si="10"/>
        <v>0.29522105263157894</v>
      </c>
      <c r="P227" s="10">
        <v>74.08</v>
      </c>
      <c r="Q227" s="10">
        <v>206.38</v>
      </c>
      <c r="R227" s="11">
        <f t="shared" si="11"/>
        <v>0.2172421052631579</v>
      </c>
      <c r="S227" t="s">
        <v>59</v>
      </c>
      <c r="T227" t="s">
        <v>60</v>
      </c>
      <c r="U227" t="s">
        <v>61</v>
      </c>
    </row>
    <row r="228" spans="1:21" x14ac:dyDescent="0.35">
      <c r="A228" t="s">
        <v>338</v>
      </c>
      <c r="B228" s="5">
        <v>45695</v>
      </c>
      <c r="C228" t="s">
        <v>92</v>
      </c>
      <c r="D228" t="s">
        <v>79</v>
      </c>
      <c r="E228" s="9">
        <v>1</v>
      </c>
      <c r="F228" s="10">
        <v>85</v>
      </c>
      <c r="G228" s="11">
        <v>0</v>
      </c>
      <c r="H228" s="10">
        <v>85</v>
      </c>
      <c r="I228" s="9">
        <v>0</v>
      </c>
      <c r="J228" s="10">
        <v>0</v>
      </c>
      <c r="K228" s="9">
        <v>1</v>
      </c>
      <c r="L228" s="10">
        <v>85</v>
      </c>
      <c r="M228" s="10">
        <v>66.17</v>
      </c>
      <c r="N228" s="10">
        <v>18.829999999999998</v>
      </c>
      <c r="O228" s="11">
        <f t="shared" si="10"/>
        <v>0.22152941176470586</v>
      </c>
      <c r="P228" s="10">
        <v>6.05</v>
      </c>
      <c r="Q228" s="10">
        <v>12.78</v>
      </c>
      <c r="R228" s="11">
        <f t="shared" si="11"/>
        <v>0.15035294117647058</v>
      </c>
      <c r="S228" t="s">
        <v>59</v>
      </c>
      <c r="T228" t="s">
        <v>86</v>
      </c>
      <c r="U228" t="s">
        <v>61</v>
      </c>
    </row>
    <row r="229" spans="1:21" x14ac:dyDescent="0.35">
      <c r="A229" t="s">
        <v>339</v>
      </c>
      <c r="B229" s="5">
        <v>45706</v>
      </c>
      <c r="C229" t="s">
        <v>107</v>
      </c>
      <c r="D229" t="s">
        <v>74</v>
      </c>
      <c r="E229" s="9">
        <v>2</v>
      </c>
      <c r="F229" s="10">
        <v>125</v>
      </c>
      <c r="G229" s="11">
        <v>0.05</v>
      </c>
      <c r="H229" s="10">
        <v>237.5</v>
      </c>
      <c r="I229" s="9">
        <v>0</v>
      </c>
      <c r="J229" s="10">
        <v>0</v>
      </c>
      <c r="K229" s="9">
        <v>2</v>
      </c>
      <c r="L229" s="10">
        <v>237.5</v>
      </c>
      <c r="M229" s="10">
        <v>182.86</v>
      </c>
      <c r="N229" s="10">
        <v>54.64</v>
      </c>
      <c r="O229" s="11">
        <f t="shared" si="10"/>
        <v>0.23006315789473686</v>
      </c>
      <c r="P229" s="10">
        <v>15.78</v>
      </c>
      <c r="Q229" s="10">
        <v>38.86</v>
      </c>
      <c r="R229" s="11">
        <f t="shared" si="11"/>
        <v>0.16362105263157894</v>
      </c>
      <c r="S229" t="s">
        <v>65</v>
      </c>
      <c r="T229" t="s">
        <v>82</v>
      </c>
      <c r="U229" t="s">
        <v>61</v>
      </c>
    </row>
    <row r="230" spans="1:21" x14ac:dyDescent="0.35">
      <c r="A230" t="s">
        <v>340</v>
      </c>
      <c r="B230" s="5">
        <v>45821</v>
      </c>
      <c r="C230" t="s">
        <v>121</v>
      </c>
      <c r="D230" t="s">
        <v>70</v>
      </c>
      <c r="E230" s="9">
        <v>1</v>
      </c>
      <c r="F230" s="10">
        <v>110</v>
      </c>
      <c r="G230" s="11">
        <v>0.15</v>
      </c>
      <c r="H230" s="10">
        <v>93.5</v>
      </c>
      <c r="I230" s="9">
        <v>0</v>
      </c>
      <c r="J230" s="10">
        <v>0</v>
      </c>
      <c r="K230" s="9">
        <v>1</v>
      </c>
      <c r="L230" s="10">
        <v>93.5</v>
      </c>
      <c r="M230" s="10">
        <v>68.7</v>
      </c>
      <c r="N230" s="10">
        <v>24.8</v>
      </c>
      <c r="O230" s="11">
        <f t="shared" si="10"/>
        <v>0.26524064171122996</v>
      </c>
      <c r="P230" s="10">
        <v>7.09</v>
      </c>
      <c r="Q230" s="10">
        <v>17.71</v>
      </c>
      <c r="R230" s="11">
        <f t="shared" si="11"/>
        <v>0.18941176470588236</v>
      </c>
      <c r="S230" t="s">
        <v>65</v>
      </c>
      <c r="T230" t="s">
        <v>60</v>
      </c>
      <c r="U230" t="s">
        <v>61</v>
      </c>
    </row>
    <row r="231" spans="1:21" x14ac:dyDescent="0.35">
      <c r="A231" t="s">
        <v>341</v>
      </c>
      <c r="B231" s="5">
        <v>45668</v>
      </c>
      <c r="C231" t="s">
        <v>100</v>
      </c>
      <c r="D231" t="s">
        <v>64</v>
      </c>
      <c r="E231" s="9">
        <v>3</v>
      </c>
      <c r="F231" s="10">
        <v>310</v>
      </c>
      <c r="G231" s="11">
        <v>0.02</v>
      </c>
      <c r="H231" s="10">
        <v>911.4</v>
      </c>
      <c r="I231" s="9">
        <v>0</v>
      </c>
      <c r="J231" s="10">
        <v>0</v>
      </c>
      <c r="K231" s="9">
        <v>3</v>
      </c>
      <c r="L231" s="10">
        <v>911.4</v>
      </c>
      <c r="M231" s="10">
        <v>728.7</v>
      </c>
      <c r="N231" s="10">
        <v>182.7</v>
      </c>
      <c r="O231" s="11">
        <f t="shared" si="10"/>
        <v>0.20046082949308755</v>
      </c>
      <c r="P231" s="10">
        <v>93.44</v>
      </c>
      <c r="Q231" s="10">
        <v>89.26</v>
      </c>
      <c r="R231" s="11">
        <f t="shared" si="11"/>
        <v>9.7937239411893792E-2</v>
      </c>
      <c r="S231" t="s">
        <v>81</v>
      </c>
      <c r="T231" t="s">
        <v>60</v>
      </c>
      <c r="U231" t="s">
        <v>67</v>
      </c>
    </row>
    <row r="232" spans="1:21" x14ac:dyDescent="0.35">
      <c r="A232" t="s">
        <v>342</v>
      </c>
      <c r="B232" s="5">
        <v>45771</v>
      </c>
      <c r="C232" t="s">
        <v>88</v>
      </c>
      <c r="D232" t="s">
        <v>57</v>
      </c>
      <c r="E232" s="9">
        <v>3</v>
      </c>
      <c r="F232" s="10">
        <v>30</v>
      </c>
      <c r="G232" s="11">
        <v>0</v>
      </c>
      <c r="H232" s="10">
        <v>90</v>
      </c>
      <c r="I232" s="9">
        <v>0</v>
      </c>
      <c r="J232" s="10">
        <v>0</v>
      </c>
      <c r="K232" s="9">
        <v>3</v>
      </c>
      <c r="L232" s="10">
        <v>90</v>
      </c>
      <c r="M232" s="10">
        <v>63.92</v>
      </c>
      <c r="N232" s="10">
        <v>26.08</v>
      </c>
      <c r="O232" s="11">
        <f t="shared" si="10"/>
        <v>0.28977777777777775</v>
      </c>
      <c r="P232" s="10">
        <v>7.3</v>
      </c>
      <c r="Q232" s="10">
        <v>18.78</v>
      </c>
      <c r="R232" s="11">
        <f t="shared" si="11"/>
        <v>0.20866666666666667</v>
      </c>
      <c r="S232" t="s">
        <v>81</v>
      </c>
      <c r="T232" t="s">
        <v>86</v>
      </c>
      <c r="U232" t="s">
        <v>71</v>
      </c>
    </row>
    <row r="233" spans="1:21" x14ac:dyDescent="0.35">
      <c r="A233" t="s">
        <v>343</v>
      </c>
      <c r="B233" s="5">
        <v>45689</v>
      </c>
      <c r="C233" t="s">
        <v>104</v>
      </c>
      <c r="D233" t="s">
        <v>105</v>
      </c>
      <c r="E233" s="9">
        <v>1</v>
      </c>
      <c r="F233" s="10">
        <v>65</v>
      </c>
      <c r="G233" s="11">
        <v>0</v>
      </c>
      <c r="H233" s="10">
        <v>65</v>
      </c>
      <c r="I233" s="9">
        <v>0</v>
      </c>
      <c r="J233" s="10">
        <v>0</v>
      </c>
      <c r="K233" s="9">
        <v>1</v>
      </c>
      <c r="L233" s="10">
        <v>65</v>
      </c>
      <c r="M233" s="10">
        <v>54.14</v>
      </c>
      <c r="N233" s="10">
        <v>10.86</v>
      </c>
      <c r="O233" s="11">
        <f t="shared" si="10"/>
        <v>0.16707692307692307</v>
      </c>
      <c r="P233" s="10">
        <v>4.74</v>
      </c>
      <c r="Q233" s="10">
        <v>6.12</v>
      </c>
      <c r="R233" s="11">
        <f t="shared" si="11"/>
        <v>9.4153846153846157E-2</v>
      </c>
      <c r="S233" t="s">
        <v>81</v>
      </c>
      <c r="T233" t="s">
        <v>60</v>
      </c>
      <c r="U233" t="s">
        <v>76</v>
      </c>
    </row>
    <row r="234" spans="1:21" x14ac:dyDescent="0.35">
      <c r="A234" t="s">
        <v>344</v>
      </c>
      <c r="B234" s="5">
        <v>45959</v>
      </c>
      <c r="C234" t="s">
        <v>107</v>
      </c>
      <c r="D234" t="s">
        <v>74</v>
      </c>
      <c r="E234" s="9">
        <v>2</v>
      </c>
      <c r="F234" s="10">
        <v>125</v>
      </c>
      <c r="G234" s="11">
        <v>0</v>
      </c>
      <c r="H234" s="10">
        <v>250</v>
      </c>
      <c r="I234" s="9">
        <v>0</v>
      </c>
      <c r="J234" s="10">
        <v>0</v>
      </c>
      <c r="K234" s="9">
        <v>2</v>
      </c>
      <c r="L234" s="10">
        <v>250</v>
      </c>
      <c r="M234" s="10">
        <v>193.16</v>
      </c>
      <c r="N234" s="10">
        <v>56.84</v>
      </c>
      <c r="O234" s="11">
        <f t="shared" si="10"/>
        <v>0.22736000000000001</v>
      </c>
      <c r="P234" s="10">
        <v>32.07</v>
      </c>
      <c r="Q234" s="10">
        <v>24.77</v>
      </c>
      <c r="R234" s="11">
        <f t="shared" si="11"/>
        <v>9.9080000000000001E-2</v>
      </c>
      <c r="S234" t="s">
        <v>65</v>
      </c>
      <c r="T234" t="s">
        <v>82</v>
      </c>
      <c r="U234" t="s">
        <v>76</v>
      </c>
    </row>
    <row r="235" spans="1:21" x14ac:dyDescent="0.35">
      <c r="A235" t="s">
        <v>345</v>
      </c>
      <c r="B235" s="5">
        <v>45926</v>
      </c>
      <c r="C235" t="s">
        <v>69</v>
      </c>
      <c r="D235" t="s">
        <v>70</v>
      </c>
      <c r="E235" s="9">
        <v>1</v>
      </c>
      <c r="F235" s="10">
        <v>210</v>
      </c>
      <c r="G235" s="11">
        <v>0</v>
      </c>
      <c r="H235" s="10">
        <v>210</v>
      </c>
      <c r="I235" s="9">
        <v>0</v>
      </c>
      <c r="J235" s="10">
        <v>0</v>
      </c>
      <c r="K235" s="9">
        <v>1</v>
      </c>
      <c r="L235" s="10">
        <v>210</v>
      </c>
      <c r="M235" s="10">
        <v>168.16</v>
      </c>
      <c r="N235" s="10">
        <v>41.84</v>
      </c>
      <c r="O235" s="11">
        <f t="shared" si="10"/>
        <v>0.19923809523809524</v>
      </c>
      <c r="P235" s="10">
        <v>19.559999999999999</v>
      </c>
      <c r="Q235" s="10">
        <v>22.28</v>
      </c>
      <c r="R235" s="11">
        <f t="shared" si="11"/>
        <v>0.1060952380952381</v>
      </c>
      <c r="S235" t="s">
        <v>81</v>
      </c>
      <c r="T235" t="s">
        <v>82</v>
      </c>
      <c r="U235" t="s">
        <v>67</v>
      </c>
    </row>
    <row r="236" spans="1:21" x14ac:dyDescent="0.35">
      <c r="A236" t="s">
        <v>346</v>
      </c>
      <c r="B236" s="5">
        <v>45935</v>
      </c>
      <c r="C236" t="s">
        <v>73</v>
      </c>
      <c r="D236" t="s">
        <v>74</v>
      </c>
      <c r="E236" s="9">
        <v>1</v>
      </c>
      <c r="F236" s="10">
        <v>280</v>
      </c>
      <c r="G236" s="11">
        <v>0.15</v>
      </c>
      <c r="H236" s="10">
        <v>238</v>
      </c>
      <c r="I236" s="9">
        <v>0</v>
      </c>
      <c r="J236" s="10">
        <v>0</v>
      </c>
      <c r="K236" s="9">
        <v>1</v>
      </c>
      <c r="L236" s="10">
        <v>238</v>
      </c>
      <c r="M236" s="10">
        <v>175.46</v>
      </c>
      <c r="N236" s="10">
        <v>62.54</v>
      </c>
      <c r="O236" s="11">
        <f t="shared" si="10"/>
        <v>0.26277310924369746</v>
      </c>
      <c r="P236" s="10">
        <v>18.420000000000002</v>
      </c>
      <c r="Q236" s="10">
        <v>44.12</v>
      </c>
      <c r="R236" s="11">
        <f t="shared" si="11"/>
        <v>0.18537815126050419</v>
      </c>
      <c r="S236" t="s">
        <v>59</v>
      </c>
      <c r="T236" t="s">
        <v>66</v>
      </c>
      <c r="U236" t="s">
        <v>67</v>
      </c>
    </row>
    <row r="237" spans="1:21" x14ac:dyDescent="0.35">
      <c r="A237" t="s">
        <v>347</v>
      </c>
      <c r="B237" s="5">
        <v>45938</v>
      </c>
      <c r="C237" t="s">
        <v>114</v>
      </c>
      <c r="D237" t="s">
        <v>64</v>
      </c>
      <c r="E237" s="9">
        <v>3</v>
      </c>
      <c r="F237" s="10">
        <v>420</v>
      </c>
      <c r="G237" s="11">
        <v>0</v>
      </c>
      <c r="H237" s="10">
        <v>1260</v>
      </c>
      <c r="I237" s="9">
        <v>0</v>
      </c>
      <c r="J237" s="10">
        <v>0</v>
      </c>
      <c r="K237" s="9">
        <v>3</v>
      </c>
      <c r="L237" s="10">
        <v>1260</v>
      </c>
      <c r="M237" s="10">
        <v>952.06</v>
      </c>
      <c r="N237" s="10">
        <v>307.94</v>
      </c>
      <c r="O237" s="11">
        <f t="shared" si="10"/>
        <v>0.24439682539682539</v>
      </c>
      <c r="P237" s="10">
        <v>151.03</v>
      </c>
      <c r="Q237" s="10">
        <v>156.91</v>
      </c>
      <c r="R237" s="11">
        <f t="shared" si="11"/>
        <v>0.12453174603174604</v>
      </c>
      <c r="S237" t="s">
        <v>65</v>
      </c>
      <c r="T237" t="s">
        <v>66</v>
      </c>
      <c r="U237" t="s">
        <v>76</v>
      </c>
    </row>
    <row r="238" spans="1:21" x14ac:dyDescent="0.35">
      <c r="A238" t="s">
        <v>348</v>
      </c>
      <c r="B238" s="5">
        <v>45761</v>
      </c>
      <c r="C238" t="s">
        <v>88</v>
      </c>
      <c r="D238" t="s">
        <v>57</v>
      </c>
      <c r="E238" s="9">
        <v>3</v>
      </c>
      <c r="F238" s="10">
        <v>30</v>
      </c>
      <c r="G238" s="11">
        <v>0</v>
      </c>
      <c r="H238" s="10">
        <v>90</v>
      </c>
      <c r="I238" s="9">
        <v>0</v>
      </c>
      <c r="J238" s="10">
        <v>0</v>
      </c>
      <c r="K238" s="9">
        <v>3</v>
      </c>
      <c r="L238" s="10">
        <v>90</v>
      </c>
      <c r="M238" s="10">
        <v>61.13</v>
      </c>
      <c r="N238" s="10">
        <v>28.87</v>
      </c>
      <c r="O238" s="11">
        <f t="shared" si="10"/>
        <v>0.32077777777777777</v>
      </c>
      <c r="P238" s="10">
        <v>11.64</v>
      </c>
      <c r="Q238" s="10">
        <v>17.23</v>
      </c>
      <c r="R238" s="11">
        <f t="shared" si="11"/>
        <v>0.19144444444444444</v>
      </c>
      <c r="S238" t="s">
        <v>59</v>
      </c>
      <c r="T238" t="s">
        <v>86</v>
      </c>
      <c r="U238" t="s">
        <v>61</v>
      </c>
    </row>
    <row r="239" spans="1:21" x14ac:dyDescent="0.35">
      <c r="A239" t="s">
        <v>349</v>
      </c>
      <c r="B239" s="5">
        <v>45723</v>
      </c>
      <c r="C239" t="s">
        <v>84</v>
      </c>
      <c r="D239" t="s">
        <v>85</v>
      </c>
      <c r="E239" s="9">
        <v>4</v>
      </c>
      <c r="F239" s="10">
        <v>48</v>
      </c>
      <c r="G239" s="11">
        <v>0</v>
      </c>
      <c r="H239" s="10">
        <v>192</v>
      </c>
      <c r="I239" s="9">
        <v>0</v>
      </c>
      <c r="J239" s="10">
        <v>0</v>
      </c>
      <c r="K239" s="9">
        <v>4</v>
      </c>
      <c r="L239" s="10">
        <v>192</v>
      </c>
      <c r="M239" s="10">
        <v>153.25</v>
      </c>
      <c r="N239" s="10">
        <v>38.75</v>
      </c>
      <c r="O239" s="11">
        <f t="shared" si="10"/>
        <v>0.20182291666666666</v>
      </c>
      <c r="P239" s="10">
        <v>19.05</v>
      </c>
      <c r="Q239" s="10">
        <v>19.7</v>
      </c>
      <c r="R239" s="11">
        <f t="shared" si="11"/>
        <v>0.10260416666666666</v>
      </c>
      <c r="S239" t="s">
        <v>75</v>
      </c>
      <c r="T239" t="s">
        <v>86</v>
      </c>
      <c r="U239" t="s">
        <v>67</v>
      </c>
    </row>
    <row r="240" spans="1:21" x14ac:dyDescent="0.35">
      <c r="A240" t="s">
        <v>351</v>
      </c>
      <c r="B240" s="5">
        <v>45671</v>
      </c>
      <c r="C240" t="s">
        <v>97</v>
      </c>
      <c r="D240" t="s">
        <v>57</v>
      </c>
      <c r="E240" s="9">
        <v>3</v>
      </c>
      <c r="F240" s="10">
        <v>55</v>
      </c>
      <c r="G240" s="11">
        <v>0</v>
      </c>
      <c r="H240" s="10">
        <v>165</v>
      </c>
      <c r="I240" s="9">
        <v>0</v>
      </c>
      <c r="J240" s="10">
        <v>0</v>
      </c>
      <c r="K240" s="9">
        <v>3</v>
      </c>
      <c r="L240" s="10">
        <v>165</v>
      </c>
      <c r="M240" s="10">
        <v>132.44</v>
      </c>
      <c r="N240" s="10">
        <v>32.56</v>
      </c>
      <c r="O240" s="11">
        <f t="shared" si="10"/>
        <v>0.19733333333333336</v>
      </c>
      <c r="P240" s="10">
        <v>18.09</v>
      </c>
      <c r="Q240" s="10">
        <v>14.47</v>
      </c>
      <c r="R240" s="11">
        <f t="shared" si="11"/>
        <v>8.7696969696969704E-2</v>
      </c>
      <c r="S240" t="s">
        <v>75</v>
      </c>
      <c r="T240" t="s">
        <v>82</v>
      </c>
      <c r="U240" t="s">
        <v>67</v>
      </c>
    </row>
    <row r="241" spans="1:21" x14ac:dyDescent="0.35">
      <c r="A241" t="s">
        <v>352</v>
      </c>
      <c r="B241" s="5">
        <v>45789</v>
      </c>
      <c r="C241" t="s">
        <v>104</v>
      </c>
      <c r="D241" t="s">
        <v>105</v>
      </c>
      <c r="E241" s="9">
        <v>2</v>
      </c>
      <c r="F241" s="10">
        <v>65</v>
      </c>
      <c r="G241" s="11">
        <v>0</v>
      </c>
      <c r="H241" s="10">
        <v>130</v>
      </c>
      <c r="I241" s="9">
        <v>0</v>
      </c>
      <c r="J241" s="10">
        <v>0</v>
      </c>
      <c r="K241" s="9">
        <v>2</v>
      </c>
      <c r="L241" s="10">
        <v>130</v>
      </c>
      <c r="M241" s="10">
        <v>90.13</v>
      </c>
      <c r="N241" s="10">
        <v>39.869999999999997</v>
      </c>
      <c r="O241" s="11">
        <f t="shared" si="10"/>
        <v>0.30669230769230765</v>
      </c>
      <c r="P241" s="10">
        <v>16.86</v>
      </c>
      <c r="Q241" s="10">
        <v>23.01</v>
      </c>
      <c r="R241" s="11">
        <f t="shared" si="11"/>
        <v>0.17700000000000002</v>
      </c>
      <c r="S241" t="s">
        <v>59</v>
      </c>
      <c r="T241" t="s">
        <v>66</v>
      </c>
      <c r="U241" t="s">
        <v>61</v>
      </c>
    </row>
    <row r="242" spans="1:21" x14ac:dyDescent="0.35">
      <c r="A242" t="s">
        <v>353</v>
      </c>
      <c r="B242" s="5">
        <v>46016</v>
      </c>
      <c r="C242" t="s">
        <v>104</v>
      </c>
      <c r="D242" t="s">
        <v>105</v>
      </c>
      <c r="E242" s="9">
        <v>5</v>
      </c>
      <c r="F242" s="10">
        <v>65</v>
      </c>
      <c r="G242" s="11">
        <v>0</v>
      </c>
      <c r="H242" s="10">
        <v>325</v>
      </c>
      <c r="I242" s="9">
        <v>0</v>
      </c>
      <c r="J242" s="10">
        <v>0</v>
      </c>
      <c r="K242" s="9">
        <v>5</v>
      </c>
      <c r="L242" s="10">
        <v>325</v>
      </c>
      <c r="M242" s="10">
        <v>212.25</v>
      </c>
      <c r="N242" s="10">
        <v>112.75</v>
      </c>
      <c r="O242" s="11">
        <f t="shared" si="10"/>
        <v>0.34692307692307695</v>
      </c>
      <c r="P242" s="10">
        <v>16.3</v>
      </c>
      <c r="Q242" s="10">
        <v>96.45</v>
      </c>
      <c r="R242" s="11">
        <f t="shared" si="11"/>
        <v>0.29676923076923079</v>
      </c>
      <c r="S242" t="s">
        <v>75</v>
      </c>
      <c r="T242" t="s">
        <v>82</v>
      </c>
      <c r="U242" t="s">
        <v>71</v>
      </c>
    </row>
    <row r="243" spans="1:21" x14ac:dyDescent="0.35">
      <c r="A243" t="s">
        <v>354</v>
      </c>
      <c r="B243" s="5">
        <v>45671</v>
      </c>
      <c r="C243" t="s">
        <v>121</v>
      </c>
      <c r="D243" t="s">
        <v>70</v>
      </c>
      <c r="E243" s="9">
        <v>2</v>
      </c>
      <c r="F243" s="10">
        <v>110</v>
      </c>
      <c r="G243" s="11">
        <v>0.05</v>
      </c>
      <c r="H243" s="10">
        <v>209</v>
      </c>
      <c r="I243" s="9">
        <v>0</v>
      </c>
      <c r="J243" s="10">
        <v>0</v>
      </c>
      <c r="K243" s="9">
        <v>2</v>
      </c>
      <c r="L243" s="10">
        <v>209</v>
      </c>
      <c r="M243" s="10">
        <v>134.24</v>
      </c>
      <c r="N243" s="10">
        <v>74.760000000000005</v>
      </c>
      <c r="O243" s="11">
        <f t="shared" si="10"/>
        <v>0.35770334928229669</v>
      </c>
      <c r="P243" s="10">
        <v>18.489999999999998</v>
      </c>
      <c r="Q243" s="10">
        <v>56.27</v>
      </c>
      <c r="R243" s="11">
        <f t="shared" si="11"/>
        <v>0.26923444976076555</v>
      </c>
      <c r="S243" t="s">
        <v>59</v>
      </c>
      <c r="T243" t="s">
        <v>86</v>
      </c>
      <c r="U243" t="s">
        <v>67</v>
      </c>
    </row>
    <row r="244" spans="1:21" x14ac:dyDescent="0.35">
      <c r="A244" t="s">
        <v>355</v>
      </c>
      <c r="B244" s="5">
        <v>45816</v>
      </c>
      <c r="C244" t="s">
        <v>117</v>
      </c>
      <c r="D244" t="s">
        <v>74</v>
      </c>
      <c r="E244" s="9">
        <v>2</v>
      </c>
      <c r="F244" s="10">
        <v>95</v>
      </c>
      <c r="G244" s="11">
        <v>0.05</v>
      </c>
      <c r="H244" s="10">
        <v>180.5</v>
      </c>
      <c r="I244" s="9">
        <v>0</v>
      </c>
      <c r="J244" s="10">
        <v>0</v>
      </c>
      <c r="K244" s="9">
        <v>2</v>
      </c>
      <c r="L244" s="10">
        <v>180.5</v>
      </c>
      <c r="M244" s="10">
        <v>114.2</v>
      </c>
      <c r="N244" s="10">
        <v>66.3</v>
      </c>
      <c r="O244" s="11">
        <f t="shared" si="10"/>
        <v>0.3673130193905817</v>
      </c>
      <c r="P244" s="10">
        <v>17.68</v>
      </c>
      <c r="Q244" s="10">
        <v>48.62</v>
      </c>
      <c r="R244" s="11">
        <f t="shared" si="11"/>
        <v>0.26936288088642657</v>
      </c>
      <c r="S244" t="s">
        <v>65</v>
      </c>
      <c r="T244" t="s">
        <v>86</v>
      </c>
      <c r="U244" t="s">
        <v>76</v>
      </c>
    </row>
    <row r="245" spans="1:21" x14ac:dyDescent="0.35">
      <c r="A245" t="s">
        <v>356</v>
      </c>
      <c r="B245" s="5">
        <v>45774</v>
      </c>
      <c r="C245" t="s">
        <v>107</v>
      </c>
      <c r="D245" t="s">
        <v>74</v>
      </c>
      <c r="E245" s="9">
        <v>4</v>
      </c>
      <c r="F245" s="10">
        <v>125</v>
      </c>
      <c r="G245" s="11">
        <v>0</v>
      </c>
      <c r="H245" s="10">
        <v>500</v>
      </c>
      <c r="I245" s="9">
        <v>0</v>
      </c>
      <c r="J245" s="10">
        <v>0</v>
      </c>
      <c r="K245" s="9">
        <v>4</v>
      </c>
      <c r="L245" s="10">
        <v>500</v>
      </c>
      <c r="M245" s="10">
        <v>393.45</v>
      </c>
      <c r="N245" s="10">
        <v>106.55</v>
      </c>
      <c r="O245" s="11">
        <f t="shared" si="10"/>
        <v>0.21309999999999998</v>
      </c>
      <c r="P245" s="10">
        <v>64.28</v>
      </c>
      <c r="Q245" s="10">
        <v>42.27</v>
      </c>
      <c r="R245" s="11">
        <f t="shared" si="11"/>
        <v>8.4540000000000004E-2</v>
      </c>
      <c r="S245" t="s">
        <v>59</v>
      </c>
      <c r="T245" t="s">
        <v>86</v>
      </c>
      <c r="U245" t="s">
        <v>61</v>
      </c>
    </row>
    <row r="246" spans="1:21" x14ac:dyDescent="0.35">
      <c r="A246" t="s">
        <v>357</v>
      </c>
      <c r="B246" s="5">
        <v>45773</v>
      </c>
      <c r="C246" t="s">
        <v>92</v>
      </c>
      <c r="D246" t="s">
        <v>79</v>
      </c>
      <c r="E246" s="9">
        <v>3</v>
      </c>
      <c r="F246" s="10">
        <v>85</v>
      </c>
      <c r="G246" s="11">
        <v>0</v>
      </c>
      <c r="H246" s="10">
        <v>255</v>
      </c>
      <c r="I246" s="9">
        <v>0</v>
      </c>
      <c r="J246" s="10">
        <v>0</v>
      </c>
      <c r="K246" s="9">
        <v>3</v>
      </c>
      <c r="L246" s="10">
        <v>255</v>
      </c>
      <c r="M246" s="10">
        <v>178.19</v>
      </c>
      <c r="N246" s="10">
        <v>76.81</v>
      </c>
      <c r="O246" s="11">
        <f t="shared" si="10"/>
        <v>0.30121568627450979</v>
      </c>
      <c r="P246" s="10">
        <v>14.56</v>
      </c>
      <c r="Q246" s="10">
        <v>62.25</v>
      </c>
      <c r="R246" s="11">
        <f t="shared" si="11"/>
        <v>0.24411764705882352</v>
      </c>
      <c r="S246" t="s">
        <v>75</v>
      </c>
      <c r="T246" t="s">
        <v>60</v>
      </c>
      <c r="U246" t="s">
        <v>61</v>
      </c>
    </row>
    <row r="247" spans="1:21" x14ac:dyDescent="0.35">
      <c r="A247" t="s">
        <v>358</v>
      </c>
      <c r="B247" s="5">
        <v>45897</v>
      </c>
      <c r="C247" t="s">
        <v>73</v>
      </c>
      <c r="D247" t="s">
        <v>74</v>
      </c>
      <c r="E247" s="9">
        <v>10</v>
      </c>
      <c r="F247" s="10">
        <v>280</v>
      </c>
      <c r="G247" s="11">
        <v>0.1</v>
      </c>
      <c r="H247" s="10">
        <v>2520</v>
      </c>
      <c r="I247" s="9">
        <v>0</v>
      </c>
      <c r="J247" s="10">
        <v>0</v>
      </c>
      <c r="K247" s="9">
        <v>10</v>
      </c>
      <c r="L247" s="10">
        <v>2520</v>
      </c>
      <c r="M247" s="10">
        <v>1951.02</v>
      </c>
      <c r="N247" s="10">
        <v>568.98</v>
      </c>
      <c r="O247" s="11">
        <f t="shared" si="10"/>
        <v>0.22578571428571428</v>
      </c>
      <c r="P247" s="10">
        <v>254.25</v>
      </c>
      <c r="Q247" s="10">
        <v>314.73</v>
      </c>
      <c r="R247" s="11">
        <f t="shared" si="11"/>
        <v>0.12489285714285715</v>
      </c>
      <c r="S247" t="s">
        <v>59</v>
      </c>
      <c r="T247" t="s">
        <v>60</v>
      </c>
      <c r="U247" t="s">
        <v>76</v>
      </c>
    </row>
    <row r="248" spans="1:21" x14ac:dyDescent="0.35">
      <c r="A248" t="s">
        <v>359</v>
      </c>
      <c r="B248" s="5">
        <v>45718</v>
      </c>
      <c r="C248" t="s">
        <v>109</v>
      </c>
      <c r="D248" t="s">
        <v>85</v>
      </c>
      <c r="E248" s="9">
        <v>10</v>
      </c>
      <c r="F248" s="10">
        <v>180</v>
      </c>
      <c r="G248" s="11">
        <v>0.05</v>
      </c>
      <c r="H248" s="10">
        <v>1710</v>
      </c>
      <c r="I248" s="9">
        <v>0</v>
      </c>
      <c r="J248" s="10">
        <v>0</v>
      </c>
      <c r="K248" s="9">
        <v>10</v>
      </c>
      <c r="L248" s="10">
        <v>1710</v>
      </c>
      <c r="M248" s="10">
        <v>1363.89</v>
      </c>
      <c r="N248" s="10">
        <v>346.11</v>
      </c>
      <c r="O248" s="11">
        <f t="shared" si="10"/>
        <v>0.20240350877192984</v>
      </c>
      <c r="P248" s="10">
        <v>113.26</v>
      </c>
      <c r="Q248" s="10">
        <v>232.85</v>
      </c>
      <c r="R248" s="11">
        <f t="shared" si="11"/>
        <v>0.13616959064327486</v>
      </c>
      <c r="S248" t="s">
        <v>81</v>
      </c>
      <c r="T248" t="s">
        <v>82</v>
      </c>
      <c r="U248" t="s">
        <v>76</v>
      </c>
    </row>
    <row r="249" spans="1:21" x14ac:dyDescent="0.35">
      <c r="A249" t="s">
        <v>360</v>
      </c>
      <c r="B249" s="5">
        <v>45708</v>
      </c>
      <c r="C249" t="s">
        <v>90</v>
      </c>
      <c r="D249" t="s">
        <v>70</v>
      </c>
      <c r="E249" s="9">
        <v>4</v>
      </c>
      <c r="F249" s="10">
        <v>38</v>
      </c>
      <c r="G249" s="11">
        <v>0.02</v>
      </c>
      <c r="H249" s="10">
        <v>148.96</v>
      </c>
      <c r="I249" s="9">
        <v>0</v>
      </c>
      <c r="J249" s="10">
        <v>0</v>
      </c>
      <c r="K249" s="9">
        <v>4</v>
      </c>
      <c r="L249" s="10">
        <v>148.96</v>
      </c>
      <c r="M249" s="10">
        <v>113.32</v>
      </c>
      <c r="N249" s="10">
        <v>35.64</v>
      </c>
      <c r="O249" s="11">
        <f t="shared" si="10"/>
        <v>0.23925886143931255</v>
      </c>
      <c r="P249" s="10">
        <v>18.53</v>
      </c>
      <c r="Q249" s="10">
        <v>17.11</v>
      </c>
      <c r="R249" s="11">
        <f t="shared" si="11"/>
        <v>0.11486305048335123</v>
      </c>
      <c r="S249" t="s">
        <v>75</v>
      </c>
      <c r="T249" t="s">
        <v>60</v>
      </c>
      <c r="U249" t="s">
        <v>71</v>
      </c>
    </row>
    <row r="250" spans="1:21" x14ac:dyDescent="0.35">
      <c r="A250" t="s">
        <v>361</v>
      </c>
      <c r="B250" s="5">
        <v>45731</v>
      </c>
      <c r="C250" t="s">
        <v>95</v>
      </c>
      <c r="D250" t="s">
        <v>64</v>
      </c>
      <c r="E250" s="9">
        <v>2</v>
      </c>
      <c r="F250" s="10">
        <v>52</v>
      </c>
      <c r="G250" s="11">
        <v>0.1</v>
      </c>
      <c r="H250" s="10">
        <v>93.6</v>
      </c>
      <c r="I250" s="9">
        <v>0</v>
      </c>
      <c r="J250" s="10">
        <v>0</v>
      </c>
      <c r="K250" s="9">
        <v>2</v>
      </c>
      <c r="L250" s="10">
        <v>93.6</v>
      </c>
      <c r="M250" s="10">
        <v>76.95</v>
      </c>
      <c r="N250" s="10">
        <v>16.649999999999999</v>
      </c>
      <c r="O250" s="11">
        <f t="shared" si="10"/>
        <v>0.17788461538461539</v>
      </c>
      <c r="P250" s="10">
        <v>10.69</v>
      </c>
      <c r="Q250" s="10">
        <v>5.96</v>
      </c>
      <c r="R250" s="11">
        <f t="shared" si="11"/>
        <v>6.3675213675213685E-2</v>
      </c>
      <c r="S250" t="s">
        <v>65</v>
      </c>
      <c r="T250" t="s">
        <v>66</v>
      </c>
      <c r="U250" t="s">
        <v>61</v>
      </c>
    </row>
    <row r="251" spans="1:21" x14ac:dyDescent="0.35">
      <c r="A251" t="s">
        <v>363</v>
      </c>
      <c r="B251" s="5">
        <v>45757</v>
      </c>
      <c r="C251" t="s">
        <v>109</v>
      </c>
      <c r="D251" t="s">
        <v>85</v>
      </c>
      <c r="E251" s="9">
        <v>4</v>
      </c>
      <c r="F251" s="10">
        <v>180</v>
      </c>
      <c r="G251" s="11">
        <v>0</v>
      </c>
      <c r="H251" s="10">
        <v>720</v>
      </c>
      <c r="I251" s="9">
        <v>0</v>
      </c>
      <c r="J251" s="10">
        <v>0</v>
      </c>
      <c r="K251" s="9">
        <v>4</v>
      </c>
      <c r="L251" s="10">
        <v>720</v>
      </c>
      <c r="M251" s="10">
        <v>602.6</v>
      </c>
      <c r="N251" s="10">
        <v>117.4</v>
      </c>
      <c r="O251" s="11">
        <f t="shared" si="10"/>
        <v>0.16305555555555556</v>
      </c>
      <c r="P251" s="10">
        <v>80.94</v>
      </c>
      <c r="Q251" s="10">
        <v>36.46</v>
      </c>
      <c r="R251" s="11">
        <f t="shared" si="11"/>
        <v>5.0638888888888893E-2</v>
      </c>
      <c r="S251" t="s">
        <v>81</v>
      </c>
      <c r="T251" t="s">
        <v>66</v>
      </c>
      <c r="U251" t="s">
        <v>71</v>
      </c>
    </row>
    <row r="252" spans="1:21" x14ac:dyDescent="0.35">
      <c r="A252" t="s">
        <v>364</v>
      </c>
      <c r="B252" s="5">
        <v>46021</v>
      </c>
      <c r="C252" t="s">
        <v>121</v>
      </c>
      <c r="D252" t="s">
        <v>70</v>
      </c>
      <c r="E252" s="9">
        <v>3</v>
      </c>
      <c r="F252" s="10">
        <v>110</v>
      </c>
      <c r="G252" s="11">
        <v>0</v>
      </c>
      <c r="H252" s="10">
        <v>330</v>
      </c>
      <c r="I252" s="9">
        <v>0</v>
      </c>
      <c r="J252" s="10">
        <v>0</v>
      </c>
      <c r="K252" s="9">
        <v>3</v>
      </c>
      <c r="L252" s="10">
        <v>330</v>
      </c>
      <c r="M252" s="10">
        <v>264.11</v>
      </c>
      <c r="N252" s="10">
        <v>65.89</v>
      </c>
      <c r="O252" s="11">
        <f t="shared" si="10"/>
        <v>0.19966666666666666</v>
      </c>
      <c r="P252" s="10">
        <v>41.75</v>
      </c>
      <c r="Q252" s="10">
        <v>24.14</v>
      </c>
      <c r="R252" s="11">
        <f t="shared" si="11"/>
        <v>7.3151515151515148E-2</v>
      </c>
      <c r="S252" t="s">
        <v>81</v>
      </c>
      <c r="T252" t="s">
        <v>82</v>
      </c>
      <c r="U252" t="s">
        <v>71</v>
      </c>
    </row>
    <row r="253" spans="1:21" x14ac:dyDescent="0.35">
      <c r="A253" t="s">
        <v>365</v>
      </c>
      <c r="B253" s="5">
        <v>45763</v>
      </c>
      <c r="C253" t="s">
        <v>56</v>
      </c>
      <c r="D253" t="s">
        <v>57</v>
      </c>
      <c r="E253" s="9">
        <v>2</v>
      </c>
      <c r="F253" s="10">
        <v>40</v>
      </c>
      <c r="G253" s="11">
        <v>0.1</v>
      </c>
      <c r="H253" s="10">
        <v>72</v>
      </c>
      <c r="I253" s="9">
        <v>0</v>
      </c>
      <c r="J253" s="10">
        <v>0</v>
      </c>
      <c r="K253" s="9">
        <v>2</v>
      </c>
      <c r="L253" s="10">
        <v>72</v>
      </c>
      <c r="M253" s="10">
        <v>48.95</v>
      </c>
      <c r="N253" s="10">
        <v>23.05</v>
      </c>
      <c r="O253" s="11">
        <f t="shared" si="10"/>
        <v>0.32013888888888892</v>
      </c>
      <c r="P253" s="10">
        <v>7.97</v>
      </c>
      <c r="Q253" s="10">
        <v>15.08</v>
      </c>
      <c r="R253" s="11">
        <f t="shared" si="11"/>
        <v>0.20944444444444443</v>
      </c>
      <c r="S253" t="s">
        <v>75</v>
      </c>
      <c r="T253" t="s">
        <v>66</v>
      </c>
      <c r="U253" t="s">
        <v>71</v>
      </c>
    </row>
    <row r="254" spans="1:21" x14ac:dyDescent="0.35">
      <c r="A254" t="s">
        <v>367</v>
      </c>
      <c r="B254" s="5">
        <v>45678</v>
      </c>
      <c r="C254" t="s">
        <v>69</v>
      </c>
      <c r="D254" t="s">
        <v>70</v>
      </c>
      <c r="E254" s="9">
        <v>1</v>
      </c>
      <c r="F254" s="10">
        <v>210</v>
      </c>
      <c r="G254" s="11">
        <v>0.1</v>
      </c>
      <c r="H254" s="10">
        <v>189</v>
      </c>
      <c r="I254" s="9">
        <v>0</v>
      </c>
      <c r="J254" s="10">
        <v>0</v>
      </c>
      <c r="K254" s="9">
        <v>1</v>
      </c>
      <c r="L254" s="10">
        <v>189</v>
      </c>
      <c r="M254" s="10">
        <v>119.29</v>
      </c>
      <c r="N254" s="10">
        <v>69.709999999999994</v>
      </c>
      <c r="O254" s="11">
        <f t="shared" si="10"/>
        <v>0.36883597883597879</v>
      </c>
      <c r="P254" s="10">
        <v>17.95</v>
      </c>
      <c r="Q254" s="10">
        <v>51.76</v>
      </c>
      <c r="R254" s="11">
        <f t="shared" si="11"/>
        <v>0.27386243386243386</v>
      </c>
      <c r="S254" t="s">
        <v>65</v>
      </c>
      <c r="T254" t="s">
        <v>82</v>
      </c>
      <c r="U254" t="s">
        <v>67</v>
      </c>
    </row>
    <row r="255" spans="1:21" x14ac:dyDescent="0.35">
      <c r="A255" t="s">
        <v>368</v>
      </c>
      <c r="B255" s="5">
        <v>45856</v>
      </c>
      <c r="C255" t="s">
        <v>56</v>
      </c>
      <c r="D255" t="s">
        <v>57</v>
      </c>
      <c r="E255" s="9">
        <v>1</v>
      </c>
      <c r="F255" s="10">
        <v>40</v>
      </c>
      <c r="G255" s="11">
        <v>0</v>
      </c>
      <c r="H255" s="10">
        <v>40</v>
      </c>
      <c r="I255" s="9">
        <v>0</v>
      </c>
      <c r="J255" s="10">
        <v>0</v>
      </c>
      <c r="K255" s="9">
        <v>1</v>
      </c>
      <c r="L255" s="10">
        <v>40</v>
      </c>
      <c r="M255" s="10">
        <v>31.83</v>
      </c>
      <c r="N255" s="10">
        <v>8.17</v>
      </c>
      <c r="O255" s="11">
        <f t="shared" si="10"/>
        <v>0.20424999999999999</v>
      </c>
      <c r="P255" s="10">
        <v>2.41</v>
      </c>
      <c r="Q255" s="10">
        <v>5.76</v>
      </c>
      <c r="R255" s="11">
        <f t="shared" si="11"/>
        <v>0.14399999999999999</v>
      </c>
      <c r="S255" t="s">
        <v>75</v>
      </c>
      <c r="T255" t="s">
        <v>82</v>
      </c>
      <c r="U255" t="s">
        <v>71</v>
      </c>
    </row>
    <row r="256" spans="1:21" x14ac:dyDescent="0.35">
      <c r="A256" t="s">
        <v>369</v>
      </c>
      <c r="B256" s="5">
        <v>45744</v>
      </c>
      <c r="C256" t="s">
        <v>69</v>
      </c>
      <c r="D256" t="s">
        <v>70</v>
      </c>
      <c r="E256" s="9">
        <v>5</v>
      </c>
      <c r="F256" s="10">
        <v>210</v>
      </c>
      <c r="G256" s="11">
        <v>0.02</v>
      </c>
      <c r="H256" s="10">
        <v>1029</v>
      </c>
      <c r="I256" s="9">
        <v>0</v>
      </c>
      <c r="J256" s="10">
        <v>0</v>
      </c>
      <c r="K256" s="9">
        <v>5</v>
      </c>
      <c r="L256" s="10">
        <v>1029</v>
      </c>
      <c r="M256" s="10">
        <v>760.1</v>
      </c>
      <c r="N256" s="10">
        <v>268.89999999999998</v>
      </c>
      <c r="O256" s="11">
        <f t="shared" si="10"/>
        <v>0.26132167152575314</v>
      </c>
      <c r="P256" s="10">
        <v>63.38</v>
      </c>
      <c r="Q256" s="10">
        <v>205.52</v>
      </c>
      <c r="R256" s="11">
        <f t="shared" si="11"/>
        <v>0.19972789115646258</v>
      </c>
      <c r="S256" t="s">
        <v>81</v>
      </c>
      <c r="T256" t="s">
        <v>66</v>
      </c>
      <c r="U256" t="s">
        <v>61</v>
      </c>
    </row>
    <row r="257" spans="1:21" x14ac:dyDescent="0.35">
      <c r="A257" t="s">
        <v>370</v>
      </c>
      <c r="B257" s="5">
        <v>45835</v>
      </c>
      <c r="C257" t="s">
        <v>107</v>
      </c>
      <c r="D257" t="s">
        <v>74</v>
      </c>
      <c r="E257" s="9">
        <v>3</v>
      </c>
      <c r="F257" s="10">
        <v>125</v>
      </c>
      <c r="G257" s="11">
        <v>0.15</v>
      </c>
      <c r="H257" s="10">
        <v>318.75</v>
      </c>
      <c r="I257" s="9">
        <v>0</v>
      </c>
      <c r="J257" s="10">
        <v>0</v>
      </c>
      <c r="K257" s="9">
        <v>3</v>
      </c>
      <c r="L257" s="10">
        <v>318.75</v>
      </c>
      <c r="M257" s="10">
        <v>244.18</v>
      </c>
      <c r="N257" s="10">
        <v>74.569999999999993</v>
      </c>
      <c r="O257" s="11">
        <f t="shared" si="10"/>
        <v>0.23394509803921568</v>
      </c>
      <c r="P257" s="10">
        <v>18.850000000000001</v>
      </c>
      <c r="Q257" s="10">
        <v>55.72</v>
      </c>
      <c r="R257" s="11">
        <f t="shared" si="11"/>
        <v>0.17480784313725489</v>
      </c>
      <c r="S257" t="s">
        <v>75</v>
      </c>
      <c r="T257" t="s">
        <v>86</v>
      </c>
      <c r="U257" t="s">
        <v>76</v>
      </c>
    </row>
    <row r="258" spans="1:21" x14ac:dyDescent="0.35">
      <c r="A258" t="s">
        <v>371</v>
      </c>
      <c r="B258" s="5">
        <v>45685</v>
      </c>
      <c r="C258" t="s">
        <v>84</v>
      </c>
      <c r="D258" t="s">
        <v>85</v>
      </c>
      <c r="E258" s="9">
        <v>1</v>
      </c>
      <c r="F258" s="10">
        <v>48</v>
      </c>
      <c r="G258" s="11">
        <v>0.02</v>
      </c>
      <c r="H258" s="10">
        <v>47.04</v>
      </c>
      <c r="I258" s="9">
        <v>0</v>
      </c>
      <c r="J258" s="10">
        <v>0</v>
      </c>
      <c r="K258" s="9">
        <v>1</v>
      </c>
      <c r="L258" s="10">
        <v>47.04</v>
      </c>
      <c r="M258" s="10">
        <v>35.32</v>
      </c>
      <c r="N258" s="10">
        <v>11.72</v>
      </c>
      <c r="O258" s="11">
        <f t="shared" si="10"/>
        <v>0.24914965986394561</v>
      </c>
      <c r="P258" s="10">
        <v>3.21</v>
      </c>
      <c r="Q258" s="10">
        <v>8.51</v>
      </c>
      <c r="R258" s="11">
        <f t="shared" si="11"/>
        <v>0.18090986394557823</v>
      </c>
      <c r="S258" t="s">
        <v>81</v>
      </c>
      <c r="T258" t="s">
        <v>60</v>
      </c>
      <c r="U258" t="s">
        <v>67</v>
      </c>
    </row>
    <row r="259" spans="1:21" x14ac:dyDescent="0.35">
      <c r="A259" t="s">
        <v>372</v>
      </c>
      <c r="B259" s="5">
        <v>45998</v>
      </c>
      <c r="C259" t="s">
        <v>56</v>
      </c>
      <c r="D259" t="s">
        <v>57</v>
      </c>
      <c r="E259" s="9">
        <v>4</v>
      </c>
      <c r="F259" s="10">
        <v>40</v>
      </c>
      <c r="G259" s="11">
        <v>0</v>
      </c>
      <c r="H259" s="10">
        <v>160</v>
      </c>
      <c r="I259" s="9">
        <v>0</v>
      </c>
      <c r="J259" s="10">
        <v>0</v>
      </c>
      <c r="K259" s="9">
        <v>4</v>
      </c>
      <c r="L259" s="10">
        <v>160</v>
      </c>
      <c r="M259" s="10">
        <v>102.34</v>
      </c>
      <c r="N259" s="10">
        <v>57.66</v>
      </c>
      <c r="O259" s="11">
        <f t="shared" si="10"/>
        <v>0.360375</v>
      </c>
      <c r="P259" s="10">
        <v>14.2</v>
      </c>
      <c r="Q259" s="10">
        <v>43.46</v>
      </c>
      <c r="R259" s="11">
        <f t="shared" si="11"/>
        <v>0.27162500000000001</v>
      </c>
      <c r="S259" t="s">
        <v>75</v>
      </c>
      <c r="T259" t="s">
        <v>82</v>
      </c>
      <c r="U259" t="s">
        <v>71</v>
      </c>
    </row>
    <row r="260" spans="1:21" x14ac:dyDescent="0.35">
      <c r="A260" t="s">
        <v>373</v>
      </c>
      <c r="B260" s="5">
        <v>45733</v>
      </c>
      <c r="C260" t="s">
        <v>117</v>
      </c>
      <c r="D260" t="s">
        <v>74</v>
      </c>
      <c r="E260" s="9">
        <v>1</v>
      </c>
      <c r="F260" s="10">
        <v>95</v>
      </c>
      <c r="G260" s="11">
        <v>0</v>
      </c>
      <c r="H260" s="10">
        <v>95</v>
      </c>
      <c r="I260" s="9">
        <v>0</v>
      </c>
      <c r="J260" s="10">
        <v>0</v>
      </c>
      <c r="K260" s="9">
        <v>1</v>
      </c>
      <c r="L260" s="10">
        <v>95</v>
      </c>
      <c r="M260" s="10">
        <v>78.55</v>
      </c>
      <c r="N260" s="10">
        <v>16.45</v>
      </c>
      <c r="O260" s="11">
        <f t="shared" si="10"/>
        <v>0.17315789473684209</v>
      </c>
      <c r="P260" s="10">
        <v>10.44</v>
      </c>
      <c r="Q260" s="10">
        <v>6.01</v>
      </c>
      <c r="R260" s="11">
        <f t="shared" si="11"/>
        <v>6.3263157894736841E-2</v>
      </c>
      <c r="S260" t="s">
        <v>65</v>
      </c>
      <c r="T260" t="s">
        <v>60</v>
      </c>
      <c r="U260" t="s">
        <v>61</v>
      </c>
    </row>
    <row r="261" spans="1:21" x14ac:dyDescent="0.35">
      <c r="A261" t="s">
        <v>374</v>
      </c>
      <c r="B261" s="5">
        <v>45934</v>
      </c>
      <c r="C261" t="s">
        <v>109</v>
      </c>
      <c r="D261" t="s">
        <v>85</v>
      </c>
      <c r="E261" s="9">
        <v>5</v>
      </c>
      <c r="F261" s="10">
        <v>180</v>
      </c>
      <c r="G261" s="11">
        <v>0</v>
      </c>
      <c r="H261" s="10">
        <v>900</v>
      </c>
      <c r="I261" s="9">
        <v>0</v>
      </c>
      <c r="J261" s="10">
        <v>0</v>
      </c>
      <c r="K261" s="9">
        <v>5</v>
      </c>
      <c r="L261" s="10">
        <v>900</v>
      </c>
      <c r="M261" s="10">
        <v>569.22</v>
      </c>
      <c r="N261" s="10">
        <v>330.78</v>
      </c>
      <c r="O261" s="11">
        <f t="shared" si="10"/>
        <v>0.36753333333333332</v>
      </c>
      <c r="P261" s="10">
        <v>59.5</v>
      </c>
      <c r="Q261" s="10">
        <v>271.27999999999997</v>
      </c>
      <c r="R261" s="11">
        <f t="shared" si="11"/>
        <v>0.3014222222222222</v>
      </c>
      <c r="S261" t="s">
        <v>65</v>
      </c>
      <c r="T261" t="s">
        <v>82</v>
      </c>
      <c r="U261" t="s">
        <v>76</v>
      </c>
    </row>
    <row r="262" spans="1:21" x14ac:dyDescent="0.35">
      <c r="A262" t="s">
        <v>375</v>
      </c>
      <c r="B262" s="5">
        <v>45749</v>
      </c>
      <c r="C262" t="s">
        <v>63</v>
      </c>
      <c r="D262" t="s">
        <v>64</v>
      </c>
      <c r="E262" s="9">
        <v>5</v>
      </c>
      <c r="F262" s="10">
        <v>145</v>
      </c>
      <c r="G262" s="11">
        <v>0</v>
      </c>
      <c r="H262" s="10">
        <v>725</v>
      </c>
      <c r="I262" s="9">
        <v>0</v>
      </c>
      <c r="J262" s="10">
        <v>0</v>
      </c>
      <c r="K262" s="9">
        <v>5</v>
      </c>
      <c r="L262" s="10">
        <v>725</v>
      </c>
      <c r="M262" s="10">
        <v>485.15</v>
      </c>
      <c r="N262" s="10">
        <v>239.85</v>
      </c>
      <c r="O262" s="11">
        <f t="shared" si="10"/>
        <v>0.33082758620689656</v>
      </c>
      <c r="P262" s="10">
        <v>87.27</v>
      </c>
      <c r="Q262" s="10">
        <v>152.58000000000001</v>
      </c>
      <c r="R262" s="11">
        <f t="shared" si="11"/>
        <v>0.21045517241379313</v>
      </c>
      <c r="S262" t="s">
        <v>81</v>
      </c>
      <c r="T262" t="s">
        <v>60</v>
      </c>
      <c r="U262" t="s">
        <v>67</v>
      </c>
    </row>
    <row r="263" spans="1:21" x14ac:dyDescent="0.35">
      <c r="A263" t="s">
        <v>377</v>
      </c>
      <c r="B263" s="5">
        <v>45701</v>
      </c>
      <c r="C263" t="s">
        <v>97</v>
      </c>
      <c r="D263" t="s">
        <v>57</v>
      </c>
      <c r="E263" s="9">
        <v>3</v>
      </c>
      <c r="F263" s="10">
        <v>55</v>
      </c>
      <c r="G263" s="11">
        <v>0.05</v>
      </c>
      <c r="H263" s="10">
        <v>156.75</v>
      </c>
      <c r="I263" s="9">
        <v>0</v>
      </c>
      <c r="J263" s="10">
        <v>0</v>
      </c>
      <c r="K263" s="9">
        <v>3</v>
      </c>
      <c r="L263" s="10">
        <v>156.75</v>
      </c>
      <c r="M263" s="10">
        <v>118.18</v>
      </c>
      <c r="N263" s="10">
        <v>38.57</v>
      </c>
      <c r="O263" s="11">
        <f t="shared" si="10"/>
        <v>0.24606060606060606</v>
      </c>
      <c r="P263" s="10">
        <v>9.02</v>
      </c>
      <c r="Q263" s="10">
        <v>29.55</v>
      </c>
      <c r="R263" s="11">
        <f t="shared" si="11"/>
        <v>0.18851674641148325</v>
      </c>
      <c r="S263" t="s">
        <v>75</v>
      </c>
      <c r="T263" t="s">
        <v>82</v>
      </c>
      <c r="U263" t="s">
        <v>61</v>
      </c>
    </row>
    <row r="264" spans="1:21" x14ac:dyDescent="0.35">
      <c r="A264" t="s">
        <v>378</v>
      </c>
      <c r="B264" s="5">
        <v>45964</v>
      </c>
      <c r="C264" t="s">
        <v>95</v>
      </c>
      <c r="D264" t="s">
        <v>64</v>
      </c>
      <c r="E264" s="9">
        <v>1</v>
      </c>
      <c r="F264" s="10">
        <v>52</v>
      </c>
      <c r="G264" s="11">
        <v>0.02</v>
      </c>
      <c r="H264" s="10">
        <v>50.96</v>
      </c>
      <c r="I264" s="9">
        <v>0</v>
      </c>
      <c r="J264" s="10">
        <v>0</v>
      </c>
      <c r="K264" s="9">
        <v>1</v>
      </c>
      <c r="L264" s="10">
        <v>50.96</v>
      </c>
      <c r="M264" s="10">
        <v>41.65</v>
      </c>
      <c r="N264" s="10">
        <v>9.31</v>
      </c>
      <c r="O264" s="11">
        <f t="shared" si="10"/>
        <v>0.18269230769230771</v>
      </c>
      <c r="P264" s="10">
        <v>5.71</v>
      </c>
      <c r="Q264" s="10">
        <v>3.6</v>
      </c>
      <c r="R264" s="11">
        <f t="shared" si="11"/>
        <v>7.0643642072213506E-2</v>
      </c>
      <c r="S264" t="s">
        <v>59</v>
      </c>
      <c r="T264" t="s">
        <v>86</v>
      </c>
      <c r="U264" t="s">
        <v>61</v>
      </c>
    </row>
    <row r="265" spans="1:21" x14ac:dyDescent="0.35">
      <c r="A265" t="s">
        <v>379</v>
      </c>
      <c r="B265" s="5">
        <v>45704</v>
      </c>
      <c r="C265" t="s">
        <v>84</v>
      </c>
      <c r="D265" t="s">
        <v>85</v>
      </c>
      <c r="E265" s="9">
        <v>1</v>
      </c>
      <c r="F265" s="10">
        <v>48</v>
      </c>
      <c r="G265" s="11">
        <v>0</v>
      </c>
      <c r="H265" s="10">
        <v>48</v>
      </c>
      <c r="I265" s="9">
        <v>0</v>
      </c>
      <c r="J265" s="10">
        <v>0</v>
      </c>
      <c r="K265" s="9">
        <v>1</v>
      </c>
      <c r="L265" s="10">
        <v>48</v>
      </c>
      <c r="M265" s="10">
        <v>38.49</v>
      </c>
      <c r="N265" s="10">
        <v>9.51</v>
      </c>
      <c r="O265" s="11">
        <f t="shared" si="10"/>
        <v>0.198125</v>
      </c>
      <c r="P265" s="10">
        <v>3.6</v>
      </c>
      <c r="Q265" s="10">
        <v>5.91</v>
      </c>
      <c r="R265" s="11">
        <f t="shared" si="11"/>
        <v>0.123125</v>
      </c>
      <c r="S265" t="s">
        <v>59</v>
      </c>
      <c r="T265" t="s">
        <v>86</v>
      </c>
      <c r="U265" t="s">
        <v>71</v>
      </c>
    </row>
    <row r="266" spans="1:21" x14ac:dyDescent="0.35">
      <c r="A266" t="s">
        <v>380</v>
      </c>
      <c r="B266" s="5">
        <v>46022</v>
      </c>
      <c r="C266" t="s">
        <v>88</v>
      </c>
      <c r="D266" t="s">
        <v>57</v>
      </c>
      <c r="E266" s="9">
        <v>3</v>
      </c>
      <c r="F266" s="10">
        <v>30</v>
      </c>
      <c r="G266" s="11">
        <v>0</v>
      </c>
      <c r="H266" s="10">
        <v>90</v>
      </c>
      <c r="I266" s="9">
        <v>0</v>
      </c>
      <c r="J266" s="10">
        <v>0</v>
      </c>
      <c r="K266" s="9">
        <v>3</v>
      </c>
      <c r="L266" s="10">
        <v>90</v>
      </c>
      <c r="M266" s="10">
        <v>67.849999999999994</v>
      </c>
      <c r="N266" s="10">
        <v>22.15</v>
      </c>
      <c r="O266" s="11">
        <f t="shared" si="10"/>
        <v>0.24611111111111109</v>
      </c>
      <c r="P266" s="10">
        <v>8.92</v>
      </c>
      <c r="Q266" s="10">
        <v>13.23</v>
      </c>
      <c r="R266" s="11">
        <f t="shared" si="11"/>
        <v>0.14699999999999999</v>
      </c>
      <c r="S266" t="s">
        <v>59</v>
      </c>
      <c r="T266" t="s">
        <v>60</v>
      </c>
      <c r="U266" t="s">
        <v>71</v>
      </c>
    </row>
    <row r="267" spans="1:21" x14ac:dyDescent="0.35">
      <c r="A267" t="s">
        <v>381</v>
      </c>
      <c r="B267" s="5">
        <v>45833</v>
      </c>
      <c r="C267" t="s">
        <v>264</v>
      </c>
      <c r="D267" t="s">
        <v>85</v>
      </c>
      <c r="E267" s="9">
        <v>10</v>
      </c>
      <c r="F267" s="10">
        <v>20</v>
      </c>
      <c r="G267" s="11">
        <v>0</v>
      </c>
      <c r="H267" s="10">
        <v>200</v>
      </c>
      <c r="I267" s="9">
        <v>0</v>
      </c>
      <c r="J267" s="10">
        <v>0</v>
      </c>
      <c r="K267" s="9">
        <v>10</v>
      </c>
      <c r="L267" s="10">
        <v>200</v>
      </c>
      <c r="M267" s="10">
        <v>133.69999999999999</v>
      </c>
      <c r="N267" s="10">
        <v>66.3</v>
      </c>
      <c r="O267" s="11">
        <f t="shared" si="10"/>
        <v>0.33149999999999996</v>
      </c>
      <c r="P267" s="10">
        <v>24.3</v>
      </c>
      <c r="Q267" s="10">
        <v>42</v>
      </c>
      <c r="R267" s="11">
        <f t="shared" si="11"/>
        <v>0.21</v>
      </c>
      <c r="S267" t="s">
        <v>59</v>
      </c>
      <c r="T267" t="s">
        <v>66</v>
      </c>
      <c r="U267" t="s">
        <v>61</v>
      </c>
    </row>
    <row r="268" spans="1:21" x14ac:dyDescent="0.35">
      <c r="A268" t="s">
        <v>382</v>
      </c>
      <c r="B268" s="5">
        <v>45786</v>
      </c>
      <c r="C268" t="s">
        <v>109</v>
      </c>
      <c r="D268" t="s">
        <v>85</v>
      </c>
      <c r="E268" s="9">
        <v>8</v>
      </c>
      <c r="F268" s="10">
        <v>180</v>
      </c>
      <c r="G268" s="11">
        <v>0.1</v>
      </c>
      <c r="H268" s="10">
        <v>1296</v>
      </c>
      <c r="I268" s="9">
        <v>0</v>
      </c>
      <c r="J268" s="10">
        <v>0</v>
      </c>
      <c r="K268" s="9">
        <v>8</v>
      </c>
      <c r="L268" s="10">
        <v>1296</v>
      </c>
      <c r="M268" s="10">
        <v>840.11</v>
      </c>
      <c r="N268" s="10">
        <v>455.89</v>
      </c>
      <c r="O268" s="11">
        <f t="shared" si="10"/>
        <v>0.35176697530864198</v>
      </c>
      <c r="P268" s="10">
        <v>97.94</v>
      </c>
      <c r="Q268" s="10">
        <v>357.95</v>
      </c>
      <c r="R268" s="11">
        <f t="shared" si="11"/>
        <v>0.27619598765432096</v>
      </c>
      <c r="S268" t="s">
        <v>59</v>
      </c>
      <c r="T268" t="s">
        <v>66</v>
      </c>
      <c r="U268" t="s">
        <v>76</v>
      </c>
    </row>
    <row r="269" spans="1:21" x14ac:dyDescent="0.35">
      <c r="A269" t="s">
        <v>383</v>
      </c>
      <c r="B269" s="5">
        <v>45982</v>
      </c>
      <c r="C269" t="s">
        <v>90</v>
      </c>
      <c r="D269" t="s">
        <v>70</v>
      </c>
      <c r="E269" s="9">
        <v>2</v>
      </c>
      <c r="F269" s="10">
        <v>38</v>
      </c>
      <c r="G269" s="11">
        <v>0.15</v>
      </c>
      <c r="H269" s="10">
        <v>64.599999999999994</v>
      </c>
      <c r="I269" s="9">
        <v>0</v>
      </c>
      <c r="J269" s="10">
        <v>0</v>
      </c>
      <c r="K269" s="9">
        <v>2</v>
      </c>
      <c r="L269" s="10">
        <v>64.599999999999994</v>
      </c>
      <c r="M269" s="10">
        <v>55.24</v>
      </c>
      <c r="N269" s="10">
        <v>9.36</v>
      </c>
      <c r="O269" s="11">
        <f t="shared" si="10"/>
        <v>0.14489164086687306</v>
      </c>
      <c r="P269" s="10">
        <v>3.9</v>
      </c>
      <c r="Q269" s="10">
        <v>5.46</v>
      </c>
      <c r="R269" s="11">
        <f t="shared" si="11"/>
        <v>8.4520123839009295E-2</v>
      </c>
      <c r="S269" t="s">
        <v>75</v>
      </c>
      <c r="T269" t="s">
        <v>60</v>
      </c>
      <c r="U269" t="s">
        <v>67</v>
      </c>
    </row>
    <row r="270" spans="1:21" x14ac:dyDescent="0.35">
      <c r="A270" t="s">
        <v>384</v>
      </c>
      <c r="B270" s="5">
        <v>45922</v>
      </c>
      <c r="C270" t="s">
        <v>63</v>
      </c>
      <c r="D270" t="s">
        <v>64</v>
      </c>
      <c r="E270" s="9">
        <v>4</v>
      </c>
      <c r="F270" s="10">
        <v>145</v>
      </c>
      <c r="G270" s="11">
        <v>0.1</v>
      </c>
      <c r="H270" s="10">
        <v>522</v>
      </c>
      <c r="I270" s="9">
        <v>0</v>
      </c>
      <c r="J270" s="10">
        <v>0</v>
      </c>
      <c r="K270" s="9">
        <v>4</v>
      </c>
      <c r="L270" s="10">
        <v>522</v>
      </c>
      <c r="M270" s="10">
        <v>333.59</v>
      </c>
      <c r="N270" s="10">
        <v>188.41</v>
      </c>
      <c r="O270" s="11">
        <f t="shared" si="10"/>
        <v>0.36093869731800765</v>
      </c>
      <c r="P270" s="10">
        <v>33.93</v>
      </c>
      <c r="Q270" s="10">
        <v>154.47999999999999</v>
      </c>
      <c r="R270" s="11">
        <f t="shared" si="11"/>
        <v>0.29593869731800765</v>
      </c>
      <c r="S270" t="s">
        <v>65</v>
      </c>
      <c r="T270" t="s">
        <v>82</v>
      </c>
      <c r="U270" t="s">
        <v>71</v>
      </c>
    </row>
    <row r="271" spans="1:21" x14ac:dyDescent="0.35">
      <c r="A271" t="s">
        <v>385</v>
      </c>
      <c r="B271" s="5">
        <v>45870</v>
      </c>
      <c r="C271" t="s">
        <v>109</v>
      </c>
      <c r="D271" t="s">
        <v>85</v>
      </c>
      <c r="E271" s="9">
        <v>4</v>
      </c>
      <c r="F271" s="10">
        <v>180</v>
      </c>
      <c r="G271" s="11">
        <v>0</v>
      </c>
      <c r="H271" s="10">
        <v>720</v>
      </c>
      <c r="I271" s="9">
        <v>0</v>
      </c>
      <c r="J271" s="10">
        <v>0</v>
      </c>
      <c r="K271" s="9">
        <v>4</v>
      </c>
      <c r="L271" s="10">
        <v>720</v>
      </c>
      <c r="M271" s="10">
        <v>527.82000000000005</v>
      </c>
      <c r="N271" s="10">
        <v>192.18</v>
      </c>
      <c r="O271" s="11">
        <f t="shared" ref="O271:O293" si="12">N271/L271</f>
        <v>0.26691666666666669</v>
      </c>
      <c r="P271" s="10">
        <v>62.45</v>
      </c>
      <c r="Q271" s="10">
        <v>129.72999999999999</v>
      </c>
      <c r="R271" s="11">
        <f t="shared" ref="R271:R293" si="13">Q271/L271</f>
        <v>0.18018055555555554</v>
      </c>
      <c r="S271" t="s">
        <v>65</v>
      </c>
      <c r="T271" t="s">
        <v>82</v>
      </c>
      <c r="U271" t="s">
        <v>71</v>
      </c>
    </row>
    <row r="272" spans="1:21" x14ac:dyDescent="0.35">
      <c r="A272" t="s">
        <v>386</v>
      </c>
      <c r="B272" s="5">
        <v>45820</v>
      </c>
      <c r="C272" t="s">
        <v>95</v>
      </c>
      <c r="D272" t="s">
        <v>64</v>
      </c>
      <c r="E272" s="9">
        <v>6</v>
      </c>
      <c r="F272" s="10">
        <v>52</v>
      </c>
      <c r="G272" s="11">
        <v>0</v>
      </c>
      <c r="H272" s="10">
        <v>312</v>
      </c>
      <c r="I272" s="9">
        <v>0</v>
      </c>
      <c r="J272" s="10">
        <v>0</v>
      </c>
      <c r="K272" s="9">
        <v>6</v>
      </c>
      <c r="L272" s="10">
        <v>312</v>
      </c>
      <c r="M272" s="10">
        <v>211.74</v>
      </c>
      <c r="N272" s="10">
        <v>100.26</v>
      </c>
      <c r="O272" s="11">
        <f t="shared" si="12"/>
        <v>0.32134615384615384</v>
      </c>
      <c r="P272" s="10">
        <v>17.78</v>
      </c>
      <c r="Q272" s="10">
        <v>82.48</v>
      </c>
      <c r="R272" s="11">
        <f t="shared" si="13"/>
        <v>0.26435897435897437</v>
      </c>
      <c r="S272" t="s">
        <v>65</v>
      </c>
      <c r="T272" t="s">
        <v>82</v>
      </c>
      <c r="U272" t="s">
        <v>67</v>
      </c>
    </row>
    <row r="273" spans="1:21" x14ac:dyDescent="0.35">
      <c r="A273" t="s">
        <v>387</v>
      </c>
      <c r="B273" s="5">
        <v>45982</v>
      </c>
      <c r="C273" t="s">
        <v>92</v>
      </c>
      <c r="D273" t="s">
        <v>79</v>
      </c>
      <c r="E273" s="9">
        <v>3</v>
      </c>
      <c r="F273" s="10">
        <v>85</v>
      </c>
      <c r="G273" s="11">
        <v>0.05</v>
      </c>
      <c r="H273" s="10">
        <v>242.25</v>
      </c>
      <c r="I273" s="9">
        <v>0</v>
      </c>
      <c r="J273" s="10">
        <v>0</v>
      </c>
      <c r="K273" s="9">
        <v>3</v>
      </c>
      <c r="L273" s="10">
        <v>242.25</v>
      </c>
      <c r="M273" s="10">
        <v>188.05</v>
      </c>
      <c r="N273" s="10">
        <v>54.2</v>
      </c>
      <c r="O273" s="11">
        <f t="shared" si="12"/>
        <v>0.22373581011351909</v>
      </c>
      <c r="P273" s="10">
        <v>18.940000000000001</v>
      </c>
      <c r="Q273" s="10">
        <v>35.26</v>
      </c>
      <c r="R273" s="11">
        <f t="shared" si="13"/>
        <v>0.14555211558307532</v>
      </c>
      <c r="S273" t="s">
        <v>65</v>
      </c>
      <c r="T273" t="s">
        <v>60</v>
      </c>
      <c r="U273" t="s">
        <v>71</v>
      </c>
    </row>
    <row r="274" spans="1:21" x14ac:dyDescent="0.35">
      <c r="A274" t="s">
        <v>388</v>
      </c>
      <c r="B274" s="5">
        <v>45905</v>
      </c>
      <c r="C274" t="s">
        <v>73</v>
      </c>
      <c r="D274" t="s">
        <v>74</v>
      </c>
      <c r="E274" s="9">
        <v>2</v>
      </c>
      <c r="F274" s="10">
        <v>280</v>
      </c>
      <c r="G274" s="11">
        <v>0</v>
      </c>
      <c r="H274" s="10">
        <v>560</v>
      </c>
      <c r="I274" s="9">
        <v>0</v>
      </c>
      <c r="J274" s="10">
        <v>0</v>
      </c>
      <c r="K274" s="9">
        <v>2</v>
      </c>
      <c r="L274" s="10">
        <v>560</v>
      </c>
      <c r="M274" s="10">
        <v>446.56</v>
      </c>
      <c r="N274" s="10">
        <v>113.44</v>
      </c>
      <c r="O274" s="11">
        <f t="shared" si="12"/>
        <v>0.20257142857142857</v>
      </c>
      <c r="P274" s="10">
        <v>42.11</v>
      </c>
      <c r="Q274" s="10">
        <v>71.33</v>
      </c>
      <c r="R274" s="11">
        <f t="shared" si="13"/>
        <v>0.12737499999999999</v>
      </c>
      <c r="S274" t="s">
        <v>65</v>
      </c>
      <c r="T274" t="s">
        <v>60</v>
      </c>
      <c r="U274" t="s">
        <v>76</v>
      </c>
    </row>
    <row r="275" spans="1:21" x14ac:dyDescent="0.35">
      <c r="A275" t="s">
        <v>389</v>
      </c>
      <c r="B275" s="5">
        <v>45661</v>
      </c>
      <c r="C275" t="s">
        <v>109</v>
      </c>
      <c r="D275" t="s">
        <v>85</v>
      </c>
      <c r="E275" s="9">
        <v>6</v>
      </c>
      <c r="F275" s="10">
        <v>180</v>
      </c>
      <c r="G275" s="11">
        <v>0</v>
      </c>
      <c r="H275" s="10">
        <v>1080</v>
      </c>
      <c r="I275" s="9">
        <v>0</v>
      </c>
      <c r="J275" s="10">
        <v>0</v>
      </c>
      <c r="K275" s="9">
        <v>6</v>
      </c>
      <c r="L275" s="10">
        <v>1080</v>
      </c>
      <c r="M275" s="10">
        <v>886.56</v>
      </c>
      <c r="N275" s="10">
        <v>193.44</v>
      </c>
      <c r="O275" s="11">
        <f t="shared" si="12"/>
        <v>0.17911111111111111</v>
      </c>
      <c r="P275" s="10">
        <v>109.54</v>
      </c>
      <c r="Q275" s="10">
        <v>83.9</v>
      </c>
      <c r="R275" s="11">
        <f t="shared" si="13"/>
        <v>7.768518518518519E-2</v>
      </c>
      <c r="S275" t="s">
        <v>81</v>
      </c>
      <c r="T275" t="s">
        <v>66</v>
      </c>
      <c r="U275" t="s">
        <v>76</v>
      </c>
    </row>
    <row r="276" spans="1:21" x14ac:dyDescent="0.35">
      <c r="A276" t="s">
        <v>390</v>
      </c>
      <c r="B276" s="5">
        <v>45696</v>
      </c>
      <c r="C276" t="s">
        <v>109</v>
      </c>
      <c r="D276" t="s">
        <v>85</v>
      </c>
      <c r="E276" s="9">
        <v>2</v>
      </c>
      <c r="F276" s="10">
        <v>180</v>
      </c>
      <c r="G276" s="11">
        <v>0</v>
      </c>
      <c r="H276" s="10">
        <v>360</v>
      </c>
      <c r="I276" s="9">
        <v>0</v>
      </c>
      <c r="J276" s="10">
        <v>0</v>
      </c>
      <c r="K276" s="9">
        <v>2</v>
      </c>
      <c r="L276" s="10">
        <v>360</v>
      </c>
      <c r="M276" s="10">
        <v>289.14</v>
      </c>
      <c r="N276" s="10">
        <v>70.86</v>
      </c>
      <c r="O276" s="11">
        <f t="shared" si="12"/>
        <v>0.19683333333333333</v>
      </c>
      <c r="P276" s="10">
        <v>39.869999999999997</v>
      </c>
      <c r="Q276" s="10">
        <v>30.99</v>
      </c>
      <c r="R276" s="11">
        <f t="shared" si="13"/>
        <v>8.6083333333333331E-2</v>
      </c>
      <c r="S276" t="s">
        <v>75</v>
      </c>
      <c r="T276" t="s">
        <v>60</v>
      </c>
      <c r="U276" t="s">
        <v>61</v>
      </c>
    </row>
    <row r="277" spans="1:21" x14ac:dyDescent="0.35">
      <c r="A277" t="s">
        <v>391</v>
      </c>
      <c r="B277" s="5">
        <v>45703</v>
      </c>
      <c r="C277" t="s">
        <v>90</v>
      </c>
      <c r="D277" t="s">
        <v>70</v>
      </c>
      <c r="E277" s="9">
        <v>6</v>
      </c>
      <c r="F277" s="10">
        <v>38</v>
      </c>
      <c r="G277" s="11">
        <v>0.02</v>
      </c>
      <c r="H277" s="10">
        <v>223.44</v>
      </c>
      <c r="I277" s="9">
        <v>1</v>
      </c>
      <c r="J277" s="10">
        <v>37.24</v>
      </c>
      <c r="K277" s="9">
        <v>5</v>
      </c>
      <c r="L277" s="10">
        <v>186.2</v>
      </c>
      <c r="M277" s="10">
        <v>154.51</v>
      </c>
      <c r="N277" s="10">
        <v>31.69</v>
      </c>
      <c r="O277" s="11">
        <f t="shared" si="12"/>
        <v>0.1701933404940924</v>
      </c>
      <c r="P277" s="10">
        <v>10.96</v>
      </c>
      <c r="Q277" s="10">
        <v>20.73</v>
      </c>
      <c r="R277" s="11">
        <f t="shared" si="13"/>
        <v>0.11133190118152525</v>
      </c>
      <c r="S277" t="s">
        <v>81</v>
      </c>
      <c r="T277" t="s">
        <v>82</v>
      </c>
      <c r="U277" t="s">
        <v>2133</v>
      </c>
    </row>
    <row r="278" spans="1:21" x14ac:dyDescent="0.35">
      <c r="A278" t="s">
        <v>392</v>
      </c>
      <c r="B278" s="5">
        <v>46001</v>
      </c>
      <c r="C278" t="s">
        <v>88</v>
      </c>
      <c r="D278" t="s">
        <v>57</v>
      </c>
      <c r="E278" s="9">
        <v>1</v>
      </c>
      <c r="F278" s="10">
        <v>30</v>
      </c>
      <c r="G278" s="11">
        <v>0</v>
      </c>
      <c r="H278" s="10">
        <v>30</v>
      </c>
      <c r="I278" s="9">
        <v>0</v>
      </c>
      <c r="J278" s="10">
        <v>0</v>
      </c>
      <c r="K278" s="9">
        <v>1</v>
      </c>
      <c r="L278" s="10">
        <v>30</v>
      </c>
      <c r="M278" s="10">
        <v>24.38</v>
      </c>
      <c r="N278" s="10">
        <v>5.62</v>
      </c>
      <c r="O278" s="11">
        <f t="shared" si="12"/>
        <v>0.18733333333333332</v>
      </c>
      <c r="P278" s="10">
        <v>1.54</v>
      </c>
      <c r="Q278" s="10">
        <v>4.08</v>
      </c>
      <c r="R278" s="11">
        <f t="shared" si="13"/>
        <v>0.13600000000000001</v>
      </c>
      <c r="S278" t="s">
        <v>81</v>
      </c>
      <c r="T278" t="s">
        <v>82</v>
      </c>
      <c r="U278" t="s">
        <v>71</v>
      </c>
    </row>
    <row r="279" spans="1:21" x14ac:dyDescent="0.35">
      <c r="A279" t="s">
        <v>393</v>
      </c>
      <c r="B279" s="5">
        <v>45830</v>
      </c>
      <c r="C279" t="s">
        <v>117</v>
      </c>
      <c r="D279" t="s">
        <v>74</v>
      </c>
      <c r="E279" s="9">
        <v>4</v>
      </c>
      <c r="F279" s="10">
        <v>95</v>
      </c>
      <c r="G279" s="11">
        <v>0.15</v>
      </c>
      <c r="H279" s="10">
        <v>323</v>
      </c>
      <c r="I279" s="9">
        <v>0</v>
      </c>
      <c r="J279" s="10">
        <v>0</v>
      </c>
      <c r="K279" s="9">
        <v>4</v>
      </c>
      <c r="L279" s="10">
        <v>323</v>
      </c>
      <c r="M279" s="10">
        <v>264.29000000000002</v>
      </c>
      <c r="N279" s="10">
        <v>58.71</v>
      </c>
      <c r="O279" s="11">
        <f t="shared" si="12"/>
        <v>0.18176470588235294</v>
      </c>
      <c r="P279" s="10">
        <v>37.840000000000003</v>
      </c>
      <c r="Q279" s="10">
        <v>20.87</v>
      </c>
      <c r="R279" s="11">
        <f t="shared" si="13"/>
        <v>6.461300309597523E-2</v>
      </c>
      <c r="S279" t="s">
        <v>59</v>
      </c>
      <c r="T279" t="s">
        <v>82</v>
      </c>
      <c r="U279" t="s">
        <v>76</v>
      </c>
    </row>
    <row r="280" spans="1:21" x14ac:dyDescent="0.35">
      <c r="A280" t="s">
        <v>394</v>
      </c>
      <c r="B280" s="5">
        <v>45974</v>
      </c>
      <c r="C280" t="s">
        <v>97</v>
      </c>
      <c r="D280" t="s">
        <v>57</v>
      </c>
      <c r="E280" s="9">
        <v>2</v>
      </c>
      <c r="F280" s="10">
        <v>55</v>
      </c>
      <c r="G280" s="11">
        <v>0.05</v>
      </c>
      <c r="H280" s="10">
        <v>104.5</v>
      </c>
      <c r="I280" s="9">
        <v>0</v>
      </c>
      <c r="J280" s="10">
        <v>0</v>
      </c>
      <c r="K280" s="9">
        <v>2</v>
      </c>
      <c r="L280" s="10">
        <v>104.5</v>
      </c>
      <c r="M280" s="10">
        <v>71.849999999999994</v>
      </c>
      <c r="N280" s="10">
        <v>32.65</v>
      </c>
      <c r="O280" s="11">
        <f t="shared" si="12"/>
        <v>0.3124401913875598</v>
      </c>
      <c r="P280" s="10">
        <v>6.17</v>
      </c>
      <c r="Q280" s="10">
        <v>26.48</v>
      </c>
      <c r="R280" s="11">
        <f t="shared" si="13"/>
        <v>0.2533971291866029</v>
      </c>
      <c r="S280" t="s">
        <v>65</v>
      </c>
      <c r="T280" t="s">
        <v>86</v>
      </c>
      <c r="U280" t="s">
        <v>67</v>
      </c>
    </row>
    <row r="281" spans="1:21" x14ac:dyDescent="0.35">
      <c r="A281" t="s">
        <v>395</v>
      </c>
      <c r="B281" s="5">
        <v>45991</v>
      </c>
      <c r="C281" t="s">
        <v>97</v>
      </c>
      <c r="D281" t="s">
        <v>57</v>
      </c>
      <c r="E281" s="9">
        <v>1</v>
      </c>
      <c r="F281" s="10">
        <v>55</v>
      </c>
      <c r="G281" s="11">
        <v>0</v>
      </c>
      <c r="H281" s="10">
        <v>55</v>
      </c>
      <c r="I281" s="9">
        <v>0</v>
      </c>
      <c r="J281" s="10">
        <v>0</v>
      </c>
      <c r="K281" s="9">
        <v>1</v>
      </c>
      <c r="L281" s="10">
        <v>55</v>
      </c>
      <c r="M281" s="10">
        <v>38.08</v>
      </c>
      <c r="N281" s="10">
        <v>16.920000000000002</v>
      </c>
      <c r="O281" s="11">
        <f t="shared" si="12"/>
        <v>0.30763636363636365</v>
      </c>
      <c r="P281" s="10">
        <v>4.0599999999999996</v>
      </c>
      <c r="Q281" s="10">
        <v>12.86</v>
      </c>
      <c r="R281" s="11">
        <f t="shared" si="13"/>
        <v>0.23381818181818181</v>
      </c>
      <c r="S281" t="s">
        <v>81</v>
      </c>
      <c r="T281" t="s">
        <v>66</v>
      </c>
      <c r="U281" t="s">
        <v>61</v>
      </c>
    </row>
    <row r="282" spans="1:21" x14ac:dyDescent="0.35">
      <c r="A282" t="s">
        <v>396</v>
      </c>
      <c r="B282" s="5">
        <v>45912</v>
      </c>
      <c r="C282" t="s">
        <v>63</v>
      </c>
      <c r="D282" t="s">
        <v>64</v>
      </c>
      <c r="E282" s="9">
        <v>6</v>
      </c>
      <c r="F282" s="10">
        <v>145</v>
      </c>
      <c r="G282" s="11">
        <v>0.1</v>
      </c>
      <c r="H282" s="10">
        <v>783</v>
      </c>
      <c r="I282" s="9">
        <v>0</v>
      </c>
      <c r="J282" s="10">
        <v>0</v>
      </c>
      <c r="K282" s="9">
        <v>6</v>
      </c>
      <c r="L282" s="10">
        <v>783</v>
      </c>
      <c r="M282" s="10">
        <v>547.54999999999995</v>
      </c>
      <c r="N282" s="10">
        <v>235.45</v>
      </c>
      <c r="O282" s="11">
        <f t="shared" si="12"/>
        <v>0.30070242656449553</v>
      </c>
      <c r="P282" s="10">
        <v>101.1</v>
      </c>
      <c r="Q282" s="10">
        <v>134.35</v>
      </c>
      <c r="R282" s="11">
        <f t="shared" si="13"/>
        <v>0.17158365261813538</v>
      </c>
      <c r="S282" t="s">
        <v>59</v>
      </c>
      <c r="T282" t="s">
        <v>86</v>
      </c>
      <c r="U282" t="s">
        <v>67</v>
      </c>
    </row>
    <row r="283" spans="1:21" x14ac:dyDescent="0.35">
      <c r="A283" t="s">
        <v>397</v>
      </c>
      <c r="B283" s="5">
        <v>45806</v>
      </c>
      <c r="C283" t="s">
        <v>107</v>
      </c>
      <c r="D283" t="s">
        <v>74</v>
      </c>
      <c r="E283" s="9">
        <v>2</v>
      </c>
      <c r="F283" s="10">
        <v>125</v>
      </c>
      <c r="G283" s="11">
        <v>0</v>
      </c>
      <c r="H283" s="10">
        <v>250</v>
      </c>
      <c r="I283" s="9">
        <v>0</v>
      </c>
      <c r="J283" s="10">
        <v>0</v>
      </c>
      <c r="K283" s="9">
        <v>2</v>
      </c>
      <c r="L283" s="10">
        <v>250</v>
      </c>
      <c r="M283" s="10">
        <v>171.07</v>
      </c>
      <c r="N283" s="10">
        <v>78.930000000000007</v>
      </c>
      <c r="O283" s="11">
        <f t="shared" si="12"/>
        <v>0.31572</v>
      </c>
      <c r="P283" s="10">
        <v>23.97</v>
      </c>
      <c r="Q283" s="10">
        <v>54.96</v>
      </c>
      <c r="R283" s="11">
        <f t="shared" si="13"/>
        <v>0.21984000000000001</v>
      </c>
      <c r="S283" t="s">
        <v>75</v>
      </c>
      <c r="T283" t="s">
        <v>86</v>
      </c>
      <c r="U283" t="s">
        <v>61</v>
      </c>
    </row>
    <row r="284" spans="1:21" x14ac:dyDescent="0.35">
      <c r="A284" t="s">
        <v>398</v>
      </c>
      <c r="B284" s="5">
        <v>45873</v>
      </c>
      <c r="C284" t="s">
        <v>125</v>
      </c>
      <c r="D284" t="s">
        <v>85</v>
      </c>
      <c r="E284" s="9">
        <v>3</v>
      </c>
      <c r="F284" s="10">
        <v>125</v>
      </c>
      <c r="G284" s="11">
        <v>0</v>
      </c>
      <c r="H284" s="10">
        <v>375</v>
      </c>
      <c r="I284" s="9">
        <v>0</v>
      </c>
      <c r="J284" s="10">
        <v>0</v>
      </c>
      <c r="K284" s="9">
        <v>3</v>
      </c>
      <c r="L284" s="10">
        <v>375</v>
      </c>
      <c r="M284" s="10">
        <v>240.95</v>
      </c>
      <c r="N284" s="10">
        <v>134.05000000000001</v>
      </c>
      <c r="O284" s="11">
        <f t="shared" si="12"/>
        <v>0.35746666666666671</v>
      </c>
      <c r="P284" s="10">
        <v>38.83</v>
      </c>
      <c r="Q284" s="10">
        <v>95.22</v>
      </c>
      <c r="R284" s="11">
        <f t="shared" si="13"/>
        <v>0.25391999999999998</v>
      </c>
      <c r="S284" t="s">
        <v>65</v>
      </c>
      <c r="T284" t="s">
        <v>66</v>
      </c>
      <c r="U284" t="s">
        <v>61</v>
      </c>
    </row>
    <row r="285" spans="1:21" x14ac:dyDescent="0.35">
      <c r="A285" t="s">
        <v>399</v>
      </c>
      <c r="B285" s="5">
        <v>45804</v>
      </c>
      <c r="C285" t="s">
        <v>90</v>
      </c>
      <c r="D285" t="s">
        <v>70</v>
      </c>
      <c r="E285" s="9">
        <v>4</v>
      </c>
      <c r="F285" s="10">
        <v>38</v>
      </c>
      <c r="G285" s="11">
        <v>0</v>
      </c>
      <c r="H285" s="10">
        <v>152</v>
      </c>
      <c r="I285" s="9">
        <v>0</v>
      </c>
      <c r="J285" s="10">
        <v>0</v>
      </c>
      <c r="K285" s="9">
        <v>4</v>
      </c>
      <c r="L285" s="10">
        <v>152</v>
      </c>
      <c r="M285" s="10">
        <v>127.46</v>
      </c>
      <c r="N285" s="10">
        <v>24.54</v>
      </c>
      <c r="O285" s="11">
        <f t="shared" si="12"/>
        <v>0.16144736842105262</v>
      </c>
      <c r="P285" s="10">
        <v>9.27</v>
      </c>
      <c r="Q285" s="10">
        <v>15.27</v>
      </c>
      <c r="R285" s="11">
        <f t="shared" si="13"/>
        <v>0.10046052631578947</v>
      </c>
      <c r="S285" t="s">
        <v>81</v>
      </c>
      <c r="T285" t="s">
        <v>86</v>
      </c>
      <c r="U285" t="s">
        <v>67</v>
      </c>
    </row>
    <row r="286" spans="1:21" x14ac:dyDescent="0.35">
      <c r="A286" t="s">
        <v>400</v>
      </c>
      <c r="B286" s="5">
        <v>46005</v>
      </c>
      <c r="C286" t="s">
        <v>88</v>
      </c>
      <c r="D286" t="s">
        <v>57</v>
      </c>
      <c r="E286" s="9">
        <v>8</v>
      </c>
      <c r="F286" s="10">
        <v>30</v>
      </c>
      <c r="G286" s="11">
        <v>0</v>
      </c>
      <c r="H286" s="10">
        <v>240</v>
      </c>
      <c r="I286" s="9">
        <v>0</v>
      </c>
      <c r="J286" s="10">
        <v>0</v>
      </c>
      <c r="K286" s="9">
        <v>8</v>
      </c>
      <c r="L286" s="10">
        <v>240</v>
      </c>
      <c r="M286" s="10">
        <v>194.24</v>
      </c>
      <c r="N286" s="10">
        <v>45.76</v>
      </c>
      <c r="O286" s="11">
        <f t="shared" si="12"/>
        <v>0.19066666666666665</v>
      </c>
      <c r="P286" s="10">
        <v>24.99</v>
      </c>
      <c r="Q286" s="10">
        <v>20.77</v>
      </c>
      <c r="R286" s="11">
        <f t="shared" si="13"/>
        <v>8.654166666666667E-2</v>
      </c>
      <c r="S286" t="s">
        <v>65</v>
      </c>
      <c r="T286" t="s">
        <v>86</v>
      </c>
      <c r="U286" t="s">
        <v>71</v>
      </c>
    </row>
    <row r="287" spans="1:21" x14ac:dyDescent="0.35">
      <c r="A287" t="s">
        <v>401</v>
      </c>
      <c r="B287" s="5">
        <v>45914</v>
      </c>
      <c r="C287" t="s">
        <v>69</v>
      </c>
      <c r="D287" t="s">
        <v>70</v>
      </c>
      <c r="E287" s="9">
        <v>3</v>
      </c>
      <c r="F287" s="10">
        <v>210</v>
      </c>
      <c r="G287" s="11">
        <v>0.02</v>
      </c>
      <c r="H287" s="10">
        <v>617.4</v>
      </c>
      <c r="I287" s="9">
        <v>0</v>
      </c>
      <c r="J287" s="10">
        <v>0</v>
      </c>
      <c r="K287" s="9">
        <v>3</v>
      </c>
      <c r="L287" s="10">
        <v>617.4</v>
      </c>
      <c r="M287" s="10">
        <v>523.63</v>
      </c>
      <c r="N287" s="10">
        <v>93.77</v>
      </c>
      <c r="O287" s="11">
        <f t="shared" si="12"/>
        <v>0.15187884677680596</v>
      </c>
      <c r="P287" s="10">
        <v>67.599999999999994</v>
      </c>
      <c r="Q287" s="10">
        <v>26.17</v>
      </c>
      <c r="R287" s="11">
        <f t="shared" si="13"/>
        <v>4.2387431162941372E-2</v>
      </c>
      <c r="S287" t="s">
        <v>65</v>
      </c>
      <c r="T287" t="s">
        <v>60</v>
      </c>
      <c r="U287" t="s">
        <v>71</v>
      </c>
    </row>
    <row r="288" spans="1:21" x14ac:dyDescent="0.35">
      <c r="A288" t="s">
        <v>402</v>
      </c>
      <c r="B288" s="5">
        <v>46019</v>
      </c>
      <c r="C288" t="s">
        <v>109</v>
      </c>
      <c r="D288" t="s">
        <v>85</v>
      </c>
      <c r="E288" s="9">
        <v>6</v>
      </c>
      <c r="F288" s="10">
        <v>180</v>
      </c>
      <c r="G288" s="11">
        <v>0</v>
      </c>
      <c r="H288" s="10">
        <v>1080</v>
      </c>
      <c r="I288" s="9">
        <v>0</v>
      </c>
      <c r="J288" s="10">
        <v>0</v>
      </c>
      <c r="K288" s="9">
        <v>6</v>
      </c>
      <c r="L288" s="10">
        <v>1080</v>
      </c>
      <c r="M288" s="10">
        <v>679.91</v>
      </c>
      <c r="N288" s="10">
        <v>400.09</v>
      </c>
      <c r="O288" s="11">
        <f t="shared" si="12"/>
        <v>0.37045370370370367</v>
      </c>
      <c r="P288" s="10">
        <v>132.4</v>
      </c>
      <c r="Q288" s="10">
        <v>267.69</v>
      </c>
      <c r="R288" s="11">
        <f t="shared" si="13"/>
        <v>0.24786111111111112</v>
      </c>
      <c r="S288" t="s">
        <v>75</v>
      </c>
      <c r="T288" t="s">
        <v>66</v>
      </c>
      <c r="U288" t="s">
        <v>67</v>
      </c>
    </row>
    <row r="289" spans="1:21" x14ac:dyDescent="0.35">
      <c r="A289" t="s">
        <v>403</v>
      </c>
      <c r="B289" s="5">
        <v>45798</v>
      </c>
      <c r="C289" t="s">
        <v>90</v>
      </c>
      <c r="D289" t="s">
        <v>70</v>
      </c>
      <c r="E289" s="9">
        <v>3</v>
      </c>
      <c r="F289" s="10">
        <v>38</v>
      </c>
      <c r="G289" s="11">
        <v>0</v>
      </c>
      <c r="H289" s="10">
        <v>114</v>
      </c>
      <c r="I289" s="9">
        <v>0</v>
      </c>
      <c r="J289" s="10">
        <v>0</v>
      </c>
      <c r="K289" s="9">
        <v>3</v>
      </c>
      <c r="L289" s="10">
        <v>114</v>
      </c>
      <c r="M289" s="10">
        <v>87.39</v>
      </c>
      <c r="N289" s="10">
        <v>26.61</v>
      </c>
      <c r="O289" s="11">
        <f t="shared" si="12"/>
        <v>0.23342105263157895</v>
      </c>
      <c r="P289" s="10">
        <v>7.59</v>
      </c>
      <c r="Q289" s="10">
        <v>19.02</v>
      </c>
      <c r="R289" s="11">
        <f t="shared" si="13"/>
        <v>0.1668421052631579</v>
      </c>
      <c r="S289" t="s">
        <v>75</v>
      </c>
      <c r="T289" t="s">
        <v>82</v>
      </c>
      <c r="U289" t="s">
        <v>67</v>
      </c>
    </row>
    <row r="290" spans="1:21" x14ac:dyDescent="0.35">
      <c r="A290" t="s">
        <v>404</v>
      </c>
      <c r="B290" s="5">
        <v>45902</v>
      </c>
      <c r="C290" t="s">
        <v>121</v>
      </c>
      <c r="D290" t="s">
        <v>70</v>
      </c>
      <c r="E290" s="9">
        <v>1</v>
      </c>
      <c r="F290" s="10">
        <v>110</v>
      </c>
      <c r="G290" s="11">
        <v>0.05</v>
      </c>
      <c r="H290" s="10">
        <v>104.5</v>
      </c>
      <c r="I290" s="9">
        <v>0</v>
      </c>
      <c r="J290" s="10">
        <v>0</v>
      </c>
      <c r="K290" s="9">
        <v>1</v>
      </c>
      <c r="L290" s="10">
        <v>104.5</v>
      </c>
      <c r="M290" s="10">
        <v>85.96</v>
      </c>
      <c r="N290" s="10">
        <v>18.54</v>
      </c>
      <c r="O290" s="11">
        <f t="shared" si="12"/>
        <v>0.17741626794258372</v>
      </c>
      <c r="P290" s="10">
        <v>9.09</v>
      </c>
      <c r="Q290" s="10">
        <v>9.4499999999999993</v>
      </c>
      <c r="R290" s="11">
        <f t="shared" si="13"/>
        <v>9.0430622009569375E-2</v>
      </c>
      <c r="S290" t="s">
        <v>75</v>
      </c>
      <c r="T290" t="s">
        <v>86</v>
      </c>
      <c r="U290" t="s">
        <v>71</v>
      </c>
    </row>
    <row r="291" spans="1:21" x14ac:dyDescent="0.35">
      <c r="A291" t="s">
        <v>405</v>
      </c>
      <c r="B291" s="5">
        <v>46001</v>
      </c>
      <c r="C291" t="s">
        <v>84</v>
      </c>
      <c r="D291" t="s">
        <v>85</v>
      </c>
      <c r="E291" s="9">
        <v>2</v>
      </c>
      <c r="F291" s="10">
        <v>48</v>
      </c>
      <c r="G291" s="11">
        <v>0.1</v>
      </c>
      <c r="H291" s="10">
        <v>86.4</v>
      </c>
      <c r="I291" s="9">
        <v>0</v>
      </c>
      <c r="J291" s="10">
        <v>0</v>
      </c>
      <c r="K291" s="9">
        <v>2</v>
      </c>
      <c r="L291" s="10">
        <v>86.4</v>
      </c>
      <c r="M291" s="10">
        <v>61.8</v>
      </c>
      <c r="N291" s="10">
        <v>24.6</v>
      </c>
      <c r="O291" s="11">
        <f t="shared" si="12"/>
        <v>0.28472222222222221</v>
      </c>
      <c r="P291" s="10">
        <v>8.59</v>
      </c>
      <c r="Q291" s="10">
        <v>16.010000000000002</v>
      </c>
      <c r="R291" s="11">
        <f t="shared" si="13"/>
        <v>0.18530092592592592</v>
      </c>
      <c r="S291" t="s">
        <v>75</v>
      </c>
      <c r="T291" t="s">
        <v>60</v>
      </c>
      <c r="U291" t="s">
        <v>76</v>
      </c>
    </row>
    <row r="292" spans="1:21" x14ac:dyDescent="0.35">
      <c r="A292" t="s">
        <v>406</v>
      </c>
      <c r="B292" s="5">
        <v>45784</v>
      </c>
      <c r="C292" t="s">
        <v>56</v>
      </c>
      <c r="D292" t="s">
        <v>57</v>
      </c>
      <c r="E292" s="9">
        <v>3</v>
      </c>
      <c r="F292" s="10">
        <v>40</v>
      </c>
      <c r="G292" s="11">
        <v>0</v>
      </c>
      <c r="H292" s="10">
        <v>120</v>
      </c>
      <c r="I292" s="9">
        <v>0</v>
      </c>
      <c r="J292" s="10">
        <v>0</v>
      </c>
      <c r="K292" s="9">
        <v>3</v>
      </c>
      <c r="L292" s="10">
        <v>120</v>
      </c>
      <c r="M292" s="10">
        <v>93.85</v>
      </c>
      <c r="N292" s="10">
        <v>26.15</v>
      </c>
      <c r="O292" s="11">
        <f t="shared" si="12"/>
        <v>0.21791666666666665</v>
      </c>
      <c r="P292" s="10">
        <v>10.33</v>
      </c>
      <c r="Q292" s="10">
        <v>15.82</v>
      </c>
      <c r="R292" s="11">
        <f t="shared" si="13"/>
        <v>0.13183333333333333</v>
      </c>
      <c r="S292" t="s">
        <v>81</v>
      </c>
      <c r="T292" t="s">
        <v>66</v>
      </c>
      <c r="U292" t="s">
        <v>67</v>
      </c>
    </row>
    <row r="293" spans="1:21" x14ac:dyDescent="0.35">
      <c r="A293" t="s">
        <v>407</v>
      </c>
      <c r="B293" s="5">
        <v>45897</v>
      </c>
      <c r="C293" t="s">
        <v>88</v>
      </c>
      <c r="D293" t="s">
        <v>57</v>
      </c>
      <c r="E293" s="9">
        <v>2</v>
      </c>
      <c r="F293" s="10">
        <v>30</v>
      </c>
      <c r="G293" s="11">
        <v>0</v>
      </c>
      <c r="H293" s="10">
        <v>60</v>
      </c>
      <c r="I293" s="9">
        <v>0</v>
      </c>
      <c r="J293" s="10">
        <v>0</v>
      </c>
      <c r="K293" s="9">
        <v>2</v>
      </c>
      <c r="L293" s="10">
        <v>60</v>
      </c>
      <c r="M293" s="10">
        <v>50.27</v>
      </c>
      <c r="N293" s="10">
        <v>9.73</v>
      </c>
      <c r="O293" s="11">
        <f t="shared" si="12"/>
        <v>0.16216666666666668</v>
      </c>
      <c r="P293" s="10">
        <v>5.92</v>
      </c>
      <c r="Q293" s="10">
        <v>3.81</v>
      </c>
      <c r="R293" s="11">
        <f t="shared" si="13"/>
        <v>6.3500000000000001E-2</v>
      </c>
      <c r="S293" t="s">
        <v>75</v>
      </c>
      <c r="T293" t="s">
        <v>66</v>
      </c>
      <c r="U293" t="s">
        <v>71</v>
      </c>
    </row>
    <row r="294" spans="1:21" x14ac:dyDescent="0.35">
      <c r="A294" t="s">
        <v>408</v>
      </c>
      <c r="B294" s="5">
        <v>45872</v>
      </c>
      <c r="C294" t="s">
        <v>56</v>
      </c>
      <c r="D294" t="s">
        <v>57</v>
      </c>
      <c r="E294" s="9">
        <v>8</v>
      </c>
      <c r="F294" s="10">
        <v>40</v>
      </c>
      <c r="G294" s="11">
        <v>0.05</v>
      </c>
      <c r="H294" s="10">
        <v>304</v>
      </c>
      <c r="I294" s="9">
        <v>8</v>
      </c>
      <c r="J294" s="10">
        <v>304</v>
      </c>
      <c r="K294" s="9">
        <v>0</v>
      </c>
      <c r="L294" s="10">
        <v>0</v>
      </c>
      <c r="M294" s="10">
        <v>0</v>
      </c>
      <c r="N294" s="10">
        <v>0</v>
      </c>
      <c r="O294" s="11">
        <v>0</v>
      </c>
      <c r="P294" s="10">
        <v>0</v>
      </c>
      <c r="Q294" s="10">
        <v>0</v>
      </c>
      <c r="R294" s="11">
        <v>0</v>
      </c>
      <c r="S294" t="s">
        <v>75</v>
      </c>
      <c r="T294" t="s">
        <v>60</v>
      </c>
      <c r="U294" t="s">
        <v>61</v>
      </c>
    </row>
    <row r="295" spans="1:21" x14ac:dyDescent="0.35">
      <c r="A295" t="s">
        <v>409</v>
      </c>
      <c r="B295" s="5">
        <v>45896</v>
      </c>
      <c r="C295" t="s">
        <v>78</v>
      </c>
      <c r="D295" t="s">
        <v>79</v>
      </c>
      <c r="E295" s="9">
        <v>2</v>
      </c>
      <c r="F295" s="10">
        <v>120</v>
      </c>
      <c r="G295" s="11">
        <v>0.02</v>
      </c>
      <c r="H295" s="10">
        <v>235.2</v>
      </c>
      <c r="I295" s="9">
        <v>0</v>
      </c>
      <c r="J295" s="10">
        <v>0</v>
      </c>
      <c r="K295" s="9">
        <v>2</v>
      </c>
      <c r="L295" s="10">
        <v>235.2</v>
      </c>
      <c r="M295" s="10">
        <v>191</v>
      </c>
      <c r="N295" s="10">
        <v>44.2</v>
      </c>
      <c r="O295" s="11">
        <f t="shared" ref="O295:O326" si="14">N295/L295</f>
        <v>0.18792517006802723</v>
      </c>
      <c r="P295" s="10">
        <v>13.5</v>
      </c>
      <c r="Q295" s="10">
        <v>30.7</v>
      </c>
      <c r="R295" s="11">
        <f t="shared" ref="R295:R326" si="15">Q295/L295</f>
        <v>0.13052721088435373</v>
      </c>
      <c r="S295" t="s">
        <v>65</v>
      </c>
      <c r="T295" t="s">
        <v>86</v>
      </c>
      <c r="U295" t="s">
        <v>61</v>
      </c>
    </row>
    <row r="296" spans="1:21" x14ac:dyDescent="0.35">
      <c r="A296" t="s">
        <v>410</v>
      </c>
      <c r="B296" s="5">
        <v>45762</v>
      </c>
      <c r="C296" t="s">
        <v>107</v>
      </c>
      <c r="D296" t="s">
        <v>74</v>
      </c>
      <c r="E296" s="9">
        <v>1</v>
      </c>
      <c r="F296" s="10">
        <v>125</v>
      </c>
      <c r="G296" s="11">
        <v>0</v>
      </c>
      <c r="H296" s="10">
        <v>125</v>
      </c>
      <c r="I296" s="9">
        <v>0</v>
      </c>
      <c r="J296" s="10">
        <v>0</v>
      </c>
      <c r="K296" s="9">
        <v>1</v>
      </c>
      <c r="L296" s="10">
        <v>125</v>
      </c>
      <c r="M296" s="10">
        <v>88.14</v>
      </c>
      <c r="N296" s="10">
        <v>36.86</v>
      </c>
      <c r="O296" s="11">
        <f t="shared" si="14"/>
        <v>0.29487999999999998</v>
      </c>
      <c r="P296" s="10">
        <v>12.94</v>
      </c>
      <c r="Q296" s="10">
        <v>23.92</v>
      </c>
      <c r="R296" s="11">
        <f t="shared" si="15"/>
        <v>0.19136</v>
      </c>
      <c r="S296" t="s">
        <v>81</v>
      </c>
      <c r="T296" t="s">
        <v>82</v>
      </c>
      <c r="U296" t="s">
        <v>76</v>
      </c>
    </row>
    <row r="297" spans="1:21" x14ac:dyDescent="0.35">
      <c r="A297" t="s">
        <v>411</v>
      </c>
      <c r="B297" s="5">
        <v>45916</v>
      </c>
      <c r="C297" t="s">
        <v>264</v>
      </c>
      <c r="D297" t="s">
        <v>85</v>
      </c>
      <c r="E297" s="9">
        <v>3</v>
      </c>
      <c r="F297" s="10">
        <v>20</v>
      </c>
      <c r="G297" s="11">
        <v>0</v>
      </c>
      <c r="H297" s="10">
        <v>60</v>
      </c>
      <c r="I297" s="9">
        <v>0</v>
      </c>
      <c r="J297" s="10">
        <v>0</v>
      </c>
      <c r="K297" s="9">
        <v>3</v>
      </c>
      <c r="L297" s="10">
        <v>60</v>
      </c>
      <c r="M297" s="10">
        <v>39.200000000000003</v>
      </c>
      <c r="N297" s="10">
        <v>20.8</v>
      </c>
      <c r="O297" s="11">
        <f t="shared" si="14"/>
        <v>0.34666666666666668</v>
      </c>
      <c r="P297" s="10">
        <v>3.74</v>
      </c>
      <c r="Q297" s="10">
        <v>17.059999999999999</v>
      </c>
      <c r="R297" s="11">
        <f t="shared" si="15"/>
        <v>0.28433333333333333</v>
      </c>
      <c r="S297" t="s">
        <v>65</v>
      </c>
      <c r="T297" t="s">
        <v>82</v>
      </c>
      <c r="U297" t="s">
        <v>76</v>
      </c>
    </row>
    <row r="298" spans="1:21" x14ac:dyDescent="0.35">
      <c r="A298" t="s">
        <v>412</v>
      </c>
      <c r="B298" s="5">
        <v>45925</v>
      </c>
      <c r="C298" t="s">
        <v>100</v>
      </c>
      <c r="D298" t="s">
        <v>64</v>
      </c>
      <c r="E298" s="9">
        <v>3</v>
      </c>
      <c r="F298" s="10">
        <v>310</v>
      </c>
      <c r="G298" s="11">
        <v>0.05</v>
      </c>
      <c r="H298" s="10">
        <v>883.5</v>
      </c>
      <c r="I298" s="9">
        <v>0</v>
      </c>
      <c r="J298" s="10">
        <v>0</v>
      </c>
      <c r="K298" s="9">
        <v>3</v>
      </c>
      <c r="L298" s="10">
        <v>883.5</v>
      </c>
      <c r="M298" s="10">
        <v>757.96</v>
      </c>
      <c r="N298" s="10">
        <v>125.54</v>
      </c>
      <c r="O298" s="11">
        <f t="shared" si="14"/>
        <v>0.14209394453876628</v>
      </c>
      <c r="P298" s="10">
        <v>93.29</v>
      </c>
      <c r="Q298" s="10">
        <v>32.25</v>
      </c>
      <c r="R298" s="11">
        <f t="shared" si="15"/>
        <v>3.6502546689303902E-2</v>
      </c>
      <c r="S298" t="s">
        <v>59</v>
      </c>
      <c r="T298" t="s">
        <v>60</v>
      </c>
      <c r="U298" t="s">
        <v>67</v>
      </c>
    </row>
    <row r="299" spans="1:21" x14ac:dyDescent="0.35">
      <c r="A299" t="s">
        <v>413</v>
      </c>
      <c r="B299" s="5">
        <v>45951</v>
      </c>
      <c r="C299" t="s">
        <v>90</v>
      </c>
      <c r="D299" t="s">
        <v>70</v>
      </c>
      <c r="E299" s="9">
        <v>2</v>
      </c>
      <c r="F299" s="10">
        <v>38</v>
      </c>
      <c r="G299" s="11">
        <v>0.1</v>
      </c>
      <c r="H299" s="10">
        <v>68.400000000000006</v>
      </c>
      <c r="I299" s="9">
        <v>0</v>
      </c>
      <c r="J299" s="10">
        <v>0</v>
      </c>
      <c r="K299" s="9">
        <v>2</v>
      </c>
      <c r="L299" s="10">
        <v>68.400000000000006</v>
      </c>
      <c r="M299" s="10">
        <v>55.67</v>
      </c>
      <c r="N299" s="10">
        <v>12.73</v>
      </c>
      <c r="O299" s="11">
        <f t="shared" si="14"/>
        <v>0.18611111111111109</v>
      </c>
      <c r="P299" s="10">
        <v>5.97</v>
      </c>
      <c r="Q299" s="10">
        <v>6.76</v>
      </c>
      <c r="R299" s="11">
        <f t="shared" si="15"/>
        <v>9.883040935672513E-2</v>
      </c>
      <c r="S299" t="s">
        <v>65</v>
      </c>
      <c r="T299" t="s">
        <v>66</v>
      </c>
      <c r="U299" t="s">
        <v>71</v>
      </c>
    </row>
    <row r="300" spans="1:21" x14ac:dyDescent="0.35">
      <c r="A300" t="s">
        <v>414</v>
      </c>
      <c r="B300" s="5">
        <v>45845</v>
      </c>
      <c r="C300" t="s">
        <v>264</v>
      </c>
      <c r="D300" t="s">
        <v>85</v>
      </c>
      <c r="E300" s="9">
        <v>2</v>
      </c>
      <c r="F300" s="10">
        <v>20</v>
      </c>
      <c r="G300" s="11">
        <v>0.02</v>
      </c>
      <c r="H300" s="10">
        <v>39.200000000000003</v>
      </c>
      <c r="I300" s="9">
        <v>0</v>
      </c>
      <c r="J300" s="10">
        <v>0</v>
      </c>
      <c r="K300" s="9">
        <v>2</v>
      </c>
      <c r="L300" s="10">
        <v>39.200000000000003</v>
      </c>
      <c r="M300" s="10">
        <v>26.89</v>
      </c>
      <c r="N300" s="10">
        <v>12.31</v>
      </c>
      <c r="O300" s="11">
        <f t="shared" si="14"/>
        <v>0.31403061224489792</v>
      </c>
      <c r="P300" s="10">
        <v>4.43</v>
      </c>
      <c r="Q300" s="10">
        <v>7.88</v>
      </c>
      <c r="R300" s="11">
        <f t="shared" si="15"/>
        <v>0.2010204081632653</v>
      </c>
      <c r="S300" t="s">
        <v>65</v>
      </c>
      <c r="T300" t="s">
        <v>82</v>
      </c>
      <c r="U300" t="s">
        <v>61</v>
      </c>
    </row>
    <row r="301" spans="1:21" x14ac:dyDescent="0.35">
      <c r="A301" t="s">
        <v>415</v>
      </c>
      <c r="B301" s="5">
        <v>45817</v>
      </c>
      <c r="C301" t="s">
        <v>95</v>
      </c>
      <c r="D301" t="s">
        <v>64</v>
      </c>
      <c r="E301" s="9">
        <v>3</v>
      </c>
      <c r="F301" s="10">
        <v>52</v>
      </c>
      <c r="G301" s="11">
        <v>0.02</v>
      </c>
      <c r="H301" s="10">
        <v>152.88</v>
      </c>
      <c r="I301" s="9">
        <v>0</v>
      </c>
      <c r="J301" s="10">
        <v>0</v>
      </c>
      <c r="K301" s="9">
        <v>3</v>
      </c>
      <c r="L301" s="10">
        <v>152.88</v>
      </c>
      <c r="M301" s="10">
        <v>122.65</v>
      </c>
      <c r="N301" s="10">
        <v>30.23</v>
      </c>
      <c r="O301" s="11">
        <f t="shared" si="14"/>
        <v>0.1977367870225013</v>
      </c>
      <c r="P301" s="10">
        <v>18.52</v>
      </c>
      <c r="Q301" s="10">
        <v>11.71</v>
      </c>
      <c r="R301" s="11">
        <f t="shared" si="15"/>
        <v>7.6596023024594465E-2</v>
      </c>
      <c r="S301" t="s">
        <v>81</v>
      </c>
      <c r="T301" t="s">
        <v>60</v>
      </c>
      <c r="U301" t="s">
        <v>67</v>
      </c>
    </row>
    <row r="302" spans="1:21" x14ac:dyDescent="0.35">
      <c r="A302" t="s">
        <v>416</v>
      </c>
      <c r="B302" s="5">
        <v>45713</v>
      </c>
      <c r="C302" t="s">
        <v>63</v>
      </c>
      <c r="D302" t="s">
        <v>64</v>
      </c>
      <c r="E302" s="9">
        <v>2</v>
      </c>
      <c r="F302" s="10">
        <v>145</v>
      </c>
      <c r="G302" s="11">
        <v>0</v>
      </c>
      <c r="H302" s="10">
        <v>290</v>
      </c>
      <c r="I302" s="9">
        <v>0</v>
      </c>
      <c r="J302" s="10">
        <v>0</v>
      </c>
      <c r="K302" s="9">
        <v>2</v>
      </c>
      <c r="L302" s="10">
        <v>290</v>
      </c>
      <c r="M302" s="10">
        <v>215.41</v>
      </c>
      <c r="N302" s="10">
        <v>74.59</v>
      </c>
      <c r="O302" s="11">
        <f t="shared" si="14"/>
        <v>0.25720689655172413</v>
      </c>
      <c r="P302" s="10">
        <v>29.48</v>
      </c>
      <c r="Q302" s="10">
        <v>45.11</v>
      </c>
      <c r="R302" s="11">
        <f t="shared" si="15"/>
        <v>0.15555172413793103</v>
      </c>
      <c r="S302" t="s">
        <v>75</v>
      </c>
      <c r="T302" t="s">
        <v>66</v>
      </c>
      <c r="U302" t="s">
        <v>76</v>
      </c>
    </row>
    <row r="303" spans="1:21" x14ac:dyDescent="0.35">
      <c r="A303" t="s">
        <v>417</v>
      </c>
      <c r="B303" s="5">
        <v>45783</v>
      </c>
      <c r="C303" t="s">
        <v>104</v>
      </c>
      <c r="D303" t="s">
        <v>105</v>
      </c>
      <c r="E303" s="9">
        <v>2</v>
      </c>
      <c r="F303" s="10">
        <v>65</v>
      </c>
      <c r="G303" s="11">
        <v>0</v>
      </c>
      <c r="H303" s="10">
        <v>130</v>
      </c>
      <c r="I303" s="9">
        <v>1</v>
      </c>
      <c r="J303" s="10">
        <v>65</v>
      </c>
      <c r="K303" s="9">
        <v>1</v>
      </c>
      <c r="L303" s="10">
        <v>65</v>
      </c>
      <c r="M303" s="10">
        <v>46.21</v>
      </c>
      <c r="N303" s="10">
        <v>18.79</v>
      </c>
      <c r="O303" s="11">
        <f t="shared" si="14"/>
        <v>0.28907692307692306</v>
      </c>
      <c r="P303" s="10">
        <v>3.62</v>
      </c>
      <c r="Q303" s="10">
        <v>15.17</v>
      </c>
      <c r="R303" s="11">
        <f t="shared" si="15"/>
        <v>0.23338461538461538</v>
      </c>
      <c r="S303" t="s">
        <v>59</v>
      </c>
      <c r="T303" t="s">
        <v>66</v>
      </c>
      <c r="U303" t="s">
        <v>67</v>
      </c>
    </row>
    <row r="304" spans="1:21" x14ac:dyDescent="0.35">
      <c r="A304" t="s">
        <v>418</v>
      </c>
      <c r="B304" s="5">
        <v>45688</v>
      </c>
      <c r="C304" t="s">
        <v>109</v>
      </c>
      <c r="D304" t="s">
        <v>85</v>
      </c>
      <c r="E304" s="9">
        <v>5</v>
      </c>
      <c r="F304" s="10">
        <v>180</v>
      </c>
      <c r="G304" s="11">
        <v>0</v>
      </c>
      <c r="H304" s="10">
        <v>900</v>
      </c>
      <c r="I304" s="9">
        <v>0</v>
      </c>
      <c r="J304" s="10">
        <v>0</v>
      </c>
      <c r="K304" s="9">
        <v>5</v>
      </c>
      <c r="L304" s="10">
        <v>900</v>
      </c>
      <c r="M304" s="10">
        <v>739.81</v>
      </c>
      <c r="N304" s="10">
        <v>160.19</v>
      </c>
      <c r="O304" s="11">
        <f t="shared" si="14"/>
        <v>0.17798888888888889</v>
      </c>
      <c r="P304" s="10">
        <v>85.3</v>
      </c>
      <c r="Q304" s="10">
        <v>74.89</v>
      </c>
      <c r="R304" s="11">
        <f t="shared" si="15"/>
        <v>8.3211111111111111E-2</v>
      </c>
      <c r="S304" t="s">
        <v>65</v>
      </c>
      <c r="T304" t="s">
        <v>66</v>
      </c>
      <c r="U304" t="s">
        <v>67</v>
      </c>
    </row>
    <row r="305" spans="1:21" x14ac:dyDescent="0.35">
      <c r="A305" t="s">
        <v>419</v>
      </c>
      <c r="B305" s="5">
        <v>45812</v>
      </c>
      <c r="C305" t="s">
        <v>78</v>
      </c>
      <c r="D305" t="s">
        <v>79</v>
      </c>
      <c r="E305" s="9">
        <v>3</v>
      </c>
      <c r="F305" s="10">
        <v>120</v>
      </c>
      <c r="G305" s="11">
        <v>0</v>
      </c>
      <c r="H305" s="10">
        <v>360</v>
      </c>
      <c r="I305" s="9">
        <v>0</v>
      </c>
      <c r="J305" s="10">
        <v>0</v>
      </c>
      <c r="K305" s="9">
        <v>3</v>
      </c>
      <c r="L305" s="10">
        <v>360</v>
      </c>
      <c r="M305" s="10">
        <v>266.87</v>
      </c>
      <c r="N305" s="10">
        <v>93.13</v>
      </c>
      <c r="O305" s="11">
        <f t="shared" si="14"/>
        <v>0.25869444444444445</v>
      </c>
      <c r="P305" s="10">
        <v>29.07</v>
      </c>
      <c r="Q305" s="10">
        <v>64.06</v>
      </c>
      <c r="R305" s="11">
        <f t="shared" si="15"/>
        <v>0.17794444444444446</v>
      </c>
      <c r="S305" t="s">
        <v>81</v>
      </c>
      <c r="T305" t="s">
        <v>82</v>
      </c>
      <c r="U305" t="s">
        <v>76</v>
      </c>
    </row>
    <row r="306" spans="1:21" x14ac:dyDescent="0.35">
      <c r="A306" t="s">
        <v>420</v>
      </c>
      <c r="B306" s="5">
        <v>45779</v>
      </c>
      <c r="C306" t="s">
        <v>84</v>
      </c>
      <c r="D306" t="s">
        <v>85</v>
      </c>
      <c r="E306" s="9">
        <v>2</v>
      </c>
      <c r="F306" s="10">
        <v>48</v>
      </c>
      <c r="G306" s="11">
        <v>0</v>
      </c>
      <c r="H306" s="10">
        <v>96</v>
      </c>
      <c r="I306" s="9">
        <v>0</v>
      </c>
      <c r="J306" s="10">
        <v>0</v>
      </c>
      <c r="K306" s="9">
        <v>2</v>
      </c>
      <c r="L306" s="10">
        <v>96</v>
      </c>
      <c r="M306" s="10">
        <v>62.91</v>
      </c>
      <c r="N306" s="10">
        <v>33.090000000000003</v>
      </c>
      <c r="O306" s="11">
        <f t="shared" si="14"/>
        <v>0.34468750000000004</v>
      </c>
      <c r="P306" s="10">
        <v>5.8</v>
      </c>
      <c r="Q306" s="10">
        <v>27.29</v>
      </c>
      <c r="R306" s="11">
        <f t="shared" si="15"/>
        <v>0.28427083333333331</v>
      </c>
      <c r="S306" t="s">
        <v>75</v>
      </c>
      <c r="T306" t="s">
        <v>66</v>
      </c>
      <c r="U306" t="s">
        <v>71</v>
      </c>
    </row>
    <row r="307" spans="1:21" x14ac:dyDescent="0.35">
      <c r="A307" t="s">
        <v>421</v>
      </c>
      <c r="B307" s="5">
        <v>45716</v>
      </c>
      <c r="C307" t="s">
        <v>125</v>
      </c>
      <c r="D307" t="s">
        <v>85</v>
      </c>
      <c r="E307" s="9">
        <v>3</v>
      </c>
      <c r="F307" s="10">
        <v>125</v>
      </c>
      <c r="G307" s="11">
        <v>0</v>
      </c>
      <c r="H307" s="10">
        <v>375</v>
      </c>
      <c r="I307" s="9">
        <v>0</v>
      </c>
      <c r="J307" s="10">
        <v>0</v>
      </c>
      <c r="K307" s="9">
        <v>3</v>
      </c>
      <c r="L307" s="10">
        <v>375</v>
      </c>
      <c r="M307" s="10">
        <v>322.04000000000002</v>
      </c>
      <c r="N307" s="10">
        <v>52.96</v>
      </c>
      <c r="O307" s="11">
        <f t="shared" si="14"/>
        <v>0.14122666666666667</v>
      </c>
      <c r="P307" s="10">
        <v>21.4</v>
      </c>
      <c r="Q307" s="10">
        <v>31.56</v>
      </c>
      <c r="R307" s="11">
        <f t="shared" si="15"/>
        <v>8.4159999999999999E-2</v>
      </c>
      <c r="S307" t="s">
        <v>59</v>
      </c>
      <c r="T307" t="s">
        <v>82</v>
      </c>
      <c r="U307" t="s">
        <v>61</v>
      </c>
    </row>
    <row r="308" spans="1:21" x14ac:dyDescent="0.35">
      <c r="A308" t="s">
        <v>422</v>
      </c>
      <c r="B308" s="5">
        <v>45819</v>
      </c>
      <c r="C308" t="s">
        <v>107</v>
      </c>
      <c r="D308" t="s">
        <v>74</v>
      </c>
      <c r="E308" s="9">
        <v>2</v>
      </c>
      <c r="F308" s="10">
        <v>125</v>
      </c>
      <c r="G308" s="11">
        <v>0</v>
      </c>
      <c r="H308" s="10">
        <v>250</v>
      </c>
      <c r="I308" s="9">
        <v>0</v>
      </c>
      <c r="J308" s="10">
        <v>0</v>
      </c>
      <c r="K308" s="9">
        <v>2</v>
      </c>
      <c r="L308" s="10">
        <v>250</v>
      </c>
      <c r="M308" s="10">
        <v>187.48</v>
      </c>
      <c r="N308" s="10">
        <v>62.52</v>
      </c>
      <c r="O308" s="11">
        <f t="shared" si="14"/>
        <v>0.25008000000000002</v>
      </c>
      <c r="P308" s="10">
        <v>23.57</v>
      </c>
      <c r="Q308" s="10">
        <v>38.950000000000003</v>
      </c>
      <c r="R308" s="11">
        <f t="shared" si="15"/>
        <v>0.15580000000000002</v>
      </c>
      <c r="S308" t="s">
        <v>75</v>
      </c>
      <c r="T308" t="s">
        <v>82</v>
      </c>
      <c r="U308" t="s">
        <v>67</v>
      </c>
    </row>
    <row r="309" spans="1:21" x14ac:dyDescent="0.35">
      <c r="A309" t="s">
        <v>423</v>
      </c>
      <c r="B309" s="5">
        <v>45678</v>
      </c>
      <c r="C309" t="s">
        <v>92</v>
      </c>
      <c r="D309" t="s">
        <v>79</v>
      </c>
      <c r="E309" s="9">
        <v>2</v>
      </c>
      <c r="F309" s="10">
        <v>85</v>
      </c>
      <c r="G309" s="11">
        <v>0.05</v>
      </c>
      <c r="H309" s="10">
        <v>161.5</v>
      </c>
      <c r="I309" s="9">
        <v>0</v>
      </c>
      <c r="J309" s="10">
        <v>0</v>
      </c>
      <c r="K309" s="9">
        <v>2</v>
      </c>
      <c r="L309" s="10">
        <v>161.5</v>
      </c>
      <c r="M309" s="10">
        <v>127.61</v>
      </c>
      <c r="N309" s="10">
        <v>33.89</v>
      </c>
      <c r="O309" s="11">
        <f t="shared" si="14"/>
        <v>0.20984520123839009</v>
      </c>
      <c r="P309" s="10">
        <v>14.63</v>
      </c>
      <c r="Q309" s="10">
        <v>19.260000000000002</v>
      </c>
      <c r="R309" s="11">
        <f t="shared" si="15"/>
        <v>0.11925696594427246</v>
      </c>
      <c r="S309" t="s">
        <v>65</v>
      </c>
      <c r="T309" t="s">
        <v>60</v>
      </c>
      <c r="U309" t="s">
        <v>76</v>
      </c>
    </row>
    <row r="310" spans="1:21" x14ac:dyDescent="0.35">
      <c r="A310" t="s">
        <v>424</v>
      </c>
      <c r="B310" s="5">
        <v>45796</v>
      </c>
      <c r="C310" t="s">
        <v>63</v>
      </c>
      <c r="D310" t="s">
        <v>64</v>
      </c>
      <c r="E310" s="9">
        <v>2</v>
      </c>
      <c r="F310" s="10">
        <v>145</v>
      </c>
      <c r="G310" s="11">
        <v>0.02</v>
      </c>
      <c r="H310" s="10">
        <v>284.2</v>
      </c>
      <c r="I310" s="9">
        <v>0</v>
      </c>
      <c r="J310" s="10">
        <v>0</v>
      </c>
      <c r="K310" s="9">
        <v>2</v>
      </c>
      <c r="L310" s="10">
        <v>284.2</v>
      </c>
      <c r="M310" s="10">
        <v>185.7</v>
      </c>
      <c r="N310" s="10">
        <v>98.5</v>
      </c>
      <c r="O310" s="11">
        <f t="shared" si="14"/>
        <v>0.34658691062631952</v>
      </c>
      <c r="P310" s="10">
        <v>28.45</v>
      </c>
      <c r="Q310" s="10">
        <v>70.05</v>
      </c>
      <c r="R310" s="11">
        <f t="shared" si="15"/>
        <v>0.24648135116115411</v>
      </c>
      <c r="S310" t="s">
        <v>65</v>
      </c>
      <c r="T310" t="s">
        <v>60</v>
      </c>
      <c r="U310" t="s">
        <v>67</v>
      </c>
    </row>
    <row r="311" spans="1:21" x14ac:dyDescent="0.35">
      <c r="A311" t="s">
        <v>425</v>
      </c>
      <c r="B311" s="5">
        <v>45998</v>
      </c>
      <c r="C311" t="s">
        <v>107</v>
      </c>
      <c r="D311" t="s">
        <v>74</v>
      </c>
      <c r="E311" s="9">
        <v>4</v>
      </c>
      <c r="F311" s="10">
        <v>125</v>
      </c>
      <c r="G311" s="11">
        <v>0</v>
      </c>
      <c r="H311" s="10">
        <v>500</v>
      </c>
      <c r="I311" s="9">
        <v>0</v>
      </c>
      <c r="J311" s="10">
        <v>0</v>
      </c>
      <c r="K311" s="9">
        <v>4</v>
      </c>
      <c r="L311" s="10">
        <v>500</v>
      </c>
      <c r="M311" s="10">
        <v>349.1</v>
      </c>
      <c r="N311" s="10">
        <v>150.9</v>
      </c>
      <c r="O311" s="11">
        <f t="shared" si="14"/>
        <v>0.30180000000000001</v>
      </c>
      <c r="P311" s="10">
        <v>43.46</v>
      </c>
      <c r="Q311" s="10">
        <v>107.44</v>
      </c>
      <c r="R311" s="11">
        <f t="shared" si="15"/>
        <v>0.21487999999999999</v>
      </c>
      <c r="S311" t="s">
        <v>65</v>
      </c>
      <c r="T311" t="s">
        <v>86</v>
      </c>
      <c r="U311" t="s">
        <v>67</v>
      </c>
    </row>
    <row r="312" spans="1:21" x14ac:dyDescent="0.35">
      <c r="A312" t="s">
        <v>426</v>
      </c>
      <c r="B312" s="5">
        <v>45967</v>
      </c>
      <c r="C312" t="s">
        <v>107</v>
      </c>
      <c r="D312" t="s">
        <v>74</v>
      </c>
      <c r="E312" s="9">
        <v>4</v>
      </c>
      <c r="F312" s="10">
        <v>125</v>
      </c>
      <c r="G312" s="11">
        <v>0.1</v>
      </c>
      <c r="H312" s="10">
        <v>450</v>
      </c>
      <c r="I312" s="9">
        <v>0</v>
      </c>
      <c r="J312" s="10">
        <v>0</v>
      </c>
      <c r="K312" s="9">
        <v>4</v>
      </c>
      <c r="L312" s="10">
        <v>450</v>
      </c>
      <c r="M312" s="10">
        <v>293.3</v>
      </c>
      <c r="N312" s="10">
        <v>156.69999999999999</v>
      </c>
      <c r="O312" s="11">
        <f t="shared" si="14"/>
        <v>0.34822222222222221</v>
      </c>
      <c r="P312" s="10">
        <v>44.07</v>
      </c>
      <c r="Q312" s="10">
        <v>112.63</v>
      </c>
      <c r="R312" s="11">
        <f t="shared" si="15"/>
        <v>0.25028888888888889</v>
      </c>
      <c r="S312" t="s">
        <v>75</v>
      </c>
      <c r="T312" t="s">
        <v>60</v>
      </c>
      <c r="U312" t="s">
        <v>61</v>
      </c>
    </row>
    <row r="313" spans="1:21" x14ac:dyDescent="0.35">
      <c r="A313" t="s">
        <v>428</v>
      </c>
      <c r="B313" s="5">
        <v>45727</v>
      </c>
      <c r="C313" t="s">
        <v>264</v>
      </c>
      <c r="D313" t="s">
        <v>85</v>
      </c>
      <c r="E313" s="9">
        <v>3</v>
      </c>
      <c r="F313" s="10">
        <v>20</v>
      </c>
      <c r="G313" s="11">
        <v>0</v>
      </c>
      <c r="H313" s="10">
        <v>60</v>
      </c>
      <c r="I313" s="9">
        <v>0</v>
      </c>
      <c r="J313" s="10">
        <v>0</v>
      </c>
      <c r="K313" s="9">
        <v>3</v>
      </c>
      <c r="L313" s="10">
        <v>60</v>
      </c>
      <c r="M313" s="10">
        <v>47</v>
      </c>
      <c r="N313" s="10">
        <v>13</v>
      </c>
      <c r="O313" s="11">
        <f t="shared" si="14"/>
        <v>0.21666666666666667</v>
      </c>
      <c r="P313" s="10">
        <v>3.17</v>
      </c>
      <c r="Q313" s="10">
        <v>9.83</v>
      </c>
      <c r="R313" s="11">
        <f t="shared" si="15"/>
        <v>0.16383333333333333</v>
      </c>
      <c r="S313" t="s">
        <v>75</v>
      </c>
      <c r="T313" t="s">
        <v>60</v>
      </c>
      <c r="U313" t="s">
        <v>76</v>
      </c>
    </row>
    <row r="314" spans="1:21" x14ac:dyDescent="0.35">
      <c r="A314" t="s">
        <v>429</v>
      </c>
      <c r="B314" s="5">
        <v>45732</v>
      </c>
      <c r="C314" t="s">
        <v>117</v>
      </c>
      <c r="D314" t="s">
        <v>74</v>
      </c>
      <c r="E314" s="9">
        <v>1</v>
      </c>
      <c r="F314" s="10">
        <v>95</v>
      </c>
      <c r="G314" s="11">
        <v>0.05</v>
      </c>
      <c r="H314" s="10">
        <v>90.25</v>
      </c>
      <c r="I314" s="9">
        <v>0</v>
      </c>
      <c r="J314" s="10">
        <v>0</v>
      </c>
      <c r="K314" s="9">
        <v>1</v>
      </c>
      <c r="L314" s="10">
        <v>90.25</v>
      </c>
      <c r="M314" s="10">
        <v>66.61</v>
      </c>
      <c r="N314" s="10">
        <v>23.64</v>
      </c>
      <c r="O314" s="11">
        <f t="shared" si="14"/>
        <v>0.26193905817174518</v>
      </c>
      <c r="P314" s="10">
        <v>8.06</v>
      </c>
      <c r="Q314" s="10">
        <v>15.58</v>
      </c>
      <c r="R314" s="11">
        <f t="shared" si="15"/>
        <v>0.17263157894736841</v>
      </c>
      <c r="S314" t="s">
        <v>75</v>
      </c>
      <c r="T314" t="s">
        <v>82</v>
      </c>
      <c r="U314" t="s">
        <v>61</v>
      </c>
    </row>
    <row r="315" spans="1:21" x14ac:dyDescent="0.35">
      <c r="A315" t="s">
        <v>430</v>
      </c>
      <c r="B315" s="5">
        <v>45876</v>
      </c>
      <c r="C315" t="s">
        <v>73</v>
      </c>
      <c r="D315" t="s">
        <v>74</v>
      </c>
      <c r="E315" s="9">
        <v>3</v>
      </c>
      <c r="F315" s="10">
        <v>280</v>
      </c>
      <c r="G315" s="11">
        <v>0.1</v>
      </c>
      <c r="H315" s="10">
        <v>756</v>
      </c>
      <c r="I315" s="9">
        <v>0</v>
      </c>
      <c r="J315" s="10">
        <v>0</v>
      </c>
      <c r="K315" s="9">
        <v>3</v>
      </c>
      <c r="L315" s="10">
        <v>756</v>
      </c>
      <c r="M315" s="10">
        <v>534.45000000000005</v>
      </c>
      <c r="N315" s="10">
        <v>221.55</v>
      </c>
      <c r="O315" s="11">
        <f t="shared" si="14"/>
        <v>0.29305555555555557</v>
      </c>
      <c r="P315" s="10">
        <v>91.9</v>
      </c>
      <c r="Q315" s="10">
        <v>129.65</v>
      </c>
      <c r="R315" s="11">
        <f t="shared" si="15"/>
        <v>0.17149470899470901</v>
      </c>
      <c r="S315" t="s">
        <v>81</v>
      </c>
      <c r="T315" t="s">
        <v>86</v>
      </c>
      <c r="U315" t="s">
        <v>76</v>
      </c>
    </row>
    <row r="316" spans="1:21" x14ac:dyDescent="0.35">
      <c r="A316" t="s">
        <v>431</v>
      </c>
      <c r="B316" s="5">
        <v>45773</v>
      </c>
      <c r="C316" t="s">
        <v>73</v>
      </c>
      <c r="D316" t="s">
        <v>74</v>
      </c>
      <c r="E316" s="9">
        <v>5</v>
      </c>
      <c r="F316" s="10">
        <v>280</v>
      </c>
      <c r="G316" s="11">
        <v>0.02</v>
      </c>
      <c r="H316" s="10">
        <v>1372</v>
      </c>
      <c r="I316" s="9">
        <v>0</v>
      </c>
      <c r="J316" s="10">
        <v>0</v>
      </c>
      <c r="K316" s="9">
        <v>5</v>
      </c>
      <c r="L316" s="10">
        <v>1372</v>
      </c>
      <c r="M316" s="10">
        <v>1165.45</v>
      </c>
      <c r="N316" s="10">
        <v>206.55</v>
      </c>
      <c r="O316" s="11">
        <f t="shared" si="14"/>
        <v>0.15054664723032071</v>
      </c>
      <c r="P316" s="10">
        <v>80.59</v>
      </c>
      <c r="Q316" s="10">
        <v>125.96</v>
      </c>
      <c r="R316" s="11">
        <f t="shared" si="15"/>
        <v>9.1807580174927114E-2</v>
      </c>
      <c r="S316" t="s">
        <v>75</v>
      </c>
      <c r="T316" t="s">
        <v>66</v>
      </c>
      <c r="U316" t="s">
        <v>67</v>
      </c>
    </row>
    <row r="317" spans="1:21" x14ac:dyDescent="0.35">
      <c r="A317" t="s">
        <v>432</v>
      </c>
      <c r="B317" s="5">
        <v>45846</v>
      </c>
      <c r="C317" t="s">
        <v>107</v>
      </c>
      <c r="D317" t="s">
        <v>74</v>
      </c>
      <c r="E317" s="9">
        <v>2</v>
      </c>
      <c r="F317" s="10">
        <v>125</v>
      </c>
      <c r="G317" s="11">
        <v>0</v>
      </c>
      <c r="H317" s="10">
        <v>250</v>
      </c>
      <c r="I317" s="9">
        <v>0</v>
      </c>
      <c r="J317" s="10">
        <v>0</v>
      </c>
      <c r="K317" s="9">
        <v>2</v>
      </c>
      <c r="L317" s="10">
        <v>250</v>
      </c>
      <c r="M317" s="10">
        <v>173.71</v>
      </c>
      <c r="N317" s="10">
        <v>76.290000000000006</v>
      </c>
      <c r="O317" s="11">
        <f t="shared" si="14"/>
        <v>0.30516000000000004</v>
      </c>
      <c r="P317" s="10">
        <v>13.12</v>
      </c>
      <c r="Q317" s="10">
        <v>63.17</v>
      </c>
      <c r="R317" s="11">
        <f t="shared" si="15"/>
        <v>0.25268000000000002</v>
      </c>
      <c r="S317" t="s">
        <v>59</v>
      </c>
      <c r="T317" t="s">
        <v>60</v>
      </c>
      <c r="U317" t="s">
        <v>61</v>
      </c>
    </row>
    <row r="318" spans="1:21" x14ac:dyDescent="0.35">
      <c r="A318" t="s">
        <v>433</v>
      </c>
      <c r="B318" s="5">
        <v>45783</v>
      </c>
      <c r="C318" t="s">
        <v>78</v>
      </c>
      <c r="D318" t="s">
        <v>79</v>
      </c>
      <c r="E318" s="9">
        <v>3</v>
      </c>
      <c r="F318" s="10">
        <v>120</v>
      </c>
      <c r="G318" s="11">
        <v>0.02</v>
      </c>
      <c r="H318" s="10">
        <v>352.8</v>
      </c>
      <c r="I318" s="9">
        <v>0</v>
      </c>
      <c r="J318" s="10">
        <v>0</v>
      </c>
      <c r="K318" s="9">
        <v>3</v>
      </c>
      <c r="L318" s="10">
        <v>352.8</v>
      </c>
      <c r="M318" s="10">
        <v>279.93</v>
      </c>
      <c r="N318" s="10">
        <v>72.87</v>
      </c>
      <c r="O318" s="11">
        <f t="shared" si="14"/>
        <v>0.20654761904761906</v>
      </c>
      <c r="P318" s="10">
        <v>21.43</v>
      </c>
      <c r="Q318" s="10">
        <v>51.44</v>
      </c>
      <c r="R318" s="11">
        <f t="shared" si="15"/>
        <v>0.14580498866213151</v>
      </c>
      <c r="S318" t="s">
        <v>75</v>
      </c>
      <c r="T318" t="s">
        <v>86</v>
      </c>
      <c r="U318" t="s">
        <v>61</v>
      </c>
    </row>
    <row r="319" spans="1:21" x14ac:dyDescent="0.35">
      <c r="A319" t="s">
        <v>434</v>
      </c>
      <c r="B319" s="5">
        <v>45921</v>
      </c>
      <c r="C319" t="s">
        <v>100</v>
      </c>
      <c r="D319" t="s">
        <v>64</v>
      </c>
      <c r="E319" s="9">
        <v>2</v>
      </c>
      <c r="F319" s="10">
        <v>310</v>
      </c>
      <c r="G319" s="11">
        <v>0.05</v>
      </c>
      <c r="H319" s="10">
        <v>589</v>
      </c>
      <c r="I319" s="9">
        <v>0</v>
      </c>
      <c r="J319" s="10">
        <v>0</v>
      </c>
      <c r="K319" s="9">
        <v>2</v>
      </c>
      <c r="L319" s="10">
        <v>589</v>
      </c>
      <c r="M319" s="10">
        <v>439.9</v>
      </c>
      <c r="N319" s="10">
        <v>149.1</v>
      </c>
      <c r="O319" s="11">
        <f t="shared" si="14"/>
        <v>0.25314091680814937</v>
      </c>
      <c r="P319" s="10">
        <v>76.12</v>
      </c>
      <c r="Q319" s="10">
        <v>72.98</v>
      </c>
      <c r="R319" s="11">
        <f t="shared" si="15"/>
        <v>0.12390492359932088</v>
      </c>
      <c r="S319" t="s">
        <v>81</v>
      </c>
      <c r="T319" t="s">
        <v>66</v>
      </c>
      <c r="U319" t="s">
        <v>61</v>
      </c>
    </row>
    <row r="320" spans="1:21" x14ac:dyDescent="0.35">
      <c r="A320" t="s">
        <v>435</v>
      </c>
      <c r="B320" s="5">
        <v>45798</v>
      </c>
      <c r="C320" t="s">
        <v>56</v>
      </c>
      <c r="D320" t="s">
        <v>57</v>
      </c>
      <c r="E320" s="9">
        <v>1</v>
      </c>
      <c r="F320" s="10">
        <v>40</v>
      </c>
      <c r="G320" s="11">
        <v>0</v>
      </c>
      <c r="H320" s="10">
        <v>40</v>
      </c>
      <c r="I320" s="9">
        <v>0</v>
      </c>
      <c r="J320" s="10">
        <v>0</v>
      </c>
      <c r="K320" s="9">
        <v>1</v>
      </c>
      <c r="L320" s="10">
        <v>40</v>
      </c>
      <c r="M320" s="10">
        <v>28.08</v>
      </c>
      <c r="N320" s="10">
        <v>11.92</v>
      </c>
      <c r="O320" s="11">
        <f t="shared" si="14"/>
        <v>0.29799999999999999</v>
      </c>
      <c r="P320" s="10">
        <v>2.2200000000000002</v>
      </c>
      <c r="Q320" s="10">
        <v>9.6999999999999993</v>
      </c>
      <c r="R320" s="11">
        <f t="shared" si="15"/>
        <v>0.24249999999999999</v>
      </c>
      <c r="S320" t="s">
        <v>65</v>
      </c>
      <c r="T320" t="s">
        <v>86</v>
      </c>
      <c r="U320" t="s">
        <v>67</v>
      </c>
    </row>
    <row r="321" spans="1:21" x14ac:dyDescent="0.35">
      <c r="A321" t="s">
        <v>436</v>
      </c>
      <c r="B321" s="5">
        <v>45917</v>
      </c>
      <c r="C321" t="s">
        <v>97</v>
      </c>
      <c r="D321" t="s">
        <v>57</v>
      </c>
      <c r="E321" s="9">
        <v>5</v>
      </c>
      <c r="F321" s="10">
        <v>55</v>
      </c>
      <c r="G321" s="11">
        <v>0.05</v>
      </c>
      <c r="H321" s="10">
        <v>261.25</v>
      </c>
      <c r="I321" s="9">
        <v>0</v>
      </c>
      <c r="J321" s="10">
        <v>0</v>
      </c>
      <c r="K321" s="9">
        <v>5</v>
      </c>
      <c r="L321" s="10">
        <v>261.25</v>
      </c>
      <c r="M321" s="10">
        <v>200.45</v>
      </c>
      <c r="N321" s="10">
        <v>60.8</v>
      </c>
      <c r="O321" s="11">
        <f t="shared" si="14"/>
        <v>0.23272727272727273</v>
      </c>
      <c r="P321" s="10">
        <v>23.25</v>
      </c>
      <c r="Q321" s="10">
        <v>37.549999999999997</v>
      </c>
      <c r="R321" s="11">
        <f t="shared" si="15"/>
        <v>0.14373205741626793</v>
      </c>
      <c r="S321" t="s">
        <v>81</v>
      </c>
      <c r="T321" t="s">
        <v>60</v>
      </c>
      <c r="U321" t="s">
        <v>71</v>
      </c>
    </row>
    <row r="322" spans="1:21" x14ac:dyDescent="0.35">
      <c r="A322" t="s">
        <v>437</v>
      </c>
      <c r="B322" s="5">
        <v>45718</v>
      </c>
      <c r="C322" t="s">
        <v>264</v>
      </c>
      <c r="D322" t="s">
        <v>85</v>
      </c>
      <c r="E322" s="9">
        <v>2</v>
      </c>
      <c r="F322" s="10">
        <v>20</v>
      </c>
      <c r="G322" s="11">
        <v>0</v>
      </c>
      <c r="H322" s="10">
        <v>40</v>
      </c>
      <c r="I322" s="9">
        <v>0</v>
      </c>
      <c r="J322" s="10">
        <v>0</v>
      </c>
      <c r="K322" s="9">
        <v>2</v>
      </c>
      <c r="L322" s="10">
        <v>40</v>
      </c>
      <c r="M322" s="10">
        <v>32.56</v>
      </c>
      <c r="N322" s="10">
        <v>7.44</v>
      </c>
      <c r="O322" s="11">
        <f t="shared" si="14"/>
        <v>0.186</v>
      </c>
      <c r="P322" s="10">
        <v>2.23</v>
      </c>
      <c r="Q322" s="10">
        <v>5.21</v>
      </c>
      <c r="R322" s="11">
        <f t="shared" si="15"/>
        <v>0.13025</v>
      </c>
      <c r="S322" t="s">
        <v>59</v>
      </c>
      <c r="T322" t="s">
        <v>60</v>
      </c>
      <c r="U322" t="s">
        <v>71</v>
      </c>
    </row>
    <row r="323" spans="1:21" x14ac:dyDescent="0.35">
      <c r="A323" t="s">
        <v>438</v>
      </c>
      <c r="B323" s="5">
        <v>45979</v>
      </c>
      <c r="C323" t="s">
        <v>117</v>
      </c>
      <c r="D323" t="s">
        <v>74</v>
      </c>
      <c r="E323" s="9">
        <v>4</v>
      </c>
      <c r="F323" s="10">
        <v>95</v>
      </c>
      <c r="G323" s="11">
        <v>0</v>
      </c>
      <c r="H323" s="10">
        <v>380</v>
      </c>
      <c r="I323" s="9">
        <v>0</v>
      </c>
      <c r="J323" s="10">
        <v>0</v>
      </c>
      <c r="K323" s="9">
        <v>4</v>
      </c>
      <c r="L323" s="10">
        <v>380</v>
      </c>
      <c r="M323" s="10">
        <v>312.39999999999998</v>
      </c>
      <c r="N323" s="10">
        <v>67.599999999999994</v>
      </c>
      <c r="O323" s="11">
        <f t="shared" si="14"/>
        <v>0.17789473684210524</v>
      </c>
      <c r="P323" s="10">
        <v>33.54</v>
      </c>
      <c r="Q323" s="10">
        <v>34.06</v>
      </c>
      <c r="R323" s="11">
        <f t="shared" si="15"/>
        <v>8.9631578947368423E-2</v>
      </c>
      <c r="S323" t="s">
        <v>81</v>
      </c>
      <c r="T323" t="s">
        <v>82</v>
      </c>
      <c r="U323" t="s">
        <v>67</v>
      </c>
    </row>
    <row r="324" spans="1:21" x14ac:dyDescent="0.35">
      <c r="A324" t="s">
        <v>439</v>
      </c>
      <c r="B324" s="5">
        <v>45712</v>
      </c>
      <c r="C324" t="s">
        <v>73</v>
      </c>
      <c r="D324" t="s">
        <v>74</v>
      </c>
      <c r="E324" s="9">
        <v>1</v>
      </c>
      <c r="F324" s="10">
        <v>280</v>
      </c>
      <c r="G324" s="11">
        <v>0.1</v>
      </c>
      <c r="H324" s="10">
        <v>252</v>
      </c>
      <c r="I324" s="9">
        <v>0</v>
      </c>
      <c r="J324" s="10">
        <v>0</v>
      </c>
      <c r="K324" s="9">
        <v>1</v>
      </c>
      <c r="L324" s="10">
        <v>252</v>
      </c>
      <c r="M324" s="10">
        <v>180.51</v>
      </c>
      <c r="N324" s="10">
        <v>71.489999999999995</v>
      </c>
      <c r="O324" s="11">
        <f t="shared" si="14"/>
        <v>0.28369047619047616</v>
      </c>
      <c r="P324" s="10">
        <v>15.67</v>
      </c>
      <c r="Q324" s="10">
        <v>55.82</v>
      </c>
      <c r="R324" s="11">
        <f t="shared" si="15"/>
        <v>0.22150793650793651</v>
      </c>
      <c r="S324" t="s">
        <v>59</v>
      </c>
      <c r="T324" t="s">
        <v>82</v>
      </c>
      <c r="U324" t="s">
        <v>67</v>
      </c>
    </row>
    <row r="325" spans="1:21" x14ac:dyDescent="0.35">
      <c r="A325" t="s">
        <v>440</v>
      </c>
      <c r="B325" s="5">
        <v>45710</v>
      </c>
      <c r="C325" t="s">
        <v>56</v>
      </c>
      <c r="D325" t="s">
        <v>57</v>
      </c>
      <c r="E325" s="9">
        <v>3</v>
      </c>
      <c r="F325" s="10">
        <v>40</v>
      </c>
      <c r="G325" s="11">
        <v>0</v>
      </c>
      <c r="H325" s="10">
        <v>120</v>
      </c>
      <c r="I325" s="9">
        <v>0</v>
      </c>
      <c r="J325" s="10">
        <v>0</v>
      </c>
      <c r="K325" s="9">
        <v>3</v>
      </c>
      <c r="L325" s="10">
        <v>120</v>
      </c>
      <c r="M325" s="10">
        <v>92.85</v>
      </c>
      <c r="N325" s="10">
        <v>27.15</v>
      </c>
      <c r="O325" s="11">
        <f t="shared" si="14"/>
        <v>0.22624999999999998</v>
      </c>
      <c r="P325" s="10">
        <v>11.79</v>
      </c>
      <c r="Q325" s="10">
        <v>15.36</v>
      </c>
      <c r="R325" s="11">
        <f t="shared" si="15"/>
        <v>0.128</v>
      </c>
      <c r="S325" t="s">
        <v>59</v>
      </c>
      <c r="T325" t="s">
        <v>66</v>
      </c>
      <c r="U325" t="s">
        <v>67</v>
      </c>
    </row>
    <row r="326" spans="1:21" x14ac:dyDescent="0.35">
      <c r="A326" t="s">
        <v>441</v>
      </c>
      <c r="B326" s="5">
        <v>45805</v>
      </c>
      <c r="C326" t="s">
        <v>107</v>
      </c>
      <c r="D326" t="s">
        <v>74</v>
      </c>
      <c r="E326" s="9">
        <v>4</v>
      </c>
      <c r="F326" s="10">
        <v>125</v>
      </c>
      <c r="G326" s="11">
        <v>0.1</v>
      </c>
      <c r="H326" s="10">
        <v>450</v>
      </c>
      <c r="I326" s="9">
        <v>0</v>
      </c>
      <c r="J326" s="10">
        <v>0</v>
      </c>
      <c r="K326" s="9">
        <v>4</v>
      </c>
      <c r="L326" s="10">
        <v>450</v>
      </c>
      <c r="M326" s="10">
        <v>328.03</v>
      </c>
      <c r="N326" s="10">
        <v>121.97</v>
      </c>
      <c r="O326" s="11">
        <f t="shared" si="14"/>
        <v>0.27104444444444442</v>
      </c>
      <c r="P326" s="10">
        <v>42.47</v>
      </c>
      <c r="Q326" s="10">
        <v>79.5</v>
      </c>
      <c r="R326" s="11">
        <f t="shared" si="15"/>
        <v>0.17666666666666667</v>
      </c>
      <c r="S326" t="s">
        <v>65</v>
      </c>
      <c r="T326" t="s">
        <v>82</v>
      </c>
      <c r="U326" t="s">
        <v>71</v>
      </c>
    </row>
    <row r="327" spans="1:21" x14ac:dyDescent="0.35">
      <c r="A327" t="s">
        <v>442</v>
      </c>
      <c r="B327" s="5">
        <v>45862</v>
      </c>
      <c r="C327" t="s">
        <v>78</v>
      </c>
      <c r="D327" t="s">
        <v>79</v>
      </c>
      <c r="E327" s="9">
        <v>4</v>
      </c>
      <c r="F327" s="10">
        <v>120</v>
      </c>
      <c r="G327" s="11">
        <v>0.05</v>
      </c>
      <c r="H327" s="10">
        <v>456</v>
      </c>
      <c r="I327" s="9">
        <v>0</v>
      </c>
      <c r="J327" s="10">
        <v>0</v>
      </c>
      <c r="K327" s="9">
        <v>4</v>
      </c>
      <c r="L327" s="10">
        <v>456</v>
      </c>
      <c r="M327" s="10">
        <v>370.71</v>
      </c>
      <c r="N327" s="10">
        <v>85.29</v>
      </c>
      <c r="O327" s="11">
        <f t="shared" ref="O327:O358" si="16">N327/L327</f>
        <v>0.18703947368421053</v>
      </c>
      <c r="P327" s="10">
        <v>41.78</v>
      </c>
      <c r="Q327" s="10">
        <v>43.51</v>
      </c>
      <c r="R327" s="11">
        <f t="shared" ref="R327:R358" si="17">Q327/L327</f>
        <v>9.5416666666666664E-2</v>
      </c>
      <c r="S327" t="s">
        <v>59</v>
      </c>
      <c r="T327" t="s">
        <v>60</v>
      </c>
      <c r="U327" t="s">
        <v>61</v>
      </c>
    </row>
    <row r="328" spans="1:21" x14ac:dyDescent="0.35">
      <c r="A328" t="s">
        <v>443</v>
      </c>
      <c r="B328" s="5">
        <v>46018</v>
      </c>
      <c r="C328" t="s">
        <v>78</v>
      </c>
      <c r="D328" t="s">
        <v>79</v>
      </c>
      <c r="E328" s="9">
        <v>2</v>
      </c>
      <c r="F328" s="10">
        <v>120</v>
      </c>
      <c r="G328" s="11">
        <v>0</v>
      </c>
      <c r="H328" s="10">
        <v>240</v>
      </c>
      <c r="I328" s="9">
        <v>0</v>
      </c>
      <c r="J328" s="10">
        <v>0</v>
      </c>
      <c r="K328" s="9">
        <v>2</v>
      </c>
      <c r="L328" s="10">
        <v>240</v>
      </c>
      <c r="M328" s="10">
        <v>199.6</v>
      </c>
      <c r="N328" s="10">
        <v>40.4</v>
      </c>
      <c r="O328" s="11">
        <f t="shared" si="16"/>
        <v>0.16833333333333333</v>
      </c>
      <c r="P328" s="10">
        <v>25.86</v>
      </c>
      <c r="Q328" s="10">
        <v>14.54</v>
      </c>
      <c r="R328" s="11">
        <f t="shared" si="17"/>
        <v>6.0583333333333329E-2</v>
      </c>
      <c r="S328" t="s">
        <v>65</v>
      </c>
      <c r="T328" t="s">
        <v>66</v>
      </c>
      <c r="U328" t="s">
        <v>76</v>
      </c>
    </row>
    <row r="329" spans="1:21" x14ac:dyDescent="0.35">
      <c r="A329" t="s">
        <v>444</v>
      </c>
      <c r="B329" s="5">
        <v>45963</v>
      </c>
      <c r="C329" t="s">
        <v>107</v>
      </c>
      <c r="D329" t="s">
        <v>74</v>
      </c>
      <c r="E329" s="9">
        <v>3</v>
      </c>
      <c r="F329" s="10">
        <v>125</v>
      </c>
      <c r="G329" s="11">
        <v>0</v>
      </c>
      <c r="H329" s="10">
        <v>375</v>
      </c>
      <c r="I329" s="9">
        <v>0</v>
      </c>
      <c r="J329" s="10">
        <v>0</v>
      </c>
      <c r="K329" s="9">
        <v>3</v>
      </c>
      <c r="L329" s="10">
        <v>375</v>
      </c>
      <c r="M329" s="10">
        <v>257.36</v>
      </c>
      <c r="N329" s="10">
        <v>117.64</v>
      </c>
      <c r="O329" s="11">
        <f t="shared" si="16"/>
        <v>0.31370666666666669</v>
      </c>
      <c r="P329" s="10">
        <v>20.63</v>
      </c>
      <c r="Q329" s="10">
        <v>97.01</v>
      </c>
      <c r="R329" s="11">
        <f t="shared" si="17"/>
        <v>0.25869333333333333</v>
      </c>
      <c r="S329" t="s">
        <v>65</v>
      </c>
      <c r="T329" t="s">
        <v>66</v>
      </c>
      <c r="U329" t="s">
        <v>71</v>
      </c>
    </row>
    <row r="330" spans="1:21" x14ac:dyDescent="0.35">
      <c r="A330" t="s">
        <v>445</v>
      </c>
      <c r="B330" s="5">
        <v>45794</v>
      </c>
      <c r="C330" t="s">
        <v>125</v>
      </c>
      <c r="D330" t="s">
        <v>85</v>
      </c>
      <c r="E330" s="9">
        <v>8</v>
      </c>
      <c r="F330" s="10">
        <v>125</v>
      </c>
      <c r="G330" s="11">
        <v>0</v>
      </c>
      <c r="H330" s="10">
        <v>1000</v>
      </c>
      <c r="I330" s="9">
        <v>0</v>
      </c>
      <c r="J330" s="10">
        <v>0</v>
      </c>
      <c r="K330" s="9">
        <v>8</v>
      </c>
      <c r="L330" s="10">
        <v>1000</v>
      </c>
      <c r="M330" s="10">
        <v>843.41</v>
      </c>
      <c r="N330" s="10">
        <v>156.59</v>
      </c>
      <c r="O330" s="11">
        <f t="shared" si="16"/>
        <v>0.15659000000000001</v>
      </c>
      <c r="P330" s="10">
        <v>60.39</v>
      </c>
      <c r="Q330" s="10">
        <v>96.2</v>
      </c>
      <c r="R330" s="11">
        <f t="shared" si="17"/>
        <v>9.6200000000000008E-2</v>
      </c>
      <c r="S330" t="s">
        <v>59</v>
      </c>
      <c r="T330" t="s">
        <v>82</v>
      </c>
      <c r="U330" t="s">
        <v>61</v>
      </c>
    </row>
    <row r="331" spans="1:21" x14ac:dyDescent="0.35">
      <c r="A331" t="s">
        <v>446</v>
      </c>
      <c r="B331" s="5">
        <v>45836</v>
      </c>
      <c r="C331" t="s">
        <v>63</v>
      </c>
      <c r="D331" t="s">
        <v>64</v>
      </c>
      <c r="E331" s="9">
        <v>5</v>
      </c>
      <c r="F331" s="10">
        <v>145</v>
      </c>
      <c r="G331" s="11">
        <v>0.1</v>
      </c>
      <c r="H331" s="10">
        <v>652.5</v>
      </c>
      <c r="I331" s="9">
        <v>0</v>
      </c>
      <c r="J331" s="10">
        <v>0</v>
      </c>
      <c r="K331" s="9">
        <v>5</v>
      </c>
      <c r="L331" s="10">
        <v>652.5</v>
      </c>
      <c r="M331" s="10">
        <v>472.49</v>
      </c>
      <c r="N331" s="10">
        <v>180.01</v>
      </c>
      <c r="O331" s="11">
        <f t="shared" si="16"/>
        <v>0.27587739463601529</v>
      </c>
      <c r="P331" s="10">
        <v>52.32</v>
      </c>
      <c r="Q331" s="10">
        <v>127.69</v>
      </c>
      <c r="R331" s="11">
        <f t="shared" si="17"/>
        <v>0.19569348659003832</v>
      </c>
      <c r="S331" t="s">
        <v>75</v>
      </c>
      <c r="T331" t="s">
        <v>66</v>
      </c>
      <c r="U331" t="s">
        <v>71</v>
      </c>
    </row>
    <row r="332" spans="1:21" x14ac:dyDescent="0.35">
      <c r="A332" t="s">
        <v>447</v>
      </c>
      <c r="B332" s="5">
        <v>45892</v>
      </c>
      <c r="C332" t="s">
        <v>114</v>
      </c>
      <c r="D332" t="s">
        <v>64</v>
      </c>
      <c r="E332" s="9">
        <v>8</v>
      </c>
      <c r="F332" s="10">
        <v>420</v>
      </c>
      <c r="G332" s="11">
        <v>0.05</v>
      </c>
      <c r="H332" s="10">
        <v>3192</v>
      </c>
      <c r="I332" s="9">
        <v>0</v>
      </c>
      <c r="J332" s="10">
        <v>0</v>
      </c>
      <c r="K332" s="9">
        <v>8</v>
      </c>
      <c r="L332" s="10">
        <v>3192</v>
      </c>
      <c r="M332" s="10">
        <v>2496.79</v>
      </c>
      <c r="N332" s="10">
        <v>695.21</v>
      </c>
      <c r="O332" s="11">
        <f t="shared" si="16"/>
        <v>0.21779761904761905</v>
      </c>
      <c r="P332" s="10">
        <v>224.52</v>
      </c>
      <c r="Q332" s="10">
        <v>470.69</v>
      </c>
      <c r="R332" s="11">
        <f t="shared" si="17"/>
        <v>0.1474592731829574</v>
      </c>
      <c r="S332" t="s">
        <v>75</v>
      </c>
      <c r="T332" t="s">
        <v>66</v>
      </c>
      <c r="U332" t="s">
        <v>67</v>
      </c>
    </row>
    <row r="333" spans="1:21" x14ac:dyDescent="0.35">
      <c r="A333" t="s">
        <v>448</v>
      </c>
      <c r="B333" s="5">
        <v>45868</v>
      </c>
      <c r="C333" t="s">
        <v>69</v>
      </c>
      <c r="D333" t="s">
        <v>70</v>
      </c>
      <c r="E333" s="9">
        <v>1</v>
      </c>
      <c r="F333" s="10">
        <v>210</v>
      </c>
      <c r="G333" s="11">
        <v>0.02</v>
      </c>
      <c r="H333" s="10">
        <v>205.8</v>
      </c>
      <c r="I333" s="9">
        <v>0</v>
      </c>
      <c r="J333" s="10">
        <v>0</v>
      </c>
      <c r="K333" s="9">
        <v>1</v>
      </c>
      <c r="L333" s="10">
        <v>205.8</v>
      </c>
      <c r="M333" s="10">
        <v>174.22</v>
      </c>
      <c r="N333" s="10">
        <v>31.58</v>
      </c>
      <c r="O333" s="11">
        <f t="shared" si="16"/>
        <v>0.15344995140913506</v>
      </c>
      <c r="P333" s="10">
        <v>18.12</v>
      </c>
      <c r="Q333" s="10">
        <v>13.46</v>
      </c>
      <c r="R333" s="11">
        <f t="shared" si="17"/>
        <v>6.5403304178814389E-2</v>
      </c>
      <c r="S333" t="s">
        <v>65</v>
      </c>
      <c r="T333" t="s">
        <v>66</v>
      </c>
      <c r="U333" t="s">
        <v>71</v>
      </c>
    </row>
    <row r="334" spans="1:21" x14ac:dyDescent="0.35">
      <c r="A334" t="s">
        <v>449</v>
      </c>
      <c r="B334" s="5">
        <v>45803</v>
      </c>
      <c r="C334" t="s">
        <v>107</v>
      </c>
      <c r="D334" t="s">
        <v>74</v>
      </c>
      <c r="E334" s="9">
        <v>2</v>
      </c>
      <c r="F334" s="10">
        <v>125</v>
      </c>
      <c r="G334" s="11">
        <v>0.15</v>
      </c>
      <c r="H334" s="10">
        <v>212.5</v>
      </c>
      <c r="I334" s="9">
        <v>0</v>
      </c>
      <c r="J334" s="10">
        <v>0</v>
      </c>
      <c r="K334" s="9">
        <v>2</v>
      </c>
      <c r="L334" s="10">
        <v>212.5</v>
      </c>
      <c r="M334" s="10">
        <v>157.27000000000001</v>
      </c>
      <c r="N334" s="10">
        <v>55.23</v>
      </c>
      <c r="O334" s="11">
        <f t="shared" si="16"/>
        <v>0.25990588235294115</v>
      </c>
      <c r="P334" s="10">
        <v>18.41</v>
      </c>
      <c r="Q334" s="10">
        <v>36.82</v>
      </c>
      <c r="R334" s="11">
        <f t="shared" si="17"/>
        <v>0.17327058823529412</v>
      </c>
      <c r="S334" t="s">
        <v>65</v>
      </c>
      <c r="T334" t="s">
        <v>82</v>
      </c>
      <c r="U334" t="s">
        <v>76</v>
      </c>
    </row>
    <row r="335" spans="1:21" x14ac:dyDescent="0.35">
      <c r="A335" t="s">
        <v>450</v>
      </c>
      <c r="B335" s="5">
        <v>45673</v>
      </c>
      <c r="C335" t="s">
        <v>69</v>
      </c>
      <c r="D335" t="s">
        <v>70</v>
      </c>
      <c r="E335" s="9">
        <v>1</v>
      </c>
      <c r="F335" s="10">
        <v>210</v>
      </c>
      <c r="G335" s="11">
        <v>0.1</v>
      </c>
      <c r="H335" s="10">
        <v>189</v>
      </c>
      <c r="I335" s="9">
        <v>0</v>
      </c>
      <c r="J335" s="10">
        <v>0</v>
      </c>
      <c r="K335" s="9">
        <v>1</v>
      </c>
      <c r="L335" s="10">
        <v>189</v>
      </c>
      <c r="M335" s="10">
        <v>125.62</v>
      </c>
      <c r="N335" s="10">
        <v>63.38</v>
      </c>
      <c r="O335" s="11">
        <f t="shared" si="16"/>
        <v>0.33534391534391533</v>
      </c>
      <c r="P335" s="10">
        <v>15.74</v>
      </c>
      <c r="Q335" s="10">
        <v>47.64</v>
      </c>
      <c r="R335" s="11">
        <f t="shared" si="17"/>
        <v>0.25206349206349205</v>
      </c>
      <c r="S335" t="s">
        <v>75</v>
      </c>
      <c r="T335" t="s">
        <v>66</v>
      </c>
      <c r="U335" t="s">
        <v>71</v>
      </c>
    </row>
    <row r="336" spans="1:21" x14ac:dyDescent="0.35">
      <c r="A336" t="s">
        <v>451</v>
      </c>
      <c r="B336" s="5">
        <v>45873</v>
      </c>
      <c r="C336" t="s">
        <v>264</v>
      </c>
      <c r="D336" t="s">
        <v>85</v>
      </c>
      <c r="E336" s="9">
        <v>4</v>
      </c>
      <c r="F336" s="10">
        <v>20</v>
      </c>
      <c r="G336" s="11">
        <v>0.02</v>
      </c>
      <c r="H336" s="10">
        <v>78.400000000000006</v>
      </c>
      <c r="I336" s="9">
        <v>0</v>
      </c>
      <c r="J336" s="10">
        <v>0</v>
      </c>
      <c r="K336" s="9">
        <v>4</v>
      </c>
      <c r="L336" s="10">
        <v>78.400000000000006</v>
      </c>
      <c r="M336" s="10">
        <v>63.59</v>
      </c>
      <c r="N336" s="10">
        <v>14.81</v>
      </c>
      <c r="O336" s="11">
        <f t="shared" si="16"/>
        <v>0.1889030612244898</v>
      </c>
      <c r="P336" s="10">
        <v>4.1500000000000004</v>
      </c>
      <c r="Q336" s="10">
        <v>10.66</v>
      </c>
      <c r="R336" s="11">
        <f t="shared" si="17"/>
        <v>0.13596938775510203</v>
      </c>
      <c r="S336" t="s">
        <v>65</v>
      </c>
      <c r="T336" t="s">
        <v>60</v>
      </c>
      <c r="U336" t="s">
        <v>61</v>
      </c>
    </row>
    <row r="337" spans="1:21" x14ac:dyDescent="0.35">
      <c r="A337" t="s">
        <v>452</v>
      </c>
      <c r="B337" s="5">
        <v>45722</v>
      </c>
      <c r="C337" t="s">
        <v>78</v>
      </c>
      <c r="D337" t="s">
        <v>79</v>
      </c>
      <c r="E337" s="9">
        <v>4</v>
      </c>
      <c r="F337" s="10">
        <v>120</v>
      </c>
      <c r="G337" s="11">
        <v>0.15</v>
      </c>
      <c r="H337" s="10">
        <v>408</v>
      </c>
      <c r="I337" s="9">
        <v>0</v>
      </c>
      <c r="J337" s="10">
        <v>0</v>
      </c>
      <c r="K337" s="9">
        <v>4</v>
      </c>
      <c r="L337" s="10">
        <v>408</v>
      </c>
      <c r="M337" s="10">
        <v>258.07</v>
      </c>
      <c r="N337" s="10">
        <v>149.93</v>
      </c>
      <c r="O337" s="11">
        <f t="shared" si="16"/>
        <v>0.36747549019607845</v>
      </c>
      <c r="P337" s="10">
        <v>35.68</v>
      </c>
      <c r="Q337" s="10">
        <v>114.25</v>
      </c>
      <c r="R337" s="11">
        <f t="shared" si="17"/>
        <v>0.28002450980392157</v>
      </c>
      <c r="S337" t="s">
        <v>65</v>
      </c>
      <c r="T337" t="s">
        <v>66</v>
      </c>
      <c r="U337" t="s">
        <v>61</v>
      </c>
    </row>
    <row r="338" spans="1:21" x14ac:dyDescent="0.35">
      <c r="A338" t="s">
        <v>453</v>
      </c>
      <c r="B338" s="5">
        <v>45710</v>
      </c>
      <c r="C338" t="s">
        <v>264</v>
      </c>
      <c r="D338" t="s">
        <v>85</v>
      </c>
      <c r="E338" s="9">
        <v>2</v>
      </c>
      <c r="F338" s="10">
        <v>20</v>
      </c>
      <c r="G338" s="11">
        <v>0</v>
      </c>
      <c r="H338" s="10">
        <v>40</v>
      </c>
      <c r="I338" s="9">
        <v>0</v>
      </c>
      <c r="J338" s="10">
        <v>0</v>
      </c>
      <c r="K338" s="9">
        <v>2</v>
      </c>
      <c r="L338" s="10">
        <v>40</v>
      </c>
      <c r="M338" s="10">
        <v>25.87</v>
      </c>
      <c r="N338" s="10">
        <v>14.13</v>
      </c>
      <c r="O338" s="11">
        <f t="shared" si="16"/>
        <v>0.35325000000000001</v>
      </c>
      <c r="P338" s="10">
        <v>2.86</v>
      </c>
      <c r="Q338" s="10">
        <v>11.27</v>
      </c>
      <c r="R338" s="11">
        <f t="shared" si="17"/>
        <v>0.28175</v>
      </c>
      <c r="S338" t="s">
        <v>81</v>
      </c>
      <c r="T338" t="s">
        <v>82</v>
      </c>
      <c r="U338" t="s">
        <v>67</v>
      </c>
    </row>
    <row r="339" spans="1:21" x14ac:dyDescent="0.35">
      <c r="A339" t="s">
        <v>454</v>
      </c>
      <c r="B339" s="5">
        <v>45768</v>
      </c>
      <c r="C339" t="s">
        <v>125</v>
      </c>
      <c r="D339" t="s">
        <v>85</v>
      </c>
      <c r="E339" s="9">
        <v>6</v>
      </c>
      <c r="F339" s="10">
        <v>125</v>
      </c>
      <c r="G339" s="11">
        <v>0.05</v>
      </c>
      <c r="H339" s="10">
        <v>712.5</v>
      </c>
      <c r="I339" s="9">
        <v>0</v>
      </c>
      <c r="J339" s="10">
        <v>0</v>
      </c>
      <c r="K339" s="9">
        <v>6</v>
      </c>
      <c r="L339" s="10">
        <v>712.5</v>
      </c>
      <c r="M339" s="10">
        <v>563.04999999999995</v>
      </c>
      <c r="N339" s="10">
        <v>149.44999999999999</v>
      </c>
      <c r="O339" s="11">
        <f t="shared" si="16"/>
        <v>0.20975438596491228</v>
      </c>
      <c r="P339" s="10">
        <v>37.42</v>
      </c>
      <c r="Q339" s="10">
        <v>112.03</v>
      </c>
      <c r="R339" s="11">
        <f t="shared" si="17"/>
        <v>0.15723508771929826</v>
      </c>
      <c r="S339" t="s">
        <v>81</v>
      </c>
      <c r="T339" t="s">
        <v>66</v>
      </c>
      <c r="U339" t="s">
        <v>61</v>
      </c>
    </row>
    <row r="340" spans="1:21" x14ac:dyDescent="0.35">
      <c r="A340" t="s">
        <v>455</v>
      </c>
      <c r="B340" s="5">
        <v>45997</v>
      </c>
      <c r="C340" t="s">
        <v>104</v>
      </c>
      <c r="D340" t="s">
        <v>105</v>
      </c>
      <c r="E340" s="9">
        <v>1</v>
      </c>
      <c r="F340" s="10">
        <v>65</v>
      </c>
      <c r="G340" s="11">
        <v>0</v>
      </c>
      <c r="H340" s="10">
        <v>65</v>
      </c>
      <c r="I340" s="9">
        <v>0</v>
      </c>
      <c r="J340" s="10">
        <v>0</v>
      </c>
      <c r="K340" s="9">
        <v>1</v>
      </c>
      <c r="L340" s="10">
        <v>65</v>
      </c>
      <c r="M340" s="10">
        <v>55.33</v>
      </c>
      <c r="N340" s="10">
        <v>9.67</v>
      </c>
      <c r="O340" s="11">
        <f t="shared" si="16"/>
        <v>0.14876923076923076</v>
      </c>
      <c r="P340" s="10">
        <v>6.77</v>
      </c>
      <c r="Q340" s="10">
        <v>2.9</v>
      </c>
      <c r="R340" s="11">
        <f t="shared" si="17"/>
        <v>4.4615384615384612E-2</v>
      </c>
      <c r="S340" t="s">
        <v>59</v>
      </c>
      <c r="T340" t="s">
        <v>86</v>
      </c>
      <c r="U340" t="s">
        <v>61</v>
      </c>
    </row>
    <row r="341" spans="1:21" x14ac:dyDescent="0.35">
      <c r="A341" t="s">
        <v>456</v>
      </c>
      <c r="B341" s="5">
        <v>45832</v>
      </c>
      <c r="C341" t="s">
        <v>73</v>
      </c>
      <c r="D341" t="s">
        <v>74</v>
      </c>
      <c r="E341" s="9">
        <v>1</v>
      </c>
      <c r="F341" s="10">
        <v>280</v>
      </c>
      <c r="G341" s="11">
        <v>0</v>
      </c>
      <c r="H341" s="10">
        <v>280</v>
      </c>
      <c r="I341" s="9">
        <v>0</v>
      </c>
      <c r="J341" s="10">
        <v>0</v>
      </c>
      <c r="K341" s="9">
        <v>1</v>
      </c>
      <c r="L341" s="10">
        <v>280</v>
      </c>
      <c r="M341" s="10">
        <v>231.2</v>
      </c>
      <c r="N341" s="10">
        <v>48.8</v>
      </c>
      <c r="O341" s="11">
        <f t="shared" si="16"/>
        <v>0.17428571428571427</v>
      </c>
      <c r="P341" s="10">
        <v>15.71</v>
      </c>
      <c r="Q341" s="10">
        <v>33.090000000000003</v>
      </c>
      <c r="R341" s="11">
        <f t="shared" si="17"/>
        <v>0.11817857142857144</v>
      </c>
      <c r="S341" t="s">
        <v>81</v>
      </c>
      <c r="T341" t="s">
        <v>66</v>
      </c>
      <c r="U341" t="s">
        <v>71</v>
      </c>
    </row>
    <row r="342" spans="1:21" x14ac:dyDescent="0.35">
      <c r="A342" t="s">
        <v>457</v>
      </c>
      <c r="B342" s="5">
        <v>45901</v>
      </c>
      <c r="C342" t="s">
        <v>125</v>
      </c>
      <c r="D342" t="s">
        <v>85</v>
      </c>
      <c r="E342" s="9">
        <v>2</v>
      </c>
      <c r="F342" s="10">
        <v>125</v>
      </c>
      <c r="G342" s="11">
        <v>0</v>
      </c>
      <c r="H342" s="10">
        <v>250</v>
      </c>
      <c r="I342" s="9">
        <v>0</v>
      </c>
      <c r="J342" s="10">
        <v>0</v>
      </c>
      <c r="K342" s="9">
        <v>2</v>
      </c>
      <c r="L342" s="10">
        <v>250</v>
      </c>
      <c r="M342" s="10">
        <v>172.6</v>
      </c>
      <c r="N342" s="10">
        <v>77.400000000000006</v>
      </c>
      <c r="O342" s="11">
        <f t="shared" si="16"/>
        <v>0.30960000000000004</v>
      </c>
      <c r="P342" s="10">
        <v>22.86</v>
      </c>
      <c r="Q342" s="10">
        <v>54.54</v>
      </c>
      <c r="R342" s="11">
        <f t="shared" si="17"/>
        <v>0.21815999999999999</v>
      </c>
      <c r="S342" t="s">
        <v>75</v>
      </c>
      <c r="T342" t="s">
        <v>82</v>
      </c>
      <c r="U342" t="s">
        <v>61</v>
      </c>
    </row>
    <row r="343" spans="1:21" x14ac:dyDescent="0.35">
      <c r="A343" t="s">
        <v>458</v>
      </c>
      <c r="B343" s="5">
        <v>45817</v>
      </c>
      <c r="C343" t="s">
        <v>117</v>
      </c>
      <c r="D343" t="s">
        <v>74</v>
      </c>
      <c r="E343" s="9">
        <v>3</v>
      </c>
      <c r="F343" s="10">
        <v>95</v>
      </c>
      <c r="G343" s="11">
        <v>0.02</v>
      </c>
      <c r="H343" s="10">
        <v>279.3</v>
      </c>
      <c r="I343" s="9">
        <v>0</v>
      </c>
      <c r="J343" s="10">
        <v>0</v>
      </c>
      <c r="K343" s="9">
        <v>3</v>
      </c>
      <c r="L343" s="10">
        <v>279.3</v>
      </c>
      <c r="M343" s="10">
        <v>209.93</v>
      </c>
      <c r="N343" s="10">
        <v>69.37</v>
      </c>
      <c r="O343" s="11">
        <f t="shared" si="16"/>
        <v>0.24837092731829574</v>
      </c>
      <c r="P343" s="10">
        <v>29.06</v>
      </c>
      <c r="Q343" s="10">
        <v>40.31</v>
      </c>
      <c r="R343" s="11">
        <f t="shared" si="17"/>
        <v>0.14432509846043681</v>
      </c>
      <c r="S343" t="s">
        <v>59</v>
      </c>
      <c r="T343" t="s">
        <v>86</v>
      </c>
      <c r="U343" t="s">
        <v>67</v>
      </c>
    </row>
    <row r="344" spans="1:21" x14ac:dyDescent="0.35">
      <c r="A344" t="s">
        <v>459</v>
      </c>
      <c r="B344" s="5">
        <v>45883</v>
      </c>
      <c r="C344" t="s">
        <v>88</v>
      </c>
      <c r="D344" t="s">
        <v>57</v>
      </c>
      <c r="E344" s="9">
        <v>1</v>
      </c>
      <c r="F344" s="10">
        <v>30</v>
      </c>
      <c r="G344" s="11">
        <v>0</v>
      </c>
      <c r="H344" s="10">
        <v>30</v>
      </c>
      <c r="I344" s="9">
        <v>0</v>
      </c>
      <c r="J344" s="10">
        <v>0</v>
      </c>
      <c r="K344" s="9">
        <v>1</v>
      </c>
      <c r="L344" s="10">
        <v>30</v>
      </c>
      <c r="M344" s="10">
        <v>25.08</v>
      </c>
      <c r="N344" s="10">
        <v>4.92</v>
      </c>
      <c r="O344" s="11">
        <f t="shared" si="16"/>
        <v>0.16400000000000001</v>
      </c>
      <c r="P344" s="10">
        <v>3.75</v>
      </c>
      <c r="Q344" s="10">
        <v>1.17</v>
      </c>
      <c r="R344" s="11">
        <f t="shared" si="17"/>
        <v>3.9E-2</v>
      </c>
      <c r="S344" t="s">
        <v>65</v>
      </c>
      <c r="T344" t="s">
        <v>66</v>
      </c>
      <c r="U344" t="s">
        <v>76</v>
      </c>
    </row>
    <row r="345" spans="1:21" x14ac:dyDescent="0.35">
      <c r="A345" t="s">
        <v>460</v>
      </c>
      <c r="B345" s="5">
        <v>45988</v>
      </c>
      <c r="C345" t="s">
        <v>69</v>
      </c>
      <c r="D345" t="s">
        <v>70</v>
      </c>
      <c r="E345" s="9">
        <v>1</v>
      </c>
      <c r="F345" s="10">
        <v>210</v>
      </c>
      <c r="G345" s="11">
        <v>0.15</v>
      </c>
      <c r="H345" s="10">
        <v>178.5</v>
      </c>
      <c r="I345" s="9">
        <v>0</v>
      </c>
      <c r="J345" s="10">
        <v>0</v>
      </c>
      <c r="K345" s="9">
        <v>1</v>
      </c>
      <c r="L345" s="10">
        <v>178.5</v>
      </c>
      <c r="M345" s="10">
        <v>151.06</v>
      </c>
      <c r="N345" s="10">
        <v>27.44</v>
      </c>
      <c r="O345" s="11">
        <f t="shared" si="16"/>
        <v>0.15372549019607845</v>
      </c>
      <c r="P345" s="10">
        <v>23.08</v>
      </c>
      <c r="Q345" s="10">
        <v>4.3600000000000003</v>
      </c>
      <c r="R345" s="11">
        <f t="shared" si="17"/>
        <v>2.4425770308123252E-2</v>
      </c>
      <c r="S345" t="s">
        <v>59</v>
      </c>
      <c r="T345" t="s">
        <v>86</v>
      </c>
      <c r="U345" t="s">
        <v>61</v>
      </c>
    </row>
    <row r="346" spans="1:21" x14ac:dyDescent="0.35">
      <c r="A346" t="s">
        <v>461</v>
      </c>
      <c r="B346" s="5">
        <v>45958</v>
      </c>
      <c r="C346" t="s">
        <v>97</v>
      </c>
      <c r="D346" t="s">
        <v>57</v>
      </c>
      <c r="E346" s="9">
        <v>1</v>
      </c>
      <c r="F346" s="10">
        <v>55</v>
      </c>
      <c r="G346" s="11">
        <v>0.05</v>
      </c>
      <c r="H346" s="10">
        <v>52.25</v>
      </c>
      <c r="I346" s="9">
        <v>0</v>
      </c>
      <c r="J346" s="10">
        <v>0</v>
      </c>
      <c r="K346" s="9">
        <v>1</v>
      </c>
      <c r="L346" s="10">
        <v>52.25</v>
      </c>
      <c r="M346" s="10">
        <v>40.17</v>
      </c>
      <c r="N346" s="10">
        <v>12.08</v>
      </c>
      <c r="O346" s="11">
        <f t="shared" si="16"/>
        <v>0.23119617224880382</v>
      </c>
      <c r="P346" s="10">
        <v>6.15</v>
      </c>
      <c r="Q346" s="10">
        <v>5.93</v>
      </c>
      <c r="R346" s="11">
        <f t="shared" si="17"/>
        <v>0.11349282296650717</v>
      </c>
      <c r="S346" t="s">
        <v>59</v>
      </c>
      <c r="T346" t="s">
        <v>60</v>
      </c>
      <c r="U346" t="s">
        <v>67</v>
      </c>
    </row>
    <row r="347" spans="1:21" x14ac:dyDescent="0.35">
      <c r="A347" t="s">
        <v>462</v>
      </c>
      <c r="B347" s="5">
        <v>45709</v>
      </c>
      <c r="C347" t="s">
        <v>88</v>
      </c>
      <c r="D347" t="s">
        <v>57</v>
      </c>
      <c r="E347" s="9">
        <v>4</v>
      </c>
      <c r="F347" s="10">
        <v>30</v>
      </c>
      <c r="G347" s="11">
        <v>0</v>
      </c>
      <c r="H347" s="10">
        <v>120</v>
      </c>
      <c r="I347" s="9">
        <v>0</v>
      </c>
      <c r="J347" s="10">
        <v>0</v>
      </c>
      <c r="K347" s="9">
        <v>4</v>
      </c>
      <c r="L347" s="10">
        <v>120</v>
      </c>
      <c r="M347" s="10">
        <v>93.81</v>
      </c>
      <c r="N347" s="10">
        <v>26.19</v>
      </c>
      <c r="O347" s="11">
        <f t="shared" si="16"/>
        <v>0.21825</v>
      </c>
      <c r="P347" s="10">
        <v>9.31</v>
      </c>
      <c r="Q347" s="10">
        <v>16.88</v>
      </c>
      <c r="R347" s="11">
        <f t="shared" si="17"/>
        <v>0.14066666666666666</v>
      </c>
      <c r="S347" t="s">
        <v>81</v>
      </c>
      <c r="T347" t="s">
        <v>86</v>
      </c>
      <c r="U347" t="s">
        <v>71</v>
      </c>
    </row>
    <row r="348" spans="1:21" x14ac:dyDescent="0.35">
      <c r="A348" t="s">
        <v>463</v>
      </c>
      <c r="B348" s="5">
        <v>46018</v>
      </c>
      <c r="C348" t="s">
        <v>73</v>
      </c>
      <c r="D348" t="s">
        <v>74</v>
      </c>
      <c r="E348" s="9">
        <v>1</v>
      </c>
      <c r="F348" s="10">
        <v>280</v>
      </c>
      <c r="G348" s="11">
        <v>0.02</v>
      </c>
      <c r="H348" s="10">
        <v>274.39999999999998</v>
      </c>
      <c r="I348" s="9">
        <v>0</v>
      </c>
      <c r="J348" s="10">
        <v>0</v>
      </c>
      <c r="K348" s="9">
        <v>1</v>
      </c>
      <c r="L348" s="10">
        <v>274.39999999999998</v>
      </c>
      <c r="M348" s="10">
        <v>215.57</v>
      </c>
      <c r="N348" s="10">
        <v>58.83</v>
      </c>
      <c r="O348" s="11">
        <f t="shared" si="16"/>
        <v>0.21439504373177845</v>
      </c>
      <c r="P348" s="10">
        <v>24.64</v>
      </c>
      <c r="Q348" s="10">
        <v>34.19</v>
      </c>
      <c r="R348" s="11">
        <f t="shared" si="17"/>
        <v>0.12459912536443149</v>
      </c>
      <c r="S348" t="s">
        <v>59</v>
      </c>
      <c r="T348" t="s">
        <v>86</v>
      </c>
      <c r="U348" t="s">
        <v>71</v>
      </c>
    </row>
    <row r="349" spans="1:21" x14ac:dyDescent="0.35">
      <c r="A349" t="s">
        <v>464</v>
      </c>
      <c r="B349" s="5">
        <v>45951</v>
      </c>
      <c r="C349" t="s">
        <v>114</v>
      </c>
      <c r="D349" t="s">
        <v>64</v>
      </c>
      <c r="E349" s="9">
        <v>8</v>
      </c>
      <c r="F349" s="10">
        <v>420</v>
      </c>
      <c r="G349" s="11">
        <v>0</v>
      </c>
      <c r="H349" s="10">
        <v>3360</v>
      </c>
      <c r="I349" s="9">
        <v>0</v>
      </c>
      <c r="J349" s="10">
        <v>0</v>
      </c>
      <c r="K349" s="9">
        <v>8</v>
      </c>
      <c r="L349" s="10">
        <v>3360</v>
      </c>
      <c r="M349" s="10">
        <v>2278.2600000000002</v>
      </c>
      <c r="N349" s="10">
        <v>1081.74</v>
      </c>
      <c r="O349" s="11">
        <f t="shared" si="16"/>
        <v>0.32194642857142858</v>
      </c>
      <c r="P349" s="10">
        <v>350.68</v>
      </c>
      <c r="Q349" s="10">
        <v>731.06</v>
      </c>
      <c r="R349" s="11">
        <f t="shared" si="17"/>
        <v>0.21757738095238094</v>
      </c>
      <c r="S349" t="s">
        <v>81</v>
      </c>
      <c r="T349" t="s">
        <v>82</v>
      </c>
      <c r="U349" t="s">
        <v>71</v>
      </c>
    </row>
    <row r="350" spans="1:21" x14ac:dyDescent="0.35">
      <c r="A350" t="s">
        <v>465</v>
      </c>
      <c r="B350" s="5">
        <v>45665</v>
      </c>
      <c r="C350" t="s">
        <v>78</v>
      </c>
      <c r="D350" t="s">
        <v>79</v>
      </c>
      <c r="E350" s="9">
        <v>3</v>
      </c>
      <c r="F350" s="10">
        <v>120</v>
      </c>
      <c r="G350" s="11">
        <v>0</v>
      </c>
      <c r="H350" s="10">
        <v>360</v>
      </c>
      <c r="I350" s="9">
        <v>0</v>
      </c>
      <c r="J350" s="10">
        <v>0</v>
      </c>
      <c r="K350" s="9">
        <v>3</v>
      </c>
      <c r="L350" s="10">
        <v>360</v>
      </c>
      <c r="M350" s="10">
        <v>262.82</v>
      </c>
      <c r="N350" s="10">
        <v>97.18</v>
      </c>
      <c r="O350" s="11">
        <f t="shared" si="16"/>
        <v>0.26994444444444449</v>
      </c>
      <c r="P350" s="10">
        <v>42.88</v>
      </c>
      <c r="Q350" s="10">
        <v>54.3</v>
      </c>
      <c r="R350" s="11">
        <f t="shared" si="17"/>
        <v>0.15083333333333332</v>
      </c>
      <c r="S350" t="s">
        <v>65</v>
      </c>
      <c r="T350" t="s">
        <v>66</v>
      </c>
      <c r="U350" t="s">
        <v>76</v>
      </c>
    </row>
    <row r="351" spans="1:21" x14ac:dyDescent="0.35">
      <c r="A351" t="s">
        <v>466</v>
      </c>
      <c r="B351" s="5">
        <v>45727</v>
      </c>
      <c r="C351" t="s">
        <v>69</v>
      </c>
      <c r="D351" t="s">
        <v>70</v>
      </c>
      <c r="E351" s="9">
        <v>5</v>
      </c>
      <c r="F351" s="10">
        <v>210</v>
      </c>
      <c r="G351" s="11">
        <v>0.15</v>
      </c>
      <c r="H351" s="10">
        <v>892.5</v>
      </c>
      <c r="I351" s="9">
        <v>0</v>
      </c>
      <c r="J351" s="10">
        <v>0</v>
      </c>
      <c r="K351" s="9">
        <v>5</v>
      </c>
      <c r="L351" s="10">
        <v>892.5</v>
      </c>
      <c r="M351" s="10">
        <v>723.24</v>
      </c>
      <c r="N351" s="10">
        <v>169.26</v>
      </c>
      <c r="O351" s="11">
        <f t="shared" si="16"/>
        <v>0.18964705882352939</v>
      </c>
      <c r="P351" s="10">
        <v>61.9</v>
      </c>
      <c r="Q351" s="10">
        <v>107.36</v>
      </c>
      <c r="R351" s="11">
        <f t="shared" si="17"/>
        <v>0.12029131652661064</v>
      </c>
      <c r="S351" t="s">
        <v>75</v>
      </c>
      <c r="T351" t="s">
        <v>86</v>
      </c>
      <c r="U351" t="s">
        <v>61</v>
      </c>
    </row>
    <row r="352" spans="1:21" x14ac:dyDescent="0.35">
      <c r="A352" t="s">
        <v>467</v>
      </c>
      <c r="B352" s="5">
        <v>46014</v>
      </c>
      <c r="C352" t="s">
        <v>95</v>
      </c>
      <c r="D352" t="s">
        <v>64</v>
      </c>
      <c r="E352" s="9">
        <v>3</v>
      </c>
      <c r="F352" s="10">
        <v>52</v>
      </c>
      <c r="G352" s="11">
        <v>0</v>
      </c>
      <c r="H352" s="10">
        <v>156</v>
      </c>
      <c r="I352" s="9">
        <v>0</v>
      </c>
      <c r="J352" s="10">
        <v>0</v>
      </c>
      <c r="K352" s="9">
        <v>3</v>
      </c>
      <c r="L352" s="10">
        <v>156</v>
      </c>
      <c r="M352" s="10">
        <v>132.4</v>
      </c>
      <c r="N352" s="10">
        <v>23.6</v>
      </c>
      <c r="O352" s="11">
        <f t="shared" si="16"/>
        <v>0.1512820512820513</v>
      </c>
      <c r="P352" s="10">
        <v>10.53</v>
      </c>
      <c r="Q352" s="10">
        <v>13.07</v>
      </c>
      <c r="R352" s="11">
        <f t="shared" si="17"/>
        <v>8.3782051282051281E-2</v>
      </c>
      <c r="S352" t="s">
        <v>75</v>
      </c>
      <c r="T352" t="s">
        <v>82</v>
      </c>
      <c r="U352" t="s">
        <v>76</v>
      </c>
    </row>
    <row r="353" spans="1:21" x14ac:dyDescent="0.35">
      <c r="A353" t="s">
        <v>468</v>
      </c>
      <c r="B353" s="5">
        <v>46011</v>
      </c>
      <c r="C353" t="s">
        <v>109</v>
      </c>
      <c r="D353" t="s">
        <v>85</v>
      </c>
      <c r="E353" s="9">
        <v>4</v>
      </c>
      <c r="F353" s="10">
        <v>180</v>
      </c>
      <c r="G353" s="11">
        <v>0.15</v>
      </c>
      <c r="H353" s="10">
        <v>612</v>
      </c>
      <c r="I353" s="9">
        <v>0</v>
      </c>
      <c r="J353" s="10">
        <v>0</v>
      </c>
      <c r="K353" s="9">
        <v>4</v>
      </c>
      <c r="L353" s="10">
        <v>612</v>
      </c>
      <c r="M353" s="10">
        <v>407.36</v>
      </c>
      <c r="N353" s="10">
        <v>204.64</v>
      </c>
      <c r="O353" s="11">
        <f t="shared" si="16"/>
        <v>0.33437908496732022</v>
      </c>
      <c r="P353" s="10">
        <v>75.05</v>
      </c>
      <c r="Q353" s="10">
        <v>129.59</v>
      </c>
      <c r="R353" s="11">
        <f t="shared" si="17"/>
        <v>0.2117483660130719</v>
      </c>
      <c r="S353" t="s">
        <v>75</v>
      </c>
      <c r="T353" t="s">
        <v>60</v>
      </c>
      <c r="U353" t="s">
        <v>76</v>
      </c>
    </row>
    <row r="354" spans="1:21" x14ac:dyDescent="0.35">
      <c r="A354" t="s">
        <v>469</v>
      </c>
      <c r="B354" s="5">
        <v>45751</v>
      </c>
      <c r="C354" t="s">
        <v>117</v>
      </c>
      <c r="D354" t="s">
        <v>74</v>
      </c>
      <c r="E354" s="9">
        <v>10</v>
      </c>
      <c r="F354" s="10">
        <v>95</v>
      </c>
      <c r="G354" s="11">
        <v>0.05</v>
      </c>
      <c r="H354" s="10">
        <v>902.5</v>
      </c>
      <c r="I354" s="9">
        <v>0</v>
      </c>
      <c r="J354" s="10">
        <v>0</v>
      </c>
      <c r="K354" s="9">
        <v>10</v>
      </c>
      <c r="L354" s="10">
        <v>902.5</v>
      </c>
      <c r="M354" s="10">
        <v>594.57000000000005</v>
      </c>
      <c r="N354" s="10">
        <v>307.93</v>
      </c>
      <c r="O354" s="11">
        <f t="shared" si="16"/>
        <v>0.34119667590027702</v>
      </c>
      <c r="P354" s="10">
        <v>96.99</v>
      </c>
      <c r="Q354" s="10">
        <v>210.94</v>
      </c>
      <c r="R354" s="11">
        <f t="shared" si="17"/>
        <v>0.23372853185595568</v>
      </c>
      <c r="S354" t="s">
        <v>75</v>
      </c>
      <c r="T354" t="s">
        <v>60</v>
      </c>
      <c r="U354" t="s">
        <v>76</v>
      </c>
    </row>
    <row r="355" spans="1:21" x14ac:dyDescent="0.35">
      <c r="A355" t="s">
        <v>470</v>
      </c>
      <c r="B355" s="5">
        <v>45731</v>
      </c>
      <c r="C355" t="s">
        <v>107</v>
      </c>
      <c r="D355" t="s">
        <v>74</v>
      </c>
      <c r="E355" s="9">
        <v>1</v>
      </c>
      <c r="F355" s="10">
        <v>125</v>
      </c>
      <c r="G355" s="11">
        <v>0.02</v>
      </c>
      <c r="H355" s="10">
        <v>122.5</v>
      </c>
      <c r="I355" s="9">
        <v>0</v>
      </c>
      <c r="J355" s="10">
        <v>0</v>
      </c>
      <c r="K355" s="9">
        <v>1</v>
      </c>
      <c r="L355" s="10">
        <v>122.5</v>
      </c>
      <c r="M355" s="10">
        <v>98.64</v>
      </c>
      <c r="N355" s="10">
        <v>23.86</v>
      </c>
      <c r="O355" s="11">
        <f t="shared" si="16"/>
        <v>0.19477551020408163</v>
      </c>
      <c r="P355" s="10">
        <v>6.24</v>
      </c>
      <c r="Q355" s="10">
        <v>17.62</v>
      </c>
      <c r="R355" s="11">
        <f t="shared" si="17"/>
        <v>0.14383673469387756</v>
      </c>
      <c r="S355" t="s">
        <v>65</v>
      </c>
      <c r="T355" t="s">
        <v>66</v>
      </c>
      <c r="U355" t="s">
        <v>61</v>
      </c>
    </row>
    <row r="356" spans="1:21" x14ac:dyDescent="0.35">
      <c r="A356" t="s">
        <v>471</v>
      </c>
      <c r="B356" s="5">
        <v>45748</v>
      </c>
      <c r="C356" t="s">
        <v>84</v>
      </c>
      <c r="D356" t="s">
        <v>85</v>
      </c>
      <c r="E356" s="9">
        <v>5</v>
      </c>
      <c r="F356" s="10">
        <v>48</v>
      </c>
      <c r="G356" s="11">
        <v>0</v>
      </c>
      <c r="H356" s="10">
        <v>240</v>
      </c>
      <c r="I356" s="9">
        <v>0</v>
      </c>
      <c r="J356" s="10">
        <v>0</v>
      </c>
      <c r="K356" s="9">
        <v>5</v>
      </c>
      <c r="L356" s="10">
        <v>240</v>
      </c>
      <c r="M356" s="10">
        <v>195.35</v>
      </c>
      <c r="N356" s="10">
        <v>44.65</v>
      </c>
      <c r="O356" s="11">
        <f t="shared" si="16"/>
        <v>0.18604166666666666</v>
      </c>
      <c r="P356" s="10">
        <v>21.88</v>
      </c>
      <c r="Q356" s="10">
        <v>22.77</v>
      </c>
      <c r="R356" s="11">
        <f t="shared" si="17"/>
        <v>9.4875000000000001E-2</v>
      </c>
      <c r="S356" t="s">
        <v>81</v>
      </c>
      <c r="T356" t="s">
        <v>66</v>
      </c>
      <c r="U356" t="s">
        <v>76</v>
      </c>
    </row>
    <row r="357" spans="1:21" x14ac:dyDescent="0.35">
      <c r="A357" t="s">
        <v>472</v>
      </c>
      <c r="B357" s="5">
        <v>45691</v>
      </c>
      <c r="C357" t="s">
        <v>95</v>
      </c>
      <c r="D357" t="s">
        <v>64</v>
      </c>
      <c r="E357" s="9">
        <v>6</v>
      </c>
      <c r="F357" s="10">
        <v>52</v>
      </c>
      <c r="G357" s="11">
        <v>0</v>
      </c>
      <c r="H357" s="10">
        <v>312</v>
      </c>
      <c r="I357" s="9">
        <v>0</v>
      </c>
      <c r="J357" s="10">
        <v>0</v>
      </c>
      <c r="K357" s="9">
        <v>6</v>
      </c>
      <c r="L357" s="10">
        <v>312</v>
      </c>
      <c r="M357" s="10">
        <v>260.94</v>
      </c>
      <c r="N357" s="10">
        <v>51.06</v>
      </c>
      <c r="O357" s="11">
        <f t="shared" si="16"/>
        <v>0.16365384615384615</v>
      </c>
      <c r="P357" s="10">
        <v>40.31</v>
      </c>
      <c r="Q357" s="10">
        <v>10.75</v>
      </c>
      <c r="R357" s="11">
        <f t="shared" si="17"/>
        <v>3.4455128205128208E-2</v>
      </c>
      <c r="S357" t="s">
        <v>59</v>
      </c>
      <c r="T357" t="s">
        <v>66</v>
      </c>
      <c r="U357" t="s">
        <v>61</v>
      </c>
    </row>
    <row r="358" spans="1:21" x14ac:dyDescent="0.35">
      <c r="A358" t="s">
        <v>473</v>
      </c>
      <c r="B358" s="5">
        <v>45748</v>
      </c>
      <c r="C358" t="s">
        <v>56</v>
      </c>
      <c r="D358" t="s">
        <v>57</v>
      </c>
      <c r="E358" s="9">
        <v>2</v>
      </c>
      <c r="F358" s="10">
        <v>40</v>
      </c>
      <c r="G358" s="11">
        <v>0</v>
      </c>
      <c r="H358" s="10">
        <v>80</v>
      </c>
      <c r="I358" s="9">
        <v>0</v>
      </c>
      <c r="J358" s="10">
        <v>0</v>
      </c>
      <c r="K358" s="9">
        <v>2</v>
      </c>
      <c r="L358" s="10">
        <v>80</v>
      </c>
      <c r="M358" s="10">
        <v>64.08</v>
      </c>
      <c r="N358" s="10">
        <v>15.92</v>
      </c>
      <c r="O358" s="11">
        <f t="shared" si="16"/>
        <v>0.19900000000000001</v>
      </c>
      <c r="P358" s="10">
        <v>10.09</v>
      </c>
      <c r="Q358" s="10">
        <v>5.83</v>
      </c>
      <c r="R358" s="11">
        <f t="shared" si="17"/>
        <v>7.2874999999999995E-2</v>
      </c>
      <c r="S358" t="s">
        <v>81</v>
      </c>
      <c r="T358" t="s">
        <v>82</v>
      </c>
      <c r="U358" t="s">
        <v>67</v>
      </c>
    </row>
    <row r="359" spans="1:21" x14ac:dyDescent="0.35">
      <c r="A359" t="s">
        <v>474</v>
      </c>
      <c r="B359" s="5">
        <v>45914</v>
      </c>
      <c r="C359" t="s">
        <v>78</v>
      </c>
      <c r="D359" t="s">
        <v>79</v>
      </c>
      <c r="E359" s="9">
        <v>10</v>
      </c>
      <c r="F359" s="10">
        <v>120</v>
      </c>
      <c r="G359" s="11">
        <v>0</v>
      </c>
      <c r="H359" s="10">
        <v>1200</v>
      </c>
      <c r="I359" s="9">
        <v>0</v>
      </c>
      <c r="J359" s="10">
        <v>0</v>
      </c>
      <c r="K359" s="9">
        <v>10</v>
      </c>
      <c r="L359" s="10">
        <v>1200</v>
      </c>
      <c r="M359" s="10">
        <v>909.27</v>
      </c>
      <c r="N359" s="10">
        <v>290.73</v>
      </c>
      <c r="O359" s="11">
        <f t="shared" ref="O359:O387" si="18">N359/L359</f>
        <v>0.24227500000000002</v>
      </c>
      <c r="P359" s="10">
        <v>141.34</v>
      </c>
      <c r="Q359" s="10">
        <v>149.38999999999999</v>
      </c>
      <c r="R359" s="11">
        <f t="shared" ref="R359:R387" si="19">Q359/L359</f>
        <v>0.12449166666666665</v>
      </c>
      <c r="S359" t="s">
        <v>81</v>
      </c>
      <c r="T359" t="s">
        <v>82</v>
      </c>
      <c r="U359" t="s">
        <v>67</v>
      </c>
    </row>
    <row r="360" spans="1:21" x14ac:dyDescent="0.35">
      <c r="A360" t="s">
        <v>475</v>
      </c>
      <c r="B360" s="5">
        <v>45935</v>
      </c>
      <c r="C360" t="s">
        <v>104</v>
      </c>
      <c r="D360" t="s">
        <v>105</v>
      </c>
      <c r="E360" s="9">
        <v>1</v>
      </c>
      <c r="F360" s="10">
        <v>65</v>
      </c>
      <c r="G360" s="11">
        <v>0</v>
      </c>
      <c r="H360" s="10">
        <v>65</v>
      </c>
      <c r="I360" s="9">
        <v>0</v>
      </c>
      <c r="J360" s="10">
        <v>0</v>
      </c>
      <c r="K360" s="9">
        <v>1</v>
      </c>
      <c r="L360" s="10">
        <v>65</v>
      </c>
      <c r="M360" s="10">
        <v>43.75</v>
      </c>
      <c r="N360" s="10">
        <v>21.25</v>
      </c>
      <c r="O360" s="11">
        <f t="shared" si="18"/>
        <v>0.32692307692307693</v>
      </c>
      <c r="P360" s="10">
        <v>3.44</v>
      </c>
      <c r="Q360" s="10">
        <v>17.809999999999999</v>
      </c>
      <c r="R360" s="11">
        <f t="shared" si="19"/>
        <v>0.27399999999999997</v>
      </c>
      <c r="S360" t="s">
        <v>81</v>
      </c>
      <c r="T360" t="s">
        <v>86</v>
      </c>
      <c r="U360" t="s">
        <v>67</v>
      </c>
    </row>
    <row r="361" spans="1:21" x14ac:dyDescent="0.35">
      <c r="A361" t="s">
        <v>476</v>
      </c>
      <c r="B361" s="5">
        <v>45939</v>
      </c>
      <c r="C361" t="s">
        <v>97</v>
      </c>
      <c r="D361" t="s">
        <v>57</v>
      </c>
      <c r="E361" s="9">
        <v>8</v>
      </c>
      <c r="F361" s="10">
        <v>55</v>
      </c>
      <c r="G361" s="11">
        <v>0.02</v>
      </c>
      <c r="H361" s="10">
        <v>431.2</v>
      </c>
      <c r="I361" s="9">
        <v>0</v>
      </c>
      <c r="J361" s="10">
        <v>0</v>
      </c>
      <c r="K361" s="9">
        <v>8</v>
      </c>
      <c r="L361" s="10">
        <v>431.2</v>
      </c>
      <c r="M361" s="10">
        <v>312.52999999999997</v>
      </c>
      <c r="N361" s="10">
        <v>118.67</v>
      </c>
      <c r="O361" s="11">
        <f t="shared" si="18"/>
        <v>0.27520871985157702</v>
      </c>
      <c r="P361" s="10">
        <v>39.380000000000003</v>
      </c>
      <c r="Q361" s="10">
        <v>79.290000000000006</v>
      </c>
      <c r="R361" s="11">
        <f t="shared" si="19"/>
        <v>0.18388218923933211</v>
      </c>
      <c r="S361" t="s">
        <v>59</v>
      </c>
      <c r="T361" t="s">
        <v>60</v>
      </c>
      <c r="U361" t="s">
        <v>67</v>
      </c>
    </row>
    <row r="362" spans="1:21" x14ac:dyDescent="0.35">
      <c r="A362" t="s">
        <v>477</v>
      </c>
      <c r="B362" s="5">
        <v>46019</v>
      </c>
      <c r="C362" t="s">
        <v>56</v>
      </c>
      <c r="D362" t="s">
        <v>57</v>
      </c>
      <c r="E362" s="9">
        <v>6</v>
      </c>
      <c r="F362" s="10">
        <v>40</v>
      </c>
      <c r="G362" s="11">
        <v>0.1</v>
      </c>
      <c r="H362" s="10">
        <v>216</v>
      </c>
      <c r="I362" s="9">
        <v>0</v>
      </c>
      <c r="J362" s="10">
        <v>0</v>
      </c>
      <c r="K362" s="9">
        <v>6</v>
      </c>
      <c r="L362" s="10">
        <v>216</v>
      </c>
      <c r="M362" s="10">
        <v>180.19</v>
      </c>
      <c r="N362" s="10">
        <v>35.81</v>
      </c>
      <c r="O362" s="11">
        <f t="shared" si="18"/>
        <v>0.16578703703703704</v>
      </c>
      <c r="P362" s="10">
        <v>24.28</v>
      </c>
      <c r="Q362" s="10">
        <v>11.53</v>
      </c>
      <c r="R362" s="11">
        <f t="shared" si="19"/>
        <v>5.3379629629629624E-2</v>
      </c>
      <c r="S362" t="s">
        <v>65</v>
      </c>
      <c r="T362" t="s">
        <v>60</v>
      </c>
      <c r="U362" t="s">
        <v>71</v>
      </c>
    </row>
    <row r="363" spans="1:21" x14ac:dyDescent="0.35">
      <c r="A363" t="s">
        <v>478</v>
      </c>
      <c r="B363" s="5">
        <v>45981</v>
      </c>
      <c r="C363" t="s">
        <v>104</v>
      </c>
      <c r="D363" t="s">
        <v>105</v>
      </c>
      <c r="E363" s="9">
        <v>1</v>
      </c>
      <c r="F363" s="10">
        <v>65</v>
      </c>
      <c r="G363" s="11">
        <v>0</v>
      </c>
      <c r="H363" s="10">
        <v>65</v>
      </c>
      <c r="I363" s="9">
        <v>0</v>
      </c>
      <c r="J363" s="10">
        <v>0</v>
      </c>
      <c r="K363" s="9">
        <v>1</v>
      </c>
      <c r="L363" s="10">
        <v>65</v>
      </c>
      <c r="M363" s="10">
        <v>44.91</v>
      </c>
      <c r="N363" s="10">
        <v>20.09</v>
      </c>
      <c r="O363" s="11">
        <f t="shared" si="18"/>
        <v>0.30907692307692308</v>
      </c>
      <c r="P363" s="10">
        <v>3.42</v>
      </c>
      <c r="Q363" s="10">
        <v>16.670000000000002</v>
      </c>
      <c r="R363" s="11">
        <f t="shared" si="19"/>
        <v>0.25646153846153846</v>
      </c>
      <c r="S363" t="s">
        <v>81</v>
      </c>
      <c r="T363" t="s">
        <v>60</v>
      </c>
      <c r="U363" t="s">
        <v>76</v>
      </c>
    </row>
    <row r="364" spans="1:21" x14ac:dyDescent="0.35">
      <c r="A364" t="s">
        <v>479</v>
      </c>
      <c r="B364" s="5">
        <v>45681</v>
      </c>
      <c r="C364" t="s">
        <v>125</v>
      </c>
      <c r="D364" t="s">
        <v>85</v>
      </c>
      <c r="E364" s="9">
        <v>3</v>
      </c>
      <c r="F364" s="10">
        <v>125</v>
      </c>
      <c r="G364" s="11">
        <v>0</v>
      </c>
      <c r="H364" s="10">
        <v>375</v>
      </c>
      <c r="I364" s="9">
        <v>0</v>
      </c>
      <c r="J364" s="10">
        <v>0</v>
      </c>
      <c r="K364" s="9">
        <v>3</v>
      </c>
      <c r="L364" s="10">
        <v>375</v>
      </c>
      <c r="M364" s="10">
        <v>306.91000000000003</v>
      </c>
      <c r="N364" s="10">
        <v>68.09</v>
      </c>
      <c r="O364" s="11">
        <f t="shared" si="18"/>
        <v>0.18157333333333334</v>
      </c>
      <c r="P364" s="10">
        <v>40.549999999999997</v>
      </c>
      <c r="Q364" s="10">
        <v>27.54</v>
      </c>
      <c r="R364" s="11">
        <f t="shared" si="19"/>
        <v>7.3439999999999991E-2</v>
      </c>
      <c r="S364" t="s">
        <v>65</v>
      </c>
      <c r="T364" t="s">
        <v>82</v>
      </c>
      <c r="U364" t="s">
        <v>61</v>
      </c>
    </row>
    <row r="365" spans="1:21" x14ac:dyDescent="0.35">
      <c r="A365" t="s">
        <v>480</v>
      </c>
      <c r="B365" s="5">
        <v>46008</v>
      </c>
      <c r="C365" t="s">
        <v>95</v>
      </c>
      <c r="D365" t="s">
        <v>64</v>
      </c>
      <c r="E365" s="9">
        <v>3</v>
      </c>
      <c r="F365" s="10">
        <v>52</v>
      </c>
      <c r="G365" s="11">
        <v>0</v>
      </c>
      <c r="H365" s="10">
        <v>156</v>
      </c>
      <c r="I365" s="9">
        <v>0</v>
      </c>
      <c r="J365" s="10">
        <v>0</v>
      </c>
      <c r="K365" s="9">
        <v>3</v>
      </c>
      <c r="L365" s="10">
        <v>156</v>
      </c>
      <c r="M365" s="10">
        <v>98.42</v>
      </c>
      <c r="N365" s="10">
        <v>57.58</v>
      </c>
      <c r="O365" s="11">
        <f t="shared" si="18"/>
        <v>0.36910256410256409</v>
      </c>
      <c r="P365" s="10">
        <v>19.420000000000002</v>
      </c>
      <c r="Q365" s="10">
        <v>38.159999999999997</v>
      </c>
      <c r="R365" s="11">
        <f t="shared" si="19"/>
        <v>0.2446153846153846</v>
      </c>
      <c r="S365" t="s">
        <v>81</v>
      </c>
      <c r="T365" t="s">
        <v>66</v>
      </c>
      <c r="U365" t="s">
        <v>71</v>
      </c>
    </row>
    <row r="366" spans="1:21" x14ac:dyDescent="0.35">
      <c r="A366" t="s">
        <v>481</v>
      </c>
      <c r="B366" s="5">
        <v>45760</v>
      </c>
      <c r="C366" t="s">
        <v>97</v>
      </c>
      <c r="D366" t="s">
        <v>57</v>
      </c>
      <c r="E366" s="9">
        <v>1</v>
      </c>
      <c r="F366" s="10">
        <v>55</v>
      </c>
      <c r="G366" s="11">
        <v>0</v>
      </c>
      <c r="H366" s="10">
        <v>55</v>
      </c>
      <c r="I366" s="9">
        <v>0</v>
      </c>
      <c r="J366" s="10">
        <v>0</v>
      </c>
      <c r="K366" s="9">
        <v>1</v>
      </c>
      <c r="L366" s="10">
        <v>55</v>
      </c>
      <c r="M366" s="10">
        <v>41</v>
      </c>
      <c r="N366" s="10">
        <v>14</v>
      </c>
      <c r="O366" s="11">
        <f t="shared" si="18"/>
        <v>0.25454545454545452</v>
      </c>
      <c r="P366" s="10">
        <v>7.03</v>
      </c>
      <c r="Q366" s="10">
        <v>6.97</v>
      </c>
      <c r="R366" s="11">
        <f t="shared" si="19"/>
        <v>0.12672727272727272</v>
      </c>
      <c r="S366" t="s">
        <v>81</v>
      </c>
      <c r="T366" t="s">
        <v>66</v>
      </c>
      <c r="U366" t="s">
        <v>67</v>
      </c>
    </row>
    <row r="367" spans="1:21" x14ac:dyDescent="0.35">
      <c r="A367" t="s">
        <v>482</v>
      </c>
      <c r="B367" s="5">
        <v>45896</v>
      </c>
      <c r="C367" t="s">
        <v>104</v>
      </c>
      <c r="D367" t="s">
        <v>105</v>
      </c>
      <c r="E367" s="9">
        <v>2</v>
      </c>
      <c r="F367" s="10">
        <v>65</v>
      </c>
      <c r="G367" s="11">
        <v>0</v>
      </c>
      <c r="H367" s="10">
        <v>130</v>
      </c>
      <c r="I367" s="9">
        <v>0</v>
      </c>
      <c r="J367" s="10">
        <v>0</v>
      </c>
      <c r="K367" s="9">
        <v>2</v>
      </c>
      <c r="L367" s="10">
        <v>130</v>
      </c>
      <c r="M367" s="10">
        <v>103.36</v>
      </c>
      <c r="N367" s="10">
        <v>26.64</v>
      </c>
      <c r="O367" s="11">
        <f t="shared" si="18"/>
        <v>0.20492307692307693</v>
      </c>
      <c r="P367" s="10">
        <v>8.83</v>
      </c>
      <c r="Q367" s="10">
        <v>17.809999999999999</v>
      </c>
      <c r="R367" s="11">
        <f t="shared" si="19"/>
        <v>0.13699999999999998</v>
      </c>
      <c r="S367" t="s">
        <v>75</v>
      </c>
      <c r="T367" t="s">
        <v>66</v>
      </c>
      <c r="U367" t="s">
        <v>67</v>
      </c>
    </row>
    <row r="368" spans="1:21" x14ac:dyDescent="0.35">
      <c r="A368" t="s">
        <v>483</v>
      </c>
      <c r="B368" s="5">
        <v>45704</v>
      </c>
      <c r="C368" t="s">
        <v>78</v>
      </c>
      <c r="D368" t="s">
        <v>79</v>
      </c>
      <c r="E368" s="9">
        <v>6</v>
      </c>
      <c r="F368" s="10">
        <v>120</v>
      </c>
      <c r="G368" s="11">
        <v>0.05</v>
      </c>
      <c r="H368" s="10">
        <v>684</v>
      </c>
      <c r="I368" s="9">
        <v>0</v>
      </c>
      <c r="J368" s="10">
        <v>0</v>
      </c>
      <c r="K368" s="9">
        <v>6</v>
      </c>
      <c r="L368" s="10">
        <v>684</v>
      </c>
      <c r="M368" s="10">
        <v>465.58</v>
      </c>
      <c r="N368" s="10">
        <v>218.42</v>
      </c>
      <c r="O368" s="11">
        <f t="shared" si="18"/>
        <v>0.31932748538011696</v>
      </c>
      <c r="P368" s="10">
        <v>41.06</v>
      </c>
      <c r="Q368" s="10">
        <v>177.36</v>
      </c>
      <c r="R368" s="11">
        <f t="shared" si="19"/>
        <v>0.25929824561403508</v>
      </c>
      <c r="S368" t="s">
        <v>81</v>
      </c>
      <c r="T368" t="s">
        <v>86</v>
      </c>
      <c r="U368" t="s">
        <v>76</v>
      </c>
    </row>
    <row r="369" spans="1:21" x14ac:dyDescent="0.35">
      <c r="A369" t="s">
        <v>484</v>
      </c>
      <c r="B369" s="5">
        <v>45944</v>
      </c>
      <c r="C369" t="s">
        <v>117</v>
      </c>
      <c r="D369" t="s">
        <v>74</v>
      </c>
      <c r="E369" s="9">
        <v>5</v>
      </c>
      <c r="F369" s="10">
        <v>95</v>
      </c>
      <c r="G369" s="11">
        <v>0</v>
      </c>
      <c r="H369" s="10">
        <v>475</v>
      </c>
      <c r="I369" s="9">
        <v>0</v>
      </c>
      <c r="J369" s="10">
        <v>0</v>
      </c>
      <c r="K369" s="9">
        <v>5</v>
      </c>
      <c r="L369" s="10">
        <v>475</v>
      </c>
      <c r="M369" s="10">
        <v>361.83</v>
      </c>
      <c r="N369" s="10">
        <v>113.17</v>
      </c>
      <c r="O369" s="11">
        <f t="shared" si="18"/>
        <v>0.23825263157894738</v>
      </c>
      <c r="P369" s="10">
        <v>26.73</v>
      </c>
      <c r="Q369" s="10">
        <v>86.44</v>
      </c>
      <c r="R369" s="11">
        <f t="shared" si="19"/>
        <v>0.18197894736842105</v>
      </c>
      <c r="S369" t="s">
        <v>81</v>
      </c>
      <c r="T369" t="s">
        <v>82</v>
      </c>
      <c r="U369" t="s">
        <v>61</v>
      </c>
    </row>
    <row r="370" spans="1:21" x14ac:dyDescent="0.35">
      <c r="A370" t="s">
        <v>485</v>
      </c>
      <c r="B370" s="5">
        <v>45981</v>
      </c>
      <c r="C370" t="s">
        <v>100</v>
      </c>
      <c r="D370" t="s">
        <v>64</v>
      </c>
      <c r="E370" s="9">
        <v>5</v>
      </c>
      <c r="F370" s="10">
        <v>310</v>
      </c>
      <c r="G370" s="11">
        <v>0.02</v>
      </c>
      <c r="H370" s="10">
        <v>1519</v>
      </c>
      <c r="I370" s="9">
        <v>0</v>
      </c>
      <c r="J370" s="10">
        <v>0</v>
      </c>
      <c r="K370" s="9">
        <v>5</v>
      </c>
      <c r="L370" s="10">
        <v>1519</v>
      </c>
      <c r="M370" s="10">
        <v>1288.92</v>
      </c>
      <c r="N370" s="10">
        <v>230.08</v>
      </c>
      <c r="O370" s="11">
        <f t="shared" si="18"/>
        <v>0.15146807109940752</v>
      </c>
      <c r="P370" s="10">
        <v>108.19</v>
      </c>
      <c r="Q370" s="10">
        <v>121.89</v>
      </c>
      <c r="R370" s="11">
        <f t="shared" si="19"/>
        <v>8.0243581303489145E-2</v>
      </c>
      <c r="S370" t="s">
        <v>65</v>
      </c>
      <c r="T370" t="s">
        <v>86</v>
      </c>
      <c r="U370" t="s">
        <v>76</v>
      </c>
    </row>
    <row r="371" spans="1:21" x14ac:dyDescent="0.35">
      <c r="A371" t="s">
        <v>486</v>
      </c>
      <c r="B371" s="5">
        <v>45745</v>
      </c>
      <c r="C371" t="s">
        <v>125</v>
      </c>
      <c r="D371" t="s">
        <v>85</v>
      </c>
      <c r="E371" s="9">
        <v>1</v>
      </c>
      <c r="F371" s="10">
        <v>125</v>
      </c>
      <c r="G371" s="11">
        <v>0</v>
      </c>
      <c r="H371" s="10">
        <v>125</v>
      </c>
      <c r="I371" s="9">
        <v>0</v>
      </c>
      <c r="J371" s="10">
        <v>0</v>
      </c>
      <c r="K371" s="9">
        <v>1</v>
      </c>
      <c r="L371" s="10">
        <v>125</v>
      </c>
      <c r="M371" s="10">
        <v>92.77</v>
      </c>
      <c r="N371" s="10">
        <v>32.229999999999997</v>
      </c>
      <c r="O371" s="11">
        <f t="shared" si="18"/>
        <v>0.25783999999999996</v>
      </c>
      <c r="P371" s="10">
        <v>15.58</v>
      </c>
      <c r="Q371" s="10">
        <v>16.649999999999999</v>
      </c>
      <c r="R371" s="11">
        <f t="shared" si="19"/>
        <v>0.13319999999999999</v>
      </c>
      <c r="S371" t="s">
        <v>81</v>
      </c>
      <c r="T371" t="s">
        <v>86</v>
      </c>
      <c r="U371" t="s">
        <v>76</v>
      </c>
    </row>
    <row r="372" spans="1:21" x14ac:dyDescent="0.35">
      <c r="A372" t="s">
        <v>487</v>
      </c>
      <c r="B372" s="5">
        <v>45738</v>
      </c>
      <c r="C372" t="s">
        <v>56</v>
      </c>
      <c r="D372" t="s">
        <v>57</v>
      </c>
      <c r="E372" s="9">
        <v>3</v>
      </c>
      <c r="F372" s="10">
        <v>40</v>
      </c>
      <c r="G372" s="11">
        <v>0.1</v>
      </c>
      <c r="H372" s="10">
        <v>108</v>
      </c>
      <c r="I372" s="9">
        <v>0</v>
      </c>
      <c r="J372" s="10">
        <v>0</v>
      </c>
      <c r="K372" s="9">
        <v>3</v>
      </c>
      <c r="L372" s="10">
        <v>108</v>
      </c>
      <c r="M372" s="10">
        <v>84.96</v>
      </c>
      <c r="N372" s="10">
        <v>23.04</v>
      </c>
      <c r="O372" s="11">
        <f t="shared" si="18"/>
        <v>0.21333333333333332</v>
      </c>
      <c r="P372" s="10">
        <v>12.85</v>
      </c>
      <c r="Q372" s="10">
        <v>10.19</v>
      </c>
      <c r="R372" s="11">
        <f t="shared" si="19"/>
        <v>9.4351851851851853E-2</v>
      </c>
      <c r="S372" t="s">
        <v>81</v>
      </c>
      <c r="T372" t="s">
        <v>60</v>
      </c>
      <c r="U372" t="s">
        <v>67</v>
      </c>
    </row>
    <row r="373" spans="1:21" x14ac:dyDescent="0.35">
      <c r="A373" t="s">
        <v>488</v>
      </c>
      <c r="B373" s="5">
        <v>45733</v>
      </c>
      <c r="C373" t="s">
        <v>97</v>
      </c>
      <c r="D373" t="s">
        <v>57</v>
      </c>
      <c r="E373" s="9">
        <v>2</v>
      </c>
      <c r="F373" s="10">
        <v>55</v>
      </c>
      <c r="G373" s="11">
        <v>0</v>
      </c>
      <c r="H373" s="10">
        <v>110</v>
      </c>
      <c r="I373" s="9">
        <v>0</v>
      </c>
      <c r="J373" s="10">
        <v>0</v>
      </c>
      <c r="K373" s="9">
        <v>2</v>
      </c>
      <c r="L373" s="10">
        <v>110</v>
      </c>
      <c r="M373" s="10">
        <v>94.03</v>
      </c>
      <c r="N373" s="10">
        <v>15.97</v>
      </c>
      <c r="O373" s="11">
        <f t="shared" si="18"/>
        <v>0.14518181818181819</v>
      </c>
      <c r="P373" s="10">
        <v>11.67</v>
      </c>
      <c r="Q373" s="10">
        <v>4.3</v>
      </c>
      <c r="R373" s="11">
        <f t="shared" si="19"/>
        <v>3.9090909090909086E-2</v>
      </c>
      <c r="S373" t="s">
        <v>65</v>
      </c>
      <c r="T373" t="s">
        <v>60</v>
      </c>
      <c r="U373" t="s">
        <v>67</v>
      </c>
    </row>
    <row r="374" spans="1:21" x14ac:dyDescent="0.35">
      <c r="A374" t="s">
        <v>489</v>
      </c>
      <c r="B374" s="5">
        <v>45996</v>
      </c>
      <c r="C374" t="s">
        <v>114</v>
      </c>
      <c r="D374" t="s">
        <v>64</v>
      </c>
      <c r="E374" s="9">
        <v>2</v>
      </c>
      <c r="F374" s="10">
        <v>420</v>
      </c>
      <c r="G374" s="11">
        <v>0</v>
      </c>
      <c r="H374" s="10">
        <v>840</v>
      </c>
      <c r="I374" s="9">
        <v>0</v>
      </c>
      <c r="J374" s="10">
        <v>0</v>
      </c>
      <c r="K374" s="9">
        <v>2</v>
      </c>
      <c r="L374" s="10">
        <v>840</v>
      </c>
      <c r="M374" s="10">
        <v>622.95000000000005</v>
      </c>
      <c r="N374" s="10">
        <v>217.05</v>
      </c>
      <c r="O374" s="11">
        <f t="shared" si="18"/>
        <v>0.25839285714285715</v>
      </c>
      <c r="P374" s="10">
        <v>102.92</v>
      </c>
      <c r="Q374" s="10">
        <v>114.13</v>
      </c>
      <c r="R374" s="11">
        <f t="shared" si="19"/>
        <v>0.13586904761904761</v>
      </c>
      <c r="S374" t="s">
        <v>59</v>
      </c>
      <c r="T374" t="s">
        <v>86</v>
      </c>
      <c r="U374" t="s">
        <v>76</v>
      </c>
    </row>
    <row r="375" spans="1:21" x14ac:dyDescent="0.35">
      <c r="A375" t="s">
        <v>490</v>
      </c>
      <c r="B375" s="5">
        <v>45996</v>
      </c>
      <c r="C375" t="s">
        <v>88</v>
      </c>
      <c r="D375" t="s">
        <v>57</v>
      </c>
      <c r="E375" s="9">
        <v>5</v>
      </c>
      <c r="F375" s="10">
        <v>30</v>
      </c>
      <c r="G375" s="11">
        <v>0.02</v>
      </c>
      <c r="H375" s="10">
        <v>147</v>
      </c>
      <c r="I375" s="9">
        <v>0</v>
      </c>
      <c r="J375" s="10">
        <v>0</v>
      </c>
      <c r="K375" s="9">
        <v>5</v>
      </c>
      <c r="L375" s="10">
        <v>147</v>
      </c>
      <c r="M375" s="10">
        <v>120.89</v>
      </c>
      <c r="N375" s="10">
        <v>26.11</v>
      </c>
      <c r="O375" s="11">
        <f t="shared" si="18"/>
        <v>0.17761904761904762</v>
      </c>
      <c r="P375" s="10">
        <v>13.92</v>
      </c>
      <c r="Q375" s="10">
        <v>12.19</v>
      </c>
      <c r="R375" s="11">
        <f t="shared" si="19"/>
        <v>8.2925170068027201E-2</v>
      </c>
      <c r="S375" t="s">
        <v>81</v>
      </c>
      <c r="T375" t="s">
        <v>66</v>
      </c>
      <c r="U375" t="s">
        <v>67</v>
      </c>
    </row>
    <row r="376" spans="1:21" x14ac:dyDescent="0.35">
      <c r="A376" t="s">
        <v>491</v>
      </c>
      <c r="B376" s="5">
        <v>45897</v>
      </c>
      <c r="C376" t="s">
        <v>107</v>
      </c>
      <c r="D376" t="s">
        <v>74</v>
      </c>
      <c r="E376" s="9">
        <v>3</v>
      </c>
      <c r="F376" s="10">
        <v>125</v>
      </c>
      <c r="G376" s="11">
        <v>0</v>
      </c>
      <c r="H376" s="10">
        <v>375</v>
      </c>
      <c r="I376" s="9">
        <v>0</v>
      </c>
      <c r="J376" s="10">
        <v>0</v>
      </c>
      <c r="K376" s="9">
        <v>3</v>
      </c>
      <c r="L376" s="10">
        <v>375</v>
      </c>
      <c r="M376" s="10">
        <v>260.3</v>
      </c>
      <c r="N376" s="10">
        <v>114.7</v>
      </c>
      <c r="O376" s="11">
        <f t="shared" si="18"/>
        <v>0.30586666666666668</v>
      </c>
      <c r="P376" s="10">
        <v>22.3</v>
      </c>
      <c r="Q376" s="10">
        <v>92.4</v>
      </c>
      <c r="R376" s="11">
        <f t="shared" si="19"/>
        <v>0.24640000000000001</v>
      </c>
      <c r="S376" t="s">
        <v>65</v>
      </c>
      <c r="T376" t="s">
        <v>82</v>
      </c>
      <c r="U376" t="s">
        <v>76</v>
      </c>
    </row>
    <row r="377" spans="1:21" x14ac:dyDescent="0.35">
      <c r="A377" t="s">
        <v>492</v>
      </c>
      <c r="B377" s="5">
        <v>45808</v>
      </c>
      <c r="C377" t="s">
        <v>92</v>
      </c>
      <c r="D377" t="s">
        <v>79</v>
      </c>
      <c r="E377" s="9">
        <v>2</v>
      </c>
      <c r="F377" s="10">
        <v>85</v>
      </c>
      <c r="G377" s="11">
        <v>0</v>
      </c>
      <c r="H377" s="10">
        <v>170</v>
      </c>
      <c r="I377" s="9">
        <v>0</v>
      </c>
      <c r="J377" s="10">
        <v>0</v>
      </c>
      <c r="K377" s="9">
        <v>2</v>
      </c>
      <c r="L377" s="10">
        <v>170</v>
      </c>
      <c r="M377" s="10">
        <v>140.69999999999999</v>
      </c>
      <c r="N377" s="10">
        <v>29.3</v>
      </c>
      <c r="O377" s="11">
        <f t="shared" si="18"/>
        <v>0.1723529411764706</v>
      </c>
      <c r="P377" s="10">
        <v>12.71</v>
      </c>
      <c r="Q377" s="10">
        <v>16.59</v>
      </c>
      <c r="R377" s="11">
        <f t="shared" si="19"/>
        <v>9.7588235294117642E-2</v>
      </c>
      <c r="S377" t="s">
        <v>81</v>
      </c>
      <c r="T377" t="s">
        <v>86</v>
      </c>
      <c r="U377" t="s">
        <v>71</v>
      </c>
    </row>
    <row r="378" spans="1:21" x14ac:dyDescent="0.35">
      <c r="A378" t="s">
        <v>493</v>
      </c>
      <c r="B378" s="5">
        <v>45740</v>
      </c>
      <c r="C378" t="s">
        <v>92</v>
      </c>
      <c r="D378" t="s">
        <v>79</v>
      </c>
      <c r="E378" s="9">
        <v>3</v>
      </c>
      <c r="F378" s="10">
        <v>85</v>
      </c>
      <c r="G378" s="11">
        <v>0</v>
      </c>
      <c r="H378" s="10">
        <v>255</v>
      </c>
      <c r="I378" s="9">
        <v>0</v>
      </c>
      <c r="J378" s="10">
        <v>0</v>
      </c>
      <c r="K378" s="9">
        <v>3</v>
      </c>
      <c r="L378" s="10">
        <v>255</v>
      </c>
      <c r="M378" s="10">
        <v>177.25</v>
      </c>
      <c r="N378" s="10">
        <v>77.75</v>
      </c>
      <c r="O378" s="11">
        <f t="shared" si="18"/>
        <v>0.30490196078431375</v>
      </c>
      <c r="P378" s="10">
        <v>30.1</v>
      </c>
      <c r="Q378" s="10">
        <v>47.65</v>
      </c>
      <c r="R378" s="11">
        <f t="shared" si="19"/>
        <v>0.18686274509803921</v>
      </c>
      <c r="S378" t="s">
        <v>59</v>
      </c>
      <c r="T378" t="s">
        <v>82</v>
      </c>
      <c r="U378" t="s">
        <v>61</v>
      </c>
    </row>
    <row r="379" spans="1:21" x14ac:dyDescent="0.35">
      <c r="A379" t="s">
        <v>494</v>
      </c>
      <c r="B379" s="5">
        <v>45797</v>
      </c>
      <c r="C379" t="s">
        <v>117</v>
      </c>
      <c r="D379" t="s">
        <v>74</v>
      </c>
      <c r="E379" s="9">
        <v>1</v>
      </c>
      <c r="F379" s="10">
        <v>95</v>
      </c>
      <c r="G379" s="11">
        <v>0</v>
      </c>
      <c r="H379" s="10">
        <v>95</v>
      </c>
      <c r="I379" s="9">
        <v>0</v>
      </c>
      <c r="J379" s="10">
        <v>0</v>
      </c>
      <c r="K379" s="9">
        <v>1</v>
      </c>
      <c r="L379" s="10">
        <v>95</v>
      </c>
      <c r="M379" s="10">
        <v>59.35</v>
      </c>
      <c r="N379" s="10">
        <v>35.65</v>
      </c>
      <c r="O379" s="11">
        <f t="shared" si="18"/>
        <v>0.37526315789473685</v>
      </c>
      <c r="P379" s="10">
        <v>6.2</v>
      </c>
      <c r="Q379" s="10">
        <v>29.45</v>
      </c>
      <c r="R379" s="11">
        <f t="shared" si="19"/>
        <v>0.31</v>
      </c>
      <c r="S379" t="s">
        <v>75</v>
      </c>
      <c r="T379" t="s">
        <v>82</v>
      </c>
      <c r="U379" t="s">
        <v>67</v>
      </c>
    </row>
    <row r="380" spans="1:21" x14ac:dyDescent="0.35">
      <c r="A380" t="s">
        <v>495</v>
      </c>
      <c r="B380" s="5">
        <v>45676</v>
      </c>
      <c r="C380" t="s">
        <v>125</v>
      </c>
      <c r="D380" t="s">
        <v>85</v>
      </c>
      <c r="E380" s="9">
        <v>4</v>
      </c>
      <c r="F380" s="10">
        <v>125</v>
      </c>
      <c r="G380" s="11">
        <v>0</v>
      </c>
      <c r="H380" s="10">
        <v>500</v>
      </c>
      <c r="I380" s="9">
        <v>0</v>
      </c>
      <c r="J380" s="10">
        <v>0</v>
      </c>
      <c r="K380" s="9">
        <v>4</v>
      </c>
      <c r="L380" s="10">
        <v>500</v>
      </c>
      <c r="M380" s="10">
        <v>318.2</v>
      </c>
      <c r="N380" s="10">
        <v>181.8</v>
      </c>
      <c r="O380" s="11">
        <f t="shared" si="18"/>
        <v>0.36360000000000003</v>
      </c>
      <c r="P380" s="10">
        <v>36.43</v>
      </c>
      <c r="Q380" s="10">
        <v>145.37</v>
      </c>
      <c r="R380" s="11">
        <f t="shared" si="19"/>
        <v>0.29074</v>
      </c>
      <c r="S380" t="s">
        <v>81</v>
      </c>
      <c r="T380" t="s">
        <v>66</v>
      </c>
      <c r="U380" t="s">
        <v>76</v>
      </c>
    </row>
    <row r="381" spans="1:21" x14ac:dyDescent="0.35">
      <c r="A381" t="s">
        <v>497</v>
      </c>
      <c r="B381" s="5">
        <v>45872</v>
      </c>
      <c r="C381" t="s">
        <v>100</v>
      </c>
      <c r="D381" t="s">
        <v>64</v>
      </c>
      <c r="E381" s="9">
        <v>1</v>
      </c>
      <c r="F381" s="10">
        <v>310</v>
      </c>
      <c r="G381" s="11">
        <v>0</v>
      </c>
      <c r="H381" s="10">
        <v>310</v>
      </c>
      <c r="I381" s="9">
        <v>0</v>
      </c>
      <c r="J381" s="10">
        <v>0</v>
      </c>
      <c r="K381" s="9">
        <v>1</v>
      </c>
      <c r="L381" s="10">
        <v>310</v>
      </c>
      <c r="M381" s="10">
        <v>265.26</v>
      </c>
      <c r="N381" s="10">
        <v>44.74</v>
      </c>
      <c r="O381" s="11">
        <f t="shared" si="18"/>
        <v>0.14432258064516129</v>
      </c>
      <c r="P381" s="10">
        <v>33.69</v>
      </c>
      <c r="Q381" s="10">
        <v>11.05</v>
      </c>
      <c r="R381" s="11">
        <f t="shared" si="19"/>
        <v>3.564516129032258E-2</v>
      </c>
      <c r="S381" t="s">
        <v>81</v>
      </c>
      <c r="T381" t="s">
        <v>60</v>
      </c>
      <c r="U381" t="s">
        <v>76</v>
      </c>
    </row>
    <row r="382" spans="1:21" x14ac:dyDescent="0.35">
      <c r="A382" t="s">
        <v>498</v>
      </c>
      <c r="B382" s="5">
        <v>45814</v>
      </c>
      <c r="C382" t="s">
        <v>104</v>
      </c>
      <c r="D382" t="s">
        <v>105</v>
      </c>
      <c r="E382" s="9">
        <v>2</v>
      </c>
      <c r="F382" s="10">
        <v>65</v>
      </c>
      <c r="G382" s="11">
        <v>0</v>
      </c>
      <c r="H382" s="10">
        <v>130</v>
      </c>
      <c r="I382" s="9">
        <v>0</v>
      </c>
      <c r="J382" s="10">
        <v>0</v>
      </c>
      <c r="K382" s="9">
        <v>2</v>
      </c>
      <c r="L382" s="10">
        <v>130</v>
      </c>
      <c r="M382" s="10">
        <v>94.08</v>
      </c>
      <c r="N382" s="10">
        <v>35.92</v>
      </c>
      <c r="O382" s="11">
        <f t="shared" si="18"/>
        <v>0.27630769230769231</v>
      </c>
      <c r="P382" s="10">
        <v>7.2</v>
      </c>
      <c r="Q382" s="10">
        <v>28.72</v>
      </c>
      <c r="R382" s="11">
        <f t="shared" si="19"/>
        <v>0.22092307692307692</v>
      </c>
      <c r="S382" t="s">
        <v>81</v>
      </c>
      <c r="T382" t="s">
        <v>66</v>
      </c>
      <c r="U382" t="s">
        <v>71</v>
      </c>
    </row>
    <row r="383" spans="1:21" x14ac:dyDescent="0.35">
      <c r="A383" t="s">
        <v>499</v>
      </c>
      <c r="B383" s="5">
        <v>45876</v>
      </c>
      <c r="C383" t="s">
        <v>109</v>
      </c>
      <c r="D383" t="s">
        <v>85</v>
      </c>
      <c r="E383" s="9">
        <v>3</v>
      </c>
      <c r="F383" s="10">
        <v>180</v>
      </c>
      <c r="G383" s="11">
        <v>0.15</v>
      </c>
      <c r="H383" s="10">
        <v>459</v>
      </c>
      <c r="I383" s="9">
        <v>0</v>
      </c>
      <c r="J383" s="10">
        <v>0</v>
      </c>
      <c r="K383" s="9">
        <v>3</v>
      </c>
      <c r="L383" s="10">
        <v>459</v>
      </c>
      <c r="M383" s="10">
        <v>345.77</v>
      </c>
      <c r="N383" s="10">
        <v>113.23</v>
      </c>
      <c r="O383" s="11">
        <f t="shared" si="18"/>
        <v>0.24668845315904139</v>
      </c>
      <c r="P383" s="10">
        <v>44.33</v>
      </c>
      <c r="Q383" s="10">
        <v>68.900000000000006</v>
      </c>
      <c r="R383" s="11">
        <f t="shared" si="19"/>
        <v>0.15010893246187365</v>
      </c>
      <c r="S383" t="s">
        <v>75</v>
      </c>
      <c r="T383" t="s">
        <v>86</v>
      </c>
      <c r="U383" t="s">
        <v>76</v>
      </c>
    </row>
    <row r="384" spans="1:21" x14ac:dyDescent="0.35">
      <c r="A384" t="s">
        <v>500</v>
      </c>
      <c r="B384" s="5">
        <v>45679</v>
      </c>
      <c r="C384" t="s">
        <v>95</v>
      </c>
      <c r="D384" t="s">
        <v>64</v>
      </c>
      <c r="E384" s="9">
        <v>1</v>
      </c>
      <c r="F384" s="10">
        <v>52</v>
      </c>
      <c r="G384" s="11">
        <v>0</v>
      </c>
      <c r="H384" s="10">
        <v>52</v>
      </c>
      <c r="I384" s="9">
        <v>0</v>
      </c>
      <c r="J384" s="10">
        <v>0</v>
      </c>
      <c r="K384" s="9">
        <v>1</v>
      </c>
      <c r="L384" s="10">
        <v>52</v>
      </c>
      <c r="M384" s="10">
        <v>35.590000000000003</v>
      </c>
      <c r="N384" s="10">
        <v>16.41</v>
      </c>
      <c r="O384" s="11">
        <f t="shared" si="18"/>
        <v>0.31557692307692309</v>
      </c>
      <c r="P384" s="10">
        <v>5.33</v>
      </c>
      <c r="Q384" s="10">
        <v>11.08</v>
      </c>
      <c r="R384" s="11">
        <f t="shared" si="19"/>
        <v>0.21307692307692308</v>
      </c>
      <c r="S384" t="s">
        <v>81</v>
      </c>
      <c r="T384" t="s">
        <v>60</v>
      </c>
      <c r="U384" t="s">
        <v>76</v>
      </c>
    </row>
    <row r="385" spans="1:21" x14ac:dyDescent="0.35">
      <c r="A385" t="s">
        <v>501</v>
      </c>
      <c r="B385" s="5">
        <v>45741</v>
      </c>
      <c r="C385" t="s">
        <v>56</v>
      </c>
      <c r="D385" t="s">
        <v>57</v>
      </c>
      <c r="E385" s="9">
        <v>1</v>
      </c>
      <c r="F385" s="10">
        <v>40</v>
      </c>
      <c r="G385" s="11">
        <v>0.1</v>
      </c>
      <c r="H385" s="10">
        <v>36</v>
      </c>
      <c r="I385" s="9">
        <v>0</v>
      </c>
      <c r="J385" s="10">
        <v>0</v>
      </c>
      <c r="K385" s="9">
        <v>1</v>
      </c>
      <c r="L385" s="10">
        <v>36</v>
      </c>
      <c r="M385" s="10">
        <v>22.91</v>
      </c>
      <c r="N385" s="10">
        <v>13.09</v>
      </c>
      <c r="O385" s="11">
        <f t="shared" si="18"/>
        <v>0.36361111111111111</v>
      </c>
      <c r="P385" s="10">
        <v>3.8</v>
      </c>
      <c r="Q385" s="10">
        <v>9.2899999999999991</v>
      </c>
      <c r="R385" s="11">
        <f t="shared" si="19"/>
        <v>0.25805555555555554</v>
      </c>
      <c r="S385" t="s">
        <v>59</v>
      </c>
      <c r="T385" t="s">
        <v>60</v>
      </c>
      <c r="U385" t="s">
        <v>71</v>
      </c>
    </row>
    <row r="386" spans="1:21" x14ac:dyDescent="0.35">
      <c r="A386" t="s">
        <v>502</v>
      </c>
      <c r="B386" s="5">
        <v>45983</v>
      </c>
      <c r="C386" t="s">
        <v>100</v>
      </c>
      <c r="D386" t="s">
        <v>64</v>
      </c>
      <c r="E386" s="9">
        <v>4</v>
      </c>
      <c r="F386" s="10">
        <v>310</v>
      </c>
      <c r="G386" s="11">
        <v>0</v>
      </c>
      <c r="H386" s="10">
        <v>1240</v>
      </c>
      <c r="I386" s="9">
        <v>0</v>
      </c>
      <c r="J386" s="10">
        <v>0</v>
      </c>
      <c r="K386" s="9">
        <v>4</v>
      </c>
      <c r="L386" s="10">
        <v>1240</v>
      </c>
      <c r="M386" s="10">
        <v>936.55</v>
      </c>
      <c r="N386" s="10">
        <v>303.45</v>
      </c>
      <c r="O386" s="11">
        <f t="shared" si="18"/>
        <v>0.24471774193548387</v>
      </c>
      <c r="P386" s="10">
        <v>128.66999999999999</v>
      </c>
      <c r="Q386" s="10">
        <v>174.78</v>
      </c>
      <c r="R386" s="11">
        <f t="shared" si="19"/>
        <v>0.1409516129032258</v>
      </c>
      <c r="S386" t="s">
        <v>75</v>
      </c>
      <c r="T386" t="s">
        <v>60</v>
      </c>
      <c r="U386" t="s">
        <v>61</v>
      </c>
    </row>
    <row r="387" spans="1:21" x14ac:dyDescent="0.35">
      <c r="A387" t="s">
        <v>503</v>
      </c>
      <c r="B387" s="5">
        <v>45807</v>
      </c>
      <c r="C387" t="s">
        <v>100</v>
      </c>
      <c r="D387" t="s">
        <v>64</v>
      </c>
      <c r="E387" s="9">
        <v>6</v>
      </c>
      <c r="F387" s="10">
        <v>310</v>
      </c>
      <c r="G387" s="11">
        <v>0.1</v>
      </c>
      <c r="H387" s="10">
        <v>1674</v>
      </c>
      <c r="I387" s="9">
        <v>0</v>
      </c>
      <c r="J387" s="10">
        <v>0</v>
      </c>
      <c r="K387" s="9">
        <v>6</v>
      </c>
      <c r="L387" s="10">
        <v>1674</v>
      </c>
      <c r="M387" s="10">
        <v>1080.43</v>
      </c>
      <c r="N387" s="10">
        <v>593.57000000000005</v>
      </c>
      <c r="O387" s="11">
        <f t="shared" si="18"/>
        <v>0.3545818399044206</v>
      </c>
      <c r="P387" s="10">
        <v>210.22</v>
      </c>
      <c r="Q387" s="10">
        <v>383.35</v>
      </c>
      <c r="R387" s="11">
        <f t="shared" si="19"/>
        <v>0.22900238948626048</v>
      </c>
      <c r="S387" t="s">
        <v>59</v>
      </c>
      <c r="T387" t="s">
        <v>86</v>
      </c>
      <c r="U387" t="s">
        <v>67</v>
      </c>
    </row>
    <row r="388" spans="1:21" x14ac:dyDescent="0.35">
      <c r="A388" t="s">
        <v>504</v>
      </c>
      <c r="B388" s="5">
        <v>45794</v>
      </c>
      <c r="C388" t="s">
        <v>63</v>
      </c>
      <c r="D388" t="s">
        <v>64</v>
      </c>
      <c r="E388" s="9">
        <v>4</v>
      </c>
      <c r="F388" s="10">
        <v>145</v>
      </c>
      <c r="G388" s="11">
        <v>0.02</v>
      </c>
      <c r="H388" s="10">
        <v>568.4</v>
      </c>
      <c r="I388" s="9">
        <v>4</v>
      </c>
      <c r="J388" s="10">
        <v>568.4</v>
      </c>
      <c r="K388" s="9">
        <v>0</v>
      </c>
      <c r="L388" s="10">
        <v>0</v>
      </c>
      <c r="M388" s="10">
        <v>0</v>
      </c>
      <c r="N388" s="10">
        <v>0</v>
      </c>
      <c r="O388" s="11">
        <v>0</v>
      </c>
      <c r="P388" s="10">
        <v>0</v>
      </c>
      <c r="Q388" s="10">
        <v>0</v>
      </c>
      <c r="R388" s="11">
        <v>0</v>
      </c>
      <c r="S388" t="s">
        <v>65</v>
      </c>
      <c r="T388" t="s">
        <v>60</v>
      </c>
      <c r="U388" t="s">
        <v>67</v>
      </c>
    </row>
    <row r="389" spans="1:21" x14ac:dyDescent="0.35">
      <c r="A389" t="s">
        <v>505</v>
      </c>
      <c r="B389" s="5">
        <v>45802</v>
      </c>
      <c r="C389" t="s">
        <v>84</v>
      </c>
      <c r="D389" t="s">
        <v>85</v>
      </c>
      <c r="E389" s="9">
        <v>2</v>
      </c>
      <c r="F389" s="10">
        <v>48</v>
      </c>
      <c r="G389" s="11">
        <v>0.05</v>
      </c>
      <c r="H389" s="10">
        <v>91.2</v>
      </c>
      <c r="I389" s="9">
        <v>0</v>
      </c>
      <c r="J389" s="10">
        <v>0</v>
      </c>
      <c r="K389" s="9">
        <v>2</v>
      </c>
      <c r="L389" s="10">
        <v>91.2</v>
      </c>
      <c r="M389" s="10">
        <v>60.67</v>
      </c>
      <c r="N389" s="10">
        <v>30.53</v>
      </c>
      <c r="O389" s="11">
        <f t="shared" ref="O389:O435" si="20">N389/L389</f>
        <v>0.33475877192982456</v>
      </c>
      <c r="P389" s="10">
        <v>11.69</v>
      </c>
      <c r="Q389" s="10">
        <v>18.84</v>
      </c>
      <c r="R389" s="11">
        <f t="shared" ref="R389:R435" si="21">Q389/L389</f>
        <v>0.20657894736842106</v>
      </c>
      <c r="S389" t="s">
        <v>81</v>
      </c>
      <c r="T389" t="s">
        <v>82</v>
      </c>
      <c r="U389" t="s">
        <v>76</v>
      </c>
    </row>
    <row r="390" spans="1:21" x14ac:dyDescent="0.35">
      <c r="A390" t="s">
        <v>506</v>
      </c>
      <c r="B390" s="5">
        <v>45750</v>
      </c>
      <c r="C390" t="s">
        <v>78</v>
      </c>
      <c r="D390" t="s">
        <v>79</v>
      </c>
      <c r="E390" s="9">
        <v>1</v>
      </c>
      <c r="F390" s="10">
        <v>120</v>
      </c>
      <c r="G390" s="11">
        <v>0.05</v>
      </c>
      <c r="H390" s="10">
        <v>114</v>
      </c>
      <c r="I390" s="9">
        <v>0</v>
      </c>
      <c r="J390" s="10">
        <v>0</v>
      </c>
      <c r="K390" s="9">
        <v>1</v>
      </c>
      <c r="L390" s="10">
        <v>114</v>
      </c>
      <c r="M390" s="10">
        <v>95.7</v>
      </c>
      <c r="N390" s="10">
        <v>18.3</v>
      </c>
      <c r="O390" s="11">
        <f t="shared" si="20"/>
        <v>0.16052631578947368</v>
      </c>
      <c r="P390" s="10">
        <v>8.06</v>
      </c>
      <c r="Q390" s="10">
        <v>10.24</v>
      </c>
      <c r="R390" s="11">
        <f t="shared" si="21"/>
        <v>8.9824561403508779E-2</v>
      </c>
      <c r="S390" t="s">
        <v>59</v>
      </c>
      <c r="T390" t="s">
        <v>66</v>
      </c>
      <c r="U390" t="s">
        <v>76</v>
      </c>
    </row>
    <row r="391" spans="1:21" x14ac:dyDescent="0.35">
      <c r="A391" t="s">
        <v>507</v>
      </c>
      <c r="B391" s="5">
        <v>45825</v>
      </c>
      <c r="C391" t="s">
        <v>92</v>
      </c>
      <c r="D391" t="s">
        <v>79</v>
      </c>
      <c r="E391" s="9">
        <v>3</v>
      </c>
      <c r="F391" s="10">
        <v>85</v>
      </c>
      <c r="G391" s="11">
        <v>0.02</v>
      </c>
      <c r="H391" s="10">
        <v>249.9</v>
      </c>
      <c r="I391" s="9">
        <v>0</v>
      </c>
      <c r="J391" s="10">
        <v>0</v>
      </c>
      <c r="K391" s="9">
        <v>3</v>
      </c>
      <c r="L391" s="10">
        <v>249.9</v>
      </c>
      <c r="M391" s="10">
        <v>193.18</v>
      </c>
      <c r="N391" s="10">
        <v>56.72</v>
      </c>
      <c r="O391" s="11">
        <f t="shared" si="20"/>
        <v>0.22697078831532613</v>
      </c>
      <c r="P391" s="10">
        <v>26.77</v>
      </c>
      <c r="Q391" s="10">
        <v>29.95</v>
      </c>
      <c r="R391" s="11">
        <f t="shared" si="21"/>
        <v>0.11984793917567026</v>
      </c>
      <c r="S391" t="s">
        <v>59</v>
      </c>
      <c r="T391" t="s">
        <v>66</v>
      </c>
      <c r="U391" t="s">
        <v>67</v>
      </c>
    </row>
    <row r="392" spans="1:21" x14ac:dyDescent="0.35">
      <c r="A392" t="s">
        <v>508</v>
      </c>
      <c r="B392" s="5">
        <v>45947</v>
      </c>
      <c r="C392" t="s">
        <v>73</v>
      </c>
      <c r="D392" t="s">
        <v>74</v>
      </c>
      <c r="E392" s="9">
        <v>4</v>
      </c>
      <c r="F392" s="10">
        <v>280</v>
      </c>
      <c r="G392" s="11">
        <v>0</v>
      </c>
      <c r="H392" s="10">
        <v>1120</v>
      </c>
      <c r="I392" s="9">
        <v>0</v>
      </c>
      <c r="J392" s="10">
        <v>0</v>
      </c>
      <c r="K392" s="9">
        <v>4</v>
      </c>
      <c r="L392" s="10">
        <v>1120</v>
      </c>
      <c r="M392" s="10">
        <v>761.16</v>
      </c>
      <c r="N392" s="10">
        <v>358.84</v>
      </c>
      <c r="O392" s="11">
        <f t="shared" si="20"/>
        <v>0.32039285714285715</v>
      </c>
      <c r="P392" s="10">
        <v>80.260000000000005</v>
      </c>
      <c r="Q392" s="10">
        <v>278.58</v>
      </c>
      <c r="R392" s="11">
        <f t="shared" si="21"/>
        <v>0.24873214285714285</v>
      </c>
      <c r="S392" t="s">
        <v>65</v>
      </c>
      <c r="T392" t="s">
        <v>60</v>
      </c>
      <c r="U392" t="s">
        <v>67</v>
      </c>
    </row>
    <row r="393" spans="1:21" x14ac:dyDescent="0.35">
      <c r="A393" t="s">
        <v>509</v>
      </c>
      <c r="B393" s="5">
        <v>45795</v>
      </c>
      <c r="C393" t="s">
        <v>78</v>
      </c>
      <c r="D393" t="s">
        <v>79</v>
      </c>
      <c r="E393" s="9">
        <v>4</v>
      </c>
      <c r="F393" s="10">
        <v>120</v>
      </c>
      <c r="G393" s="11">
        <v>0.02</v>
      </c>
      <c r="H393" s="10">
        <v>470.4</v>
      </c>
      <c r="I393" s="9">
        <v>0</v>
      </c>
      <c r="J393" s="10">
        <v>0</v>
      </c>
      <c r="K393" s="9">
        <v>4</v>
      </c>
      <c r="L393" s="10">
        <v>470.4</v>
      </c>
      <c r="M393" s="10">
        <v>367.61</v>
      </c>
      <c r="N393" s="10">
        <v>102.79</v>
      </c>
      <c r="O393" s="11">
        <f t="shared" si="20"/>
        <v>0.21851615646258507</v>
      </c>
      <c r="P393" s="10">
        <v>59.33</v>
      </c>
      <c r="Q393" s="10">
        <v>43.46</v>
      </c>
      <c r="R393" s="11">
        <f t="shared" si="21"/>
        <v>9.2389455782312932E-2</v>
      </c>
      <c r="S393" t="s">
        <v>81</v>
      </c>
      <c r="T393" t="s">
        <v>82</v>
      </c>
      <c r="U393" t="s">
        <v>76</v>
      </c>
    </row>
    <row r="394" spans="1:21" x14ac:dyDescent="0.35">
      <c r="A394" t="s">
        <v>510</v>
      </c>
      <c r="B394" s="5">
        <v>45748</v>
      </c>
      <c r="C394" t="s">
        <v>92</v>
      </c>
      <c r="D394" t="s">
        <v>79</v>
      </c>
      <c r="E394" s="9">
        <v>3</v>
      </c>
      <c r="F394" s="10">
        <v>85</v>
      </c>
      <c r="G394" s="11">
        <v>0</v>
      </c>
      <c r="H394" s="10">
        <v>255</v>
      </c>
      <c r="I394" s="9">
        <v>0</v>
      </c>
      <c r="J394" s="10">
        <v>0</v>
      </c>
      <c r="K394" s="9">
        <v>3</v>
      </c>
      <c r="L394" s="10">
        <v>255</v>
      </c>
      <c r="M394" s="10">
        <v>206.25</v>
      </c>
      <c r="N394" s="10">
        <v>48.75</v>
      </c>
      <c r="O394" s="11">
        <f t="shared" si="20"/>
        <v>0.19117647058823528</v>
      </c>
      <c r="P394" s="10">
        <v>23.23</v>
      </c>
      <c r="Q394" s="10">
        <v>25.52</v>
      </c>
      <c r="R394" s="11">
        <f t="shared" si="21"/>
        <v>0.10007843137254901</v>
      </c>
      <c r="S394" t="s">
        <v>81</v>
      </c>
      <c r="T394" t="s">
        <v>86</v>
      </c>
      <c r="U394" t="s">
        <v>76</v>
      </c>
    </row>
    <row r="395" spans="1:21" x14ac:dyDescent="0.35">
      <c r="A395" t="s">
        <v>511</v>
      </c>
      <c r="B395" s="5">
        <v>45941</v>
      </c>
      <c r="C395" t="s">
        <v>121</v>
      </c>
      <c r="D395" t="s">
        <v>70</v>
      </c>
      <c r="E395" s="9">
        <v>2</v>
      </c>
      <c r="F395" s="10">
        <v>110</v>
      </c>
      <c r="G395" s="11">
        <v>0.1</v>
      </c>
      <c r="H395" s="10">
        <v>198</v>
      </c>
      <c r="I395" s="9">
        <v>0</v>
      </c>
      <c r="J395" s="10">
        <v>0</v>
      </c>
      <c r="K395" s="9">
        <v>2</v>
      </c>
      <c r="L395" s="10">
        <v>198</v>
      </c>
      <c r="M395" s="10">
        <v>150.53</v>
      </c>
      <c r="N395" s="10">
        <v>47.47</v>
      </c>
      <c r="O395" s="11">
        <f t="shared" si="20"/>
        <v>0.23974747474747474</v>
      </c>
      <c r="P395" s="10">
        <v>14.16</v>
      </c>
      <c r="Q395" s="10">
        <v>33.31</v>
      </c>
      <c r="R395" s="11">
        <f t="shared" si="21"/>
        <v>0.16823232323232323</v>
      </c>
      <c r="S395" t="s">
        <v>75</v>
      </c>
      <c r="T395" t="s">
        <v>82</v>
      </c>
      <c r="U395" t="s">
        <v>67</v>
      </c>
    </row>
    <row r="396" spans="1:21" x14ac:dyDescent="0.35">
      <c r="A396" t="s">
        <v>512</v>
      </c>
      <c r="B396" s="5">
        <v>45887</v>
      </c>
      <c r="C396" t="s">
        <v>97</v>
      </c>
      <c r="D396" t="s">
        <v>57</v>
      </c>
      <c r="E396" s="9">
        <v>1</v>
      </c>
      <c r="F396" s="10">
        <v>55</v>
      </c>
      <c r="G396" s="11">
        <v>0.05</v>
      </c>
      <c r="H396" s="10">
        <v>52.25</v>
      </c>
      <c r="I396" s="9">
        <v>0</v>
      </c>
      <c r="J396" s="10">
        <v>0</v>
      </c>
      <c r="K396" s="9">
        <v>1</v>
      </c>
      <c r="L396" s="10">
        <v>52.25</v>
      </c>
      <c r="M396" s="10">
        <v>37.549999999999997</v>
      </c>
      <c r="N396" s="10">
        <v>14.7</v>
      </c>
      <c r="O396" s="11">
        <f t="shared" si="20"/>
        <v>0.28133971291866028</v>
      </c>
      <c r="P396" s="10">
        <v>5.28</v>
      </c>
      <c r="Q396" s="10">
        <v>9.42</v>
      </c>
      <c r="R396" s="11">
        <f t="shared" si="21"/>
        <v>0.18028708133971291</v>
      </c>
      <c r="S396" t="s">
        <v>81</v>
      </c>
      <c r="T396" t="s">
        <v>86</v>
      </c>
      <c r="U396" t="s">
        <v>61</v>
      </c>
    </row>
    <row r="397" spans="1:21" x14ac:dyDescent="0.35">
      <c r="A397" t="s">
        <v>513</v>
      </c>
      <c r="B397" s="5">
        <v>45796</v>
      </c>
      <c r="C397" t="s">
        <v>78</v>
      </c>
      <c r="D397" t="s">
        <v>79</v>
      </c>
      <c r="E397" s="9">
        <v>4</v>
      </c>
      <c r="F397" s="10">
        <v>120</v>
      </c>
      <c r="G397" s="11">
        <v>0.1</v>
      </c>
      <c r="H397" s="10">
        <v>432</v>
      </c>
      <c r="I397" s="9">
        <v>0</v>
      </c>
      <c r="J397" s="10">
        <v>0</v>
      </c>
      <c r="K397" s="9">
        <v>4</v>
      </c>
      <c r="L397" s="10">
        <v>432</v>
      </c>
      <c r="M397" s="10">
        <v>274.48</v>
      </c>
      <c r="N397" s="10">
        <v>157.52000000000001</v>
      </c>
      <c r="O397" s="11">
        <f t="shared" si="20"/>
        <v>0.36462962962962964</v>
      </c>
      <c r="P397" s="10">
        <v>31.7</v>
      </c>
      <c r="Q397" s="10">
        <v>125.82</v>
      </c>
      <c r="R397" s="11">
        <f t="shared" si="21"/>
        <v>0.29125000000000001</v>
      </c>
      <c r="S397" t="s">
        <v>81</v>
      </c>
      <c r="T397" t="s">
        <v>66</v>
      </c>
      <c r="U397" t="s">
        <v>67</v>
      </c>
    </row>
    <row r="398" spans="1:21" x14ac:dyDescent="0.35">
      <c r="A398" t="s">
        <v>514</v>
      </c>
      <c r="B398" s="5">
        <v>45786</v>
      </c>
      <c r="C398" t="s">
        <v>63</v>
      </c>
      <c r="D398" t="s">
        <v>64</v>
      </c>
      <c r="E398" s="9">
        <v>3</v>
      </c>
      <c r="F398" s="10">
        <v>145</v>
      </c>
      <c r="G398" s="11">
        <v>0</v>
      </c>
      <c r="H398" s="10">
        <v>435</v>
      </c>
      <c r="I398" s="9">
        <v>0</v>
      </c>
      <c r="J398" s="10">
        <v>0</v>
      </c>
      <c r="K398" s="9">
        <v>3</v>
      </c>
      <c r="L398" s="10">
        <v>435</v>
      </c>
      <c r="M398" s="10">
        <v>318.72000000000003</v>
      </c>
      <c r="N398" s="10">
        <v>116.28</v>
      </c>
      <c r="O398" s="11">
        <f t="shared" si="20"/>
        <v>0.2673103448275862</v>
      </c>
      <c r="P398" s="10">
        <v>29.06</v>
      </c>
      <c r="Q398" s="10">
        <v>87.22</v>
      </c>
      <c r="R398" s="11">
        <f t="shared" si="21"/>
        <v>0.20050574712643679</v>
      </c>
      <c r="S398" t="s">
        <v>59</v>
      </c>
      <c r="T398" t="s">
        <v>60</v>
      </c>
      <c r="U398" t="s">
        <v>71</v>
      </c>
    </row>
    <row r="399" spans="1:21" x14ac:dyDescent="0.35">
      <c r="A399" t="s">
        <v>515</v>
      </c>
      <c r="B399" s="5">
        <v>45859</v>
      </c>
      <c r="C399" t="s">
        <v>109</v>
      </c>
      <c r="D399" t="s">
        <v>85</v>
      </c>
      <c r="E399" s="9">
        <v>4</v>
      </c>
      <c r="F399" s="10">
        <v>180</v>
      </c>
      <c r="G399" s="11">
        <v>0</v>
      </c>
      <c r="H399" s="10">
        <v>720</v>
      </c>
      <c r="I399" s="9">
        <v>0</v>
      </c>
      <c r="J399" s="10">
        <v>0</v>
      </c>
      <c r="K399" s="9">
        <v>4</v>
      </c>
      <c r="L399" s="10">
        <v>720</v>
      </c>
      <c r="M399" s="10">
        <v>473.96</v>
      </c>
      <c r="N399" s="10">
        <v>246.04</v>
      </c>
      <c r="O399" s="11">
        <f t="shared" si="20"/>
        <v>0.34172222222222221</v>
      </c>
      <c r="P399" s="10">
        <v>40.06</v>
      </c>
      <c r="Q399" s="10">
        <v>205.98</v>
      </c>
      <c r="R399" s="11">
        <f t="shared" si="21"/>
        <v>0.2860833333333333</v>
      </c>
      <c r="S399" t="s">
        <v>65</v>
      </c>
      <c r="T399" t="s">
        <v>66</v>
      </c>
      <c r="U399" t="s">
        <v>71</v>
      </c>
    </row>
    <row r="400" spans="1:21" x14ac:dyDescent="0.35">
      <c r="A400" t="s">
        <v>516</v>
      </c>
      <c r="B400" s="5">
        <v>45797</v>
      </c>
      <c r="C400" t="s">
        <v>56</v>
      </c>
      <c r="D400" t="s">
        <v>57</v>
      </c>
      <c r="E400" s="9">
        <v>4</v>
      </c>
      <c r="F400" s="10">
        <v>40</v>
      </c>
      <c r="G400" s="11">
        <v>0.05</v>
      </c>
      <c r="H400" s="10">
        <v>152</v>
      </c>
      <c r="I400" s="9">
        <v>0</v>
      </c>
      <c r="J400" s="10">
        <v>0</v>
      </c>
      <c r="K400" s="9">
        <v>4</v>
      </c>
      <c r="L400" s="10">
        <v>152</v>
      </c>
      <c r="M400" s="10">
        <v>110.52</v>
      </c>
      <c r="N400" s="10">
        <v>41.48</v>
      </c>
      <c r="O400" s="11">
        <f t="shared" si="20"/>
        <v>0.27289473684210525</v>
      </c>
      <c r="P400" s="10">
        <v>7.7</v>
      </c>
      <c r="Q400" s="10">
        <v>33.78</v>
      </c>
      <c r="R400" s="11">
        <f t="shared" si="21"/>
        <v>0.22223684210526318</v>
      </c>
      <c r="S400" t="s">
        <v>65</v>
      </c>
      <c r="T400" t="s">
        <v>60</v>
      </c>
      <c r="U400" t="s">
        <v>61</v>
      </c>
    </row>
    <row r="401" spans="1:21" x14ac:dyDescent="0.35">
      <c r="A401" t="s">
        <v>517</v>
      </c>
      <c r="B401" s="5">
        <v>45968</v>
      </c>
      <c r="C401" t="s">
        <v>84</v>
      </c>
      <c r="D401" t="s">
        <v>85</v>
      </c>
      <c r="E401" s="9">
        <v>3</v>
      </c>
      <c r="F401" s="10">
        <v>48</v>
      </c>
      <c r="G401" s="11">
        <v>0</v>
      </c>
      <c r="H401" s="10">
        <v>144</v>
      </c>
      <c r="I401" s="9">
        <v>0</v>
      </c>
      <c r="J401" s="10">
        <v>0</v>
      </c>
      <c r="K401" s="9">
        <v>3</v>
      </c>
      <c r="L401" s="10">
        <v>144</v>
      </c>
      <c r="M401" s="10">
        <v>101.51</v>
      </c>
      <c r="N401" s="10">
        <v>42.49</v>
      </c>
      <c r="O401" s="11">
        <f t="shared" si="20"/>
        <v>0.29506944444444444</v>
      </c>
      <c r="P401" s="10">
        <v>16.29</v>
      </c>
      <c r="Q401" s="10">
        <v>26.2</v>
      </c>
      <c r="R401" s="11">
        <f t="shared" si="21"/>
        <v>0.18194444444444444</v>
      </c>
      <c r="S401" t="s">
        <v>81</v>
      </c>
      <c r="T401" t="s">
        <v>86</v>
      </c>
      <c r="U401" t="s">
        <v>76</v>
      </c>
    </row>
    <row r="402" spans="1:21" x14ac:dyDescent="0.35">
      <c r="A402" t="s">
        <v>518</v>
      </c>
      <c r="B402" s="5">
        <v>45870</v>
      </c>
      <c r="C402" t="s">
        <v>125</v>
      </c>
      <c r="D402" t="s">
        <v>85</v>
      </c>
      <c r="E402" s="9">
        <v>2</v>
      </c>
      <c r="F402" s="10">
        <v>125</v>
      </c>
      <c r="G402" s="11">
        <v>0</v>
      </c>
      <c r="H402" s="10">
        <v>250</v>
      </c>
      <c r="I402" s="9">
        <v>0</v>
      </c>
      <c r="J402" s="10">
        <v>0</v>
      </c>
      <c r="K402" s="9">
        <v>2</v>
      </c>
      <c r="L402" s="10">
        <v>250</v>
      </c>
      <c r="M402" s="10">
        <v>185.34</v>
      </c>
      <c r="N402" s="10">
        <v>64.66</v>
      </c>
      <c r="O402" s="11">
        <f t="shared" si="20"/>
        <v>0.25863999999999998</v>
      </c>
      <c r="P402" s="10">
        <v>30.03</v>
      </c>
      <c r="Q402" s="10">
        <v>34.630000000000003</v>
      </c>
      <c r="R402" s="11">
        <f t="shared" si="21"/>
        <v>0.13852</v>
      </c>
      <c r="S402" t="s">
        <v>75</v>
      </c>
      <c r="T402" t="s">
        <v>66</v>
      </c>
      <c r="U402" t="s">
        <v>71</v>
      </c>
    </row>
    <row r="403" spans="1:21" x14ac:dyDescent="0.35">
      <c r="A403" t="s">
        <v>519</v>
      </c>
      <c r="B403" s="5">
        <v>45733</v>
      </c>
      <c r="C403" t="s">
        <v>92</v>
      </c>
      <c r="D403" t="s">
        <v>79</v>
      </c>
      <c r="E403" s="9">
        <v>5</v>
      </c>
      <c r="F403" s="10">
        <v>85</v>
      </c>
      <c r="G403" s="11">
        <v>0</v>
      </c>
      <c r="H403" s="10">
        <v>425</v>
      </c>
      <c r="I403" s="9">
        <v>0</v>
      </c>
      <c r="J403" s="10">
        <v>0</v>
      </c>
      <c r="K403" s="9">
        <v>5</v>
      </c>
      <c r="L403" s="10">
        <v>425</v>
      </c>
      <c r="M403" s="10">
        <v>316.7</v>
      </c>
      <c r="N403" s="10">
        <v>108.3</v>
      </c>
      <c r="O403" s="11">
        <f t="shared" si="20"/>
        <v>0.25482352941176473</v>
      </c>
      <c r="P403" s="10">
        <v>51.32</v>
      </c>
      <c r="Q403" s="10">
        <v>56.98</v>
      </c>
      <c r="R403" s="11">
        <f t="shared" si="21"/>
        <v>0.13407058823529411</v>
      </c>
      <c r="S403" t="s">
        <v>59</v>
      </c>
      <c r="T403" t="s">
        <v>86</v>
      </c>
      <c r="U403" t="s">
        <v>76</v>
      </c>
    </row>
    <row r="404" spans="1:21" x14ac:dyDescent="0.35">
      <c r="A404" t="s">
        <v>520</v>
      </c>
      <c r="B404" s="5">
        <v>45702</v>
      </c>
      <c r="C404" t="s">
        <v>97</v>
      </c>
      <c r="D404" t="s">
        <v>57</v>
      </c>
      <c r="E404" s="9">
        <v>1</v>
      </c>
      <c r="F404" s="10">
        <v>55</v>
      </c>
      <c r="G404" s="11">
        <v>0.02</v>
      </c>
      <c r="H404" s="10">
        <v>53.9</v>
      </c>
      <c r="I404" s="9">
        <v>0</v>
      </c>
      <c r="J404" s="10">
        <v>0</v>
      </c>
      <c r="K404" s="9">
        <v>1</v>
      </c>
      <c r="L404" s="10">
        <v>53.9</v>
      </c>
      <c r="M404" s="10">
        <v>35.74</v>
      </c>
      <c r="N404" s="10">
        <v>18.16</v>
      </c>
      <c r="O404" s="11">
        <f t="shared" si="20"/>
        <v>0.33692022263450838</v>
      </c>
      <c r="P404" s="10">
        <v>3.69</v>
      </c>
      <c r="Q404" s="10">
        <v>14.47</v>
      </c>
      <c r="R404" s="11">
        <f t="shared" si="21"/>
        <v>0.26846011131725417</v>
      </c>
      <c r="S404" t="s">
        <v>75</v>
      </c>
      <c r="T404" t="s">
        <v>60</v>
      </c>
      <c r="U404" t="s">
        <v>61</v>
      </c>
    </row>
    <row r="405" spans="1:21" x14ac:dyDescent="0.35">
      <c r="A405" t="s">
        <v>521</v>
      </c>
      <c r="B405" s="5">
        <v>45783</v>
      </c>
      <c r="C405" t="s">
        <v>100</v>
      </c>
      <c r="D405" t="s">
        <v>64</v>
      </c>
      <c r="E405" s="9">
        <v>3</v>
      </c>
      <c r="F405" s="10">
        <v>310</v>
      </c>
      <c r="G405" s="11">
        <v>0.05</v>
      </c>
      <c r="H405" s="10">
        <v>883.5</v>
      </c>
      <c r="I405" s="9">
        <v>0</v>
      </c>
      <c r="J405" s="10">
        <v>0</v>
      </c>
      <c r="K405" s="9">
        <v>3</v>
      </c>
      <c r="L405" s="10">
        <v>883.5</v>
      </c>
      <c r="M405" s="10">
        <v>610.70000000000005</v>
      </c>
      <c r="N405" s="10">
        <v>272.8</v>
      </c>
      <c r="O405" s="11">
        <f t="shared" si="20"/>
        <v>0.30877192982456142</v>
      </c>
      <c r="P405" s="10">
        <v>68.58</v>
      </c>
      <c r="Q405" s="10">
        <v>204.22</v>
      </c>
      <c r="R405" s="11">
        <f t="shared" si="21"/>
        <v>0.23114883984153933</v>
      </c>
      <c r="S405" t="s">
        <v>59</v>
      </c>
      <c r="T405" t="s">
        <v>86</v>
      </c>
      <c r="U405" t="s">
        <v>71</v>
      </c>
    </row>
    <row r="406" spans="1:21" x14ac:dyDescent="0.35">
      <c r="A406" t="s">
        <v>522</v>
      </c>
      <c r="B406" s="5">
        <v>45685</v>
      </c>
      <c r="C406" t="s">
        <v>92</v>
      </c>
      <c r="D406" t="s">
        <v>79</v>
      </c>
      <c r="E406" s="9">
        <v>2</v>
      </c>
      <c r="F406" s="10">
        <v>85</v>
      </c>
      <c r="G406" s="11">
        <v>0</v>
      </c>
      <c r="H406" s="10">
        <v>170</v>
      </c>
      <c r="I406" s="9">
        <v>0</v>
      </c>
      <c r="J406" s="10">
        <v>0</v>
      </c>
      <c r="K406" s="9">
        <v>2</v>
      </c>
      <c r="L406" s="10">
        <v>170</v>
      </c>
      <c r="M406" s="10">
        <v>109.7</v>
      </c>
      <c r="N406" s="10">
        <v>60.3</v>
      </c>
      <c r="O406" s="11">
        <f t="shared" si="20"/>
        <v>0.35470588235294115</v>
      </c>
      <c r="P406" s="10">
        <v>15.56</v>
      </c>
      <c r="Q406" s="10">
        <v>44.74</v>
      </c>
      <c r="R406" s="11">
        <f t="shared" si="21"/>
        <v>0.26317647058823529</v>
      </c>
      <c r="S406" t="s">
        <v>59</v>
      </c>
      <c r="T406" t="s">
        <v>82</v>
      </c>
      <c r="U406" t="s">
        <v>76</v>
      </c>
    </row>
    <row r="407" spans="1:21" x14ac:dyDescent="0.35">
      <c r="A407" t="s">
        <v>523</v>
      </c>
      <c r="B407" s="5">
        <v>45794</v>
      </c>
      <c r="C407" t="s">
        <v>73</v>
      </c>
      <c r="D407" t="s">
        <v>74</v>
      </c>
      <c r="E407" s="9">
        <v>2</v>
      </c>
      <c r="F407" s="10">
        <v>280</v>
      </c>
      <c r="G407" s="11">
        <v>0</v>
      </c>
      <c r="H407" s="10">
        <v>560</v>
      </c>
      <c r="I407" s="9">
        <v>0</v>
      </c>
      <c r="J407" s="10">
        <v>0</v>
      </c>
      <c r="K407" s="9">
        <v>2</v>
      </c>
      <c r="L407" s="10">
        <v>560</v>
      </c>
      <c r="M407" s="10">
        <v>376.71</v>
      </c>
      <c r="N407" s="10">
        <v>183.29</v>
      </c>
      <c r="O407" s="11">
        <f t="shared" si="20"/>
        <v>0.32730357142857142</v>
      </c>
      <c r="P407" s="10">
        <v>55.61</v>
      </c>
      <c r="Q407" s="10">
        <v>127.68</v>
      </c>
      <c r="R407" s="11">
        <f t="shared" si="21"/>
        <v>0.22800000000000001</v>
      </c>
      <c r="S407" t="s">
        <v>59</v>
      </c>
      <c r="T407" t="s">
        <v>66</v>
      </c>
      <c r="U407" t="s">
        <v>71</v>
      </c>
    </row>
    <row r="408" spans="1:21" x14ac:dyDescent="0.35">
      <c r="A408" t="s">
        <v>524</v>
      </c>
      <c r="B408" s="5">
        <v>45798</v>
      </c>
      <c r="C408" t="s">
        <v>114</v>
      </c>
      <c r="D408" t="s">
        <v>64</v>
      </c>
      <c r="E408" s="9">
        <v>3</v>
      </c>
      <c r="F408" s="10">
        <v>420</v>
      </c>
      <c r="G408" s="11">
        <v>0.02</v>
      </c>
      <c r="H408" s="10">
        <v>1234.8</v>
      </c>
      <c r="I408" s="9">
        <v>0</v>
      </c>
      <c r="J408" s="10">
        <v>0</v>
      </c>
      <c r="K408" s="9">
        <v>3</v>
      </c>
      <c r="L408" s="10">
        <v>1234.8</v>
      </c>
      <c r="M408" s="10">
        <v>973.66</v>
      </c>
      <c r="N408" s="10">
        <v>261.14</v>
      </c>
      <c r="O408" s="11">
        <f t="shared" si="20"/>
        <v>0.21148364107547782</v>
      </c>
      <c r="P408" s="10">
        <v>111.14</v>
      </c>
      <c r="Q408" s="10">
        <v>150</v>
      </c>
      <c r="R408" s="11">
        <f t="shared" si="21"/>
        <v>0.12147716229348883</v>
      </c>
      <c r="S408" t="s">
        <v>81</v>
      </c>
      <c r="T408" t="s">
        <v>66</v>
      </c>
      <c r="U408" t="s">
        <v>71</v>
      </c>
    </row>
    <row r="409" spans="1:21" x14ac:dyDescent="0.35">
      <c r="A409" t="s">
        <v>525</v>
      </c>
      <c r="B409" s="5">
        <v>46001</v>
      </c>
      <c r="C409" t="s">
        <v>117</v>
      </c>
      <c r="D409" t="s">
        <v>74</v>
      </c>
      <c r="E409" s="9">
        <v>8</v>
      </c>
      <c r="F409" s="10">
        <v>95</v>
      </c>
      <c r="G409" s="11">
        <v>0.02</v>
      </c>
      <c r="H409" s="10">
        <v>744.8</v>
      </c>
      <c r="I409" s="9">
        <v>0</v>
      </c>
      <c r="J409" s="10">
        <v>0</v>
      </c>
      <c r="K409" s="9">
        <v>8</v>
      </c>
      <c r="L409" s="10">
        <v>744.8</v>
      </c>
      <c r="M409" s="10">
        <v>550.38</v>
      </c>
      <c r="N409" s="10">
        <v>194.42</v>
      </c>
      <c r="O409" s="11">
        <f t="shared" si="20"/>
        <v>0.26103651987110632</v>
      </c>
      <c r="P409" s="10">
        <v>63.4</v>
      </c>
      <c r="Q409" s="10">
        <v>131.02000000000001</v>
      </c>
      <c r="R409" s="11">
        <f t="shared" si="21"/>
        <v>0.17591299677765845</v>
      </c>
      <c r="S409" t="s">
        <v>81</v>
      </c>
      <c r="T409" t="s">
        <v>66</v>
      </c>
      <c r="U409" t="s">
        <v>76</v>
      </c>
    </row>
    <row r="410" spans="1:21" x14ac:dyDescent="0.35">
      <c r="A410" t="s">
        <v>526</v>
      </c>
      <c r="B410" s="5">
        <v>45898</v>
      </c>
      <c r="C410" t="s">
        <v>90</v>
      </c>
      <c r="D410" t="s">
        <v>70</v>
      </c>
      <c r="E410" s="9">
        <v>2</v>
      </c>
      <c r="F410" s="10">
        <v>38</v>
      </c>
      <c r="G410" s="11">
        <v>0.1</v>
      </c>
      <c r="H410" s="10">
        <v>68.400000000000006</v>
      </c>
      <c r="I410" s="9">
        <v>0</v>
      </c>
      <c r="J410" s="10">
        <v>0</v>
      </c>
      <c r="K410" s="9">
        <v>2</v>
      </c>
      <c r="L410" s="10">
        <v>68.400000000000006</v>
      </c>
      <c r="M410" s="10">
        <v>45.76</v>
      </c>
      <c r="N410" s="10">
        <v>22.64</v>
      </c>
      <c r="O410" s="11">
        <f t="shared" si="20"/>
        <v>0.33099415204678362</v>
      </c>
      <c r="P410" s="10">
        <v>5.71</v>
      </c>
      <c r="Q410" s="10">
        <v>16.93</v>
      </c>
      <c r="R410" s="11">
        <f t="shared" si="21"/>
        <v>0.24751461988304091</v>
      </c>
      <c r="S410" t="s">
        <v>81</v>
      </c>
      <c r="T410" t="s">
        <v>66</v>
      </c>
      <c r="U410" t="s">
        <v>76</v>
      </c>
    </row>
    <row r="411" spans="1:21" x14ac:dyDescent="0.35">
      <c r="A411" t="s">
        <v>527</v>
      </c>
      <c r="B411" s="5">
        <v>45813</v>
      </c>
      <c r="C411" t="s">
        <v>95</v>
      </c>
      <c r="D411" t="s">
        <v>64</v>
      </c>
      <c r="E411" s="9">
        <v>3</v>
      </c>
      <c r="F411" s="10">
        <v>52</v>
      </c>
      <c r="G411" s="11">
        <v>0.02</v>
      </c>
      <c r="H411" s="10">
        <v>152.88</v>
      </c>
      <c r="I411" s="9">
        <v>0</v>
      </c>
      <c r="J411" s="10">
        <v>0</v>
      </c>
      <c r="K411" s="9">
        <v>3</v>
      </c>
      <c r="L411" s="10">
        <v>152.88</v>
      </c>
      <c r="M411" s="10">
        <v>120.05</v>
      </c>
      <c r="N411" s="10">
        <v>32.83</v>
      </c>
      <c r="O411" s="11">
        <f t="shared" si="20"/>
        <v>0.21474358974358973</v>
      </c>
      <c r="P411" s="10">
        <v>7.77</v>
      </c>
      <c r="Q411" s="10">
        <v>25.06</v>
      </c>
      <c r="R411" s="11">
        <f t="shared" si="21"/>
        <v>0.16391941391941392</v>
      </c>
      <c r="S411" t="s">
        <v>75</v>
      </c>
      <c r="T411" t="s">
        <v>86</v>
      </c>
      <c r="U411" t="s">
        <v>61</v>
      </c>
    </row>
    <row r="412" spans="1:21" x14ac:dyDescent="0.35">
      <c r="A412" t="s">
        <v>528</v>
      </c>
      <c r="B412" s="5">
        <v>45856</v>
      </c>
      <c r="C412" t="s">
        <v>114</v>
      </c>
      <c r="D412" t="s">
        <v>64</v>
      </c>
      <c r="E412" s="9">
        <v>3</v>
      </c>
      <c r="F412" s="10">
        <v>420</v>
      </c>
      <c r="G412" s="11">
        <v>0.1</v>
      </c>
      <c r="H412" s="10">
        <v>1134</v>
      </c>
      <c r="I412" s="9">
        <v>0</v>
      </c>
      <c r="J412" s="10">
        <v>0</v>
      </c>
      <c r="K412" s="9">
        <v>3</v>
      </c>
      <c r="L412" s="10">
        <v>1134</v>
      </c>
      <c r="M412" s="10">
        <v>758.45</v>
      </c>
      <c r="N412" s="10">
        <v>375.55</v>
      </c>
      <c r="O412" s="11">
        <f t="shared" si="20"/>
        <v>0.33117283950617282</v>
      </c>
      <c r="P412" s="10">
        <v>82.6</v>
      </c>
      <c r="Q412" s="10">
        <v>292.95</v>
      </c>
      <c r="R412" s="11">
        <f t="shared" si="21"/>
        <v>0.2583333333333333</v>
      </c>
      <c r="S412" t="s">
        <v>81</v>
      </c>
      <c r="T412" t="s">
        <v>66</v>
      </c>
      <c r="U412" t="s">
        <v>76</v>
      </c>
    </row>
    <row r="413" spans="1:21" x14ac:dyDescent="0.35">
      <c r="A413" t="s">
        <v>529</v>
      </c>
      <c r="B413" s="5">
        <v>45889</v>
      </c>
      <c r="C413" t="s">
        <v>92</v>
      </c>
      <c r="D413" t="s">
        <v>79</v>
      </c>
      <c r="E413" s="9">
        <v>6</v>
      </c>
      <c r="F413" s="10">
        <v>85</v>
      </c>
      <c r="G413" s="11">
        <v>0.1</v>
      </c>
      <c r="H413" s="10">
        <v>459</v>
      </c>
      <c r="I413" s="9">
        <v>0</v>
      </c>
      <c r="J413" s="10">
        <v>0</v>
      </c>
      <c r="K413" s="9">
        <v>6</v>
      </c>
      <c r="L413" s="10">
        <v>459</v>
      </c>
      <c r="M413" s="10">
        <v>335.95</v>
      </c>
      <c r="N413" s="10">
        <v>123.05</v>
      </c>
      <c r="O413" s="11">
        <f t="shared" si="20"/>
        <v>0.26808278867102397</v>
      </c>
      <c r="P413" s="10">
        <v>37.19</v>
      </c>
      <c r="Q413" s="10">
        <v>85.86</v>
      </c>
      <c r="R413" s="11">
        <f t="shared" si="21"/>
        <v>0.18705882352941175</v>
      </c>
      <c r="S413" t="s">
        <v>81</v>
      </c>
      <c r="T413" t="s">
        <v>60</v>
      </c>
      <c r="U413" t="s">
        <v>61</v>
      </c>
    </row>
    <row r="414" spans="1:21" x14ac:dyDescent="0.35">
      <c r="A414" t="s">
        <v>530</v>
      </c>
      <c r="B414" s="5">
        <v>45992</v>
      </c>
      <c r="C414" t="s">
        <v>117</v>
      </c>
      <c r="D414" t="s">
        <v>74</v>
      </c>
      <c r="E414" s="9">
        <v>1</v>
      </c>
      <c r="F414" s="10">
        <v>95</v>
      </c>
      <c r="G414" s="11">
        <v>0</v>
      </c>
      <c r="H414" s="10">
        <v>95</v>
      </c>
      <c r="I414" s="9">
        <v>0</v>
      </c>
      <c r="J414" s="10">
        <v>0</v>
      </c>
      <c r="K414" s="9">
        <v>1</v>
      </c>
      <c r="L414" s="10">
        <v>95</v>
      </c>
      <c r="M414" s="10">
        <v>69.83</v>
      </c>
      <c r="N414" s="10">
        <v>25.17</v>
      </c>
      <c r="O414" s="11">
        <f t="shared" si="20"/>
        <v>0.26494736842105265</v>
      </c>
      <c r="P414" s="10">
        <v>10.4</v>
      </c>
      <c r="Q414" s="10">
        <v>14.77</v>
      </c>
      <c r="R414" s="11">
        <f t="shared" si="21"/>
        <v>0.15547368421052632</v>
      </c>
      <c r="S414" t="s">
        <v>65</v>
      </c>
      <c r="T414" t="s">
        <v>86</v>
      </c>
      <c r="U414" t="s">
        <v>67</v>
      </c>
    </row>
    <row r="415" spans="1:21" x14ac:dyDescent="0.35">
      <c r="A415" t="s">
        <v>531</v>
      </c>
      <c r="B415" s="5">
        <v>45780</v>
      </c>
      <c r="C415" t="s">
        <v>107</v>
      </c>
      <c r="D415" t="s">
        <v>74</v>
      </c>
      <c r="E415" s="9">
        <v>1</v>
      </c>
      <c r="F415" s="10">
        <v>125</v>
      </c>
      <c r="G415" s="11">
        <v>0</v>
      </c>
      <c r="H415" s="10">
        <v>125</v>
      </c>
      <c r="I415" s="9">
        <v>0</v>
      </c>
      <c r="J415" s="10">
        <v>0</v>
      </c>
      <c r="K415" s="9">
        <v>1</v>
      </c>
      <c r="L415" s="10">
        <v>125</v>
      </c>
      <c r="M415" s="10">
        <v>101.61</v>
      </c>
      <c r="N415" s="10">
        <v>23.39</v>
      </c>
      <c r="O415" s="11">
        <f t="shared" si="20"/>
        <v>0.18712000000000001</v>
      </c>
      <c r="P415" s="10">
        <v>16.22</v>
      </c>
      <c r="Q415" s="10">
        <v>7.17</v>
      </c>
      <c r="R415" s="11">
        <f t="shared" si="21"/>
        <v>5.7360000000000001E-2</v>
      </c>
      <c r="S415" t="s">
        <v>81</v>
      </c>
      <c r="T415" t="s">
        <v>66</v>
      </c>
      <c r="U415" t="s">
        <v>76</v>
      </c>
    </row>
    <row r="416" spans="1:21" x14ac:dyDescent="0.35">
      <c r="A416" t="s">
        <v>532</v>
      </c>
      <c r="B416" s="5">
        <v>45717</v>
      </c>
      <c r="C416" t="s">
        <v>92</v>
      </c>
      <c r="D416" t="s">
        <v>79</v>
      </c>
      <c r="E416" s="9">
        <v>1</v>
      </c>
      <c r="F416" s="10">
        <v>85</v>
      </c>
      <c r="G416" s="11">
        <v>0.05</v>
      </c>
      <c r="H416" s="10">
        <v>80.75</v>
      </c>
      <c r="I416" s="9">
        <v>0</v>
      </c>
      <c r="J416" s="10">
        <v>0</v>
      </c>
      <c r="K416" s="9">
        <v>1</v>
      </c>
      <c r="L416" s="10">
        <v>80.75</v>
      </c>
      <c r="M416" s="10">
        <v>61.86</v>
      </c>
      <c r="N416" s="10">
        <v>18.89</v>
      </c>
      <c r="O416" s="11">
        <f t="shared" si="20"/>
        <v>0.23393188854489164</v>
      </c>
      <c r="P416" s="10">
        <v>6.46</v>
      </c>
      <c r="Q416" s="10">
        <v>12.43</v>
      </c>
      <c r="R416" s="11">
        <f t="shared" si="21"/>
        <v>0.15393188854489165</v>
      </c>
      <c r="S416" t="s">
        <v>65</v>
      </c>
      <c r="T416" t="s">
        <v>60</v>
      </c>
      <c r="U416" t="s">
        <v>71</v>
      </c>
    </row>
    <row r="417" spans="1:21" x14ac:dyDescent="0.35">
      <c r="A417" t="s">
        <v>533</v>
      </c>
      <c r="B417" s="5">
        <v>45816</v>
      </c>
      <c r="C417" t="s">
        <v>264</v>
      </c>
      <c r="D417" t="s">
        <v>85</v>
      </c>
      <c r="E417" s="9">
        <v>8</v>
      </c>
      <c r="F417" s="10">
        <v>20</v>
      </c>
      <c r="G417" s="11">
        <v>0</v>
      </c>
      <c r="H417" s="10">
        <v>160</v>
      </c>
      <c r="I417" s="9">
        <v>0</v>
      </c>
      <c r="J417" s="10">
        <v>0</v>
      </c>
      <c r="K417" s="9">
        <v>8</v>
      </c>
      <c r="L417" s="10">
        <v>160</v>
      </c>
      <c r="M417" s="10">
        <v>131.12</v>
      </c>
      <c r="N417" s="10">
        <v>28.88</v>
      </c>
      <c r="O417" s="11">
        <f t="shared" si="20"/>
        <v>0.18049999999999999</v>
      </c>
      <c r="P417" s="10">
        <v>12.78</v>
      </c>
      <c r="Q417" s="10">
        <v>16.100000000000001</v>
      </c>
      <c r="R417" s="11">
        <f t="shared" si="21"/>
        <v>0.10062500000000001</v>
      </c>
      <c r="S417" t="s">
        <v>65</v>
      </c>
      <c r="T417" t="s">
        <v>82</v>
      </c>
      <c r="U417" t="s">
        <v>67</v>
      </c>
    </row>
    <row r="418" spans="1:21" x14ac:dyDescent="0.35">
      <c r="A418" t="s">
        <v>534</v>
      </c>
      <c r="B418" s="5">
        <v>45975</v>
      </c>
      <c r="C418" t="s">
        <v>73</v>
      </c>
      <c r="D418" t="s">
        <v>74</v>
      </c>
      <c r="E418" s="9">
        <v>1</v>
      </c>
      <c r="F418" s="10">
        <v>280</v>
      </c>
      <c r="G418" s="11">
        <v>0.02</v>
      </c>
      <c r="H418" s="10">
        <v>274.39999999999998</v>
      </c>
      <c r="I418" s="9">
        <v>0</v>
      </c>
      <c r="J418" s="10">
        <v>0</v>
      </c>
      <c r="K418" s="9">
        <v>1</v>
      </c>
      <c r="L418" s="10">
        <v>274.39999999999998</v>
      </c>
      <c r="M418" s="10">
        <v>198.19</v>
      </c>
      <c r="N418" s="10">
        <v>76.209999999999994</v>
      </c>
      <c r="O418" s="11">
        <f t="shared" si="20"/>
        <v>0.2777332361516035</v>
      </c>
      <c r="P418" s="10">
        <v>25.16</v>
      </c>
      <c r="Q418" s="10">
        <v>51.05</v>
      </c>
      <c r="R418" s="11">
        <f t="shared" si="21"/>
        <v>0.18604227405247814</v>
      </c>
      <c r="S418" t="s">
        <v>59</v>
      </c>
      <c r="T418" t="s">
        <v>2133</v>
      </c>
      <c r="U418" t="s">
        <v>71</v>
      </c>
    </row>
    <row r="419" spans="1:21" x14ac:dyDescent="0.35">
      <c r="A419" t="s">
        <v>535</v>
      </c>
      <c r="B419" s="5">
        <v>45922</v>
      </c>
      <c r="C419" t="s">
        <v>104</v>
      </c>
      <c r="D419" t="s">
        <v>105</v>
      </c>
      <c r="E419" s="9">
        <v>1</v>
      </c>
      <c r="F419" s="10">
        <v>65</v>
      </c>
      <c r="G419" s="11">
        <v>0.02</v>
      </c>
      <c r="H419" s="10">
        <v>63.7</v>
      </c>
      <c r="I419" s="9">
        <v>0</v>
      </c>
      <c r="J419" s="10">
        <v>0</v>
      </c>
      <c r="K419" s="9">
        <v>1</v>
      </c>
      <c r="L419" s="10">
        <v>63.7</v>
      </c>
      <c r="M419" s="10">
        <v>48.98</v>
      </c>
      <c r="N419" s="10">
        <v>14.72</v>
      </c>
      <c r="O419" s="11">
        <f t="shared" si="20"/>
        <v>0.23108320251177394</v>
      </c>
      <c r="P419" s="10">
        <v>4.05</v>
      </c>
      <c r="Q419" s="10">
        <v>10.67</v>
      </c>
      <c r="R419" s="11">
        <f t="shared" si="21"/>
        <v>0.16750392464678179</v>
      </c>
      <c r="S419" t="s">
        <v>59</v>
      </c>
      <c r="T419" t="s">
        <v>86</v>
      </c>
      <c r="U419" t="s">
        <v>2133</v>
      </c>
    </row>
    <row r="420" spans="1:21" x14ac:dyDescent="0.35">
      <c r="A420" t="s">
        <v>536</v>
      </c>
      <c r="B420" s="5">
        <v>45902</v>
      </c>
      <c r="C420" t="s">
        <v>107</v>
      </c>
      <c r="D420" t="s">
        <v>74</v>
      </c>
      <c r="E420" s="9">
        <v>2</v>
      </c>
      <c r="F420" s="10">
        <v>125</v>
      </c>
      <c r="G420" s="11">
        <v>0.02</v>
      </c>
      <c r="H420" s="10">
        <v>245</v>
      </c>
      <c r="I420" s="9">
        <v>0</v>
      </c>
      <c r="J420" s="10">
        <v>0</v>
      </c>
      <c r="K420" s="9">
        <v>2</v>
      </c>
      <c r="L420" s="10">
        <v>245</v>
      </c>
      <c r="M420" s="10">
        <v>177.37</v>
      </c>
      <c r="N420" s="10">
        <v>67.63</v>
      </c>
      <c r="O420" s="11">
        <f t="shared" si="20"/>
        <v>0.2760408163265306</v>
      </c>
      <c r="P420" s="10">
        <v>28.96</v>
      </c>
      <c r="Q420" s="10">
        <v>38.67</v>
      </c>
      <c r="R420" s="11">
        <f t="shared" si="21"/>
        <v>0.15783673469387755</v>
      </c>
      <c r="S420" t="s">
        <v>81</v>
      </c>
      <c r="T420" t="s">
        <v>82</v>
      </c>
      <c r="U420" t="s">
        <v>71</v>
      </c>
    </row>
    <row r="421" spans="1:21" x14ac:dyDescent="0.35">
      <c r="A421" t="s">
        <v>537</v>
      </c>
      <c r="B421" s="5">
        <v>45697</v>
      </c>
      <c r="C421" t="s">
        <v>69</v>
      </c>
      <c r="D421" t="s">
        <v>70</v>
      </c>
      <c r="E421" s="9">
        <v>3</v>
      </c>
      <c r="F421" s="10">
        <v>210</v>
      </c>
      <c r="G421" s="11">
        <v>0.05</v>
      </c>
      <c r="H421" s="10">
        <v>598.5</v>
      </c>
      <c r="I421" s="9">
        <v>0</v>
      </c>
      <c r="J421" s="10">
        <v>0</v>
      </c>
      <c r="K421" s="9">
        <v>3</v>
      </c>
      <c r="L421" s="10">
        <v>598.5</v>
      </c>
      <c r="M421" s="10">
        <v>409.99</v>
      </c>
      <c r="N421" s="10">
        <v>188.51</v>
      </c>
      <c r="O421" s="11">
        <f t="shared" si="20"/>
        <v>0.31497076023391812</v>
      </c>
      <c r="P421" s="10">
        <v>44.95</v>
      </c>
      <c r="Q421" s="10">
        <v>143.56</v>
      </c>
      <c r="R421" s="11">
        <f t="shared" si="21"/>
        <v>0.23986633249791145</v>
      </c>
      <c r="S421" t="s">
        <v>75</v>
      </c>
      <c r="T421" t="s">
        <v>60</v>
      </c>
      <c r="U421" t="s">
        <v>71</v>
      </c>
    </row>
    <row r="422" spans="1:21" x14ac:dyDescent="0.35">
      <c r="A422" t="s">
        <v>538</v>
      </c>
      <c r="B422" s="5">
        <v>46003</v>
      </c>
      <c r="C422" t="s">
        <v>69</v>
      </c>
      <c r="D422" t="s">
        <v>70</v>
      </c>
      <c r="E422" s="9">
        <v>4</v>
      </c>
      <c r="F422" s="10">
        <v>210</v>
      </c>
      <c r="G422" s="11">
        <v>0.05</v>
      </c>
      <c r="H422" s="10">
        <v>798</v>
      </c>
      <c r="I422" s="9">
        <v>0</v>
      </c>
      <c r="J422" s="10">
        <v>0</v>
      </c>
      <c r="K422" s="9">
        <v>4</v>
      </c>
      <c r="L422" s="10">
        <v>798</v>
      </c>
      <c r="M422" s="10">
        <v>601.61</v>
      </c>
      <c r="N422" s="10">
        <v>196.39</v>
      </c>
      <c r="O422" s="11">
        <f t="shared" si="20"/>
        <v>0.24610275689223057</v>
      </c>
      <c r="P422" s="10">
        <v>48.43</v>
      </c>
      <c r="Q422" s="10">
        <v>147.96</v>
      </c>
      <c r="R422" s="11">
        <f t="shared" si="21"/>
        <v>0.18541353383458647</v>
      </c>
      <c r="S422" t="s">
        <v>59</v>
      </c>
      <c r="T422" t="s">
        <v>82</v>
      </c>
      <c r="U422" t="s">
        <v>71</v>
      </c>
    </row>
    <row r="423" spans="1:21" x14ac:dyDescent="0.35">
      <c r="A423" t="s">
        <v>539</v>
      </c>
      <c r="B423" s="5">
        <v>45786</v>
      </c>
      <c r="C423" t="s">
        <v>107</v>
      </c>
      <c r="D423" t="s">
        <v>74</v>
      </c>
      <c r="E423" s="9">
        <v>2</v>
      </c>
      <c r="F423" s="10">
        <v>125</v>
      </c>
      <c r="G423" s="11">
        <v>0.02</v>
      </c>
      <c r="H423" s="10">
        <v>245</v>
      </c>
      <c r="I423" s="9">
        <v>0</v>
      </c>
      <c r="J423" s="10">
        <v>0</v>
      </c>
      <c r="K423" s="9">
        <v>2</v>
      </c>
      <c r="L423" s="10">
        <v>245</v>
      </c>
      <c r="M423" s="10">
        <v>167.43</v>
      </c>
      <c r="N423" s="10">
        <v>77.569999999999993</v>
      </c>
      <c r="O423" s="11">
        <f t="shared" si="20"/>
        <v>0.31661224489795914</v>
      </c>
      <c r="P423" s="10">
        <v>24.72</v>
      </c>
      <c r="Q423" s="10">
        <v>52.85</v>
      </c>
      <c r="R423" s="11">
        <f t="shared" si="21"/>
        <v>0.21571428571428572</v>
      </c>
      <c r="S423" t="s">
        <v>81</v>
      </c>
      <c r="T423" t="s">
        <v>66</v>
      </c>
      <c r="U423" t="s">
        <v>61</v>
      </c>
    </row>
    <row r="424" spans="1:21" x14ac:dyDescent="0.35">
      <c r="A424" t="s">
        <v>540</v>
      </c>
      <c r="B424" s="5">
        <v>45936</v>
      </c>
      <c r="C424" t="s">
        <v>121</v>
      </c>
      <c r="D424" t="s">
        <v>70</v>
      </c>
      <c r="E424" s="9">
        <v>1</v>
      </c>
      <c r="F424" s="10">
        <v>110</v>
      </c>
      <c r="G424" s="11">
        <v>0.02</v>
      </c>
      <c r="H424" s="10">
        <v>107.8</v>
      </c>
      <c r="I424" s="9">
        <v>0</v>
      </c>
      <c r="J424" s="10">
        <v>0</v>
      </c>
      <c r="K424" s="9">
        <v>1</v>
      </c>
      <c r="L424" s="10">
        <v>107.8</v>
      </c>
      <c r="M424" s="10">
        <v>73.680000000000007</v>
      </c>
      <c r="N424" s="10">
        <v>34.119999999999997</v>
      </c>
      <c r="O424" s="11">
        <f t="shared" si="20"/>
        <v>0.31651205936920224</v>
      </c>
      <c r="P424" s="10">
        <v>12.42</v>
      </c>
      <c r="Q424" s="10">
        <v>21.7</v>
      </c>
      <c r="R424" s="11">
        <f t="shared" si="21"/>
        <v>0.20129870129870131</v>
      </c>
      <c r="S424" t="s">
        <v>59</v>
      </c>
      <c r="T424" t="s">
        <v>82</v>
      </c>
      <c r="U424" t="s">
        <v>61</v>
      </c>
    </row>
    <row r="425" spans="1:21" x14ac:dyDescent="0.35">
      <c r="A425" t="s">
        <v>541</v>
      </c>
      <c r="B425" s="5">
        <v>45679</v>
      </c>
      <c r="C425" t="s">
        <v>104</v>
      </c>
      <c r="D425" t="s">
        <v>105</v>
      </c>
      <c r="E425" s="9">
        <v>5</v>
      </c>
      <c r="F425" s="10">
        <v>65</v>
      </c>
      <c r="G425" s="11">
        <v>0.05</v>
      </c>
      <c r="H425" s="10">
        <v>308.75</v>
      </c>
      <c r="I425" s="9">
        <v>0</v>
      </c>
      <c r="J425" s="10">
        <v>0</v>
      </c>
      <c r="K425" s="9">
        <v>5</v>
      </c>
      <c r="L425" s="10">
        <v>308.75</v>
      </c>
      <c r="M425" s="10">
        <v>202.59</v>
      </c>
      <c r="N425" s="10">
        <v>106.16</v>
      </c>
      <c r="O425" s="11">
        <f t="shared" si="20"/>
        <v>0.34383805668016193</v>
      </c>
      <c r="P425" s="10">
        <v>26.9</v>
      </c>
      <c r="Q425" s="10">
        <v>79.260000000000005</v>
      </c>
      <c r="R425" s="11">
        <f t="shared" si="21"/>
        <v>0.25671255060728748</v>
      </c>
      <c r="S425" t="s">
        <v>81</v>
      </c>
      <c r="T425" t="s">
        <v>66</v>
      </c>
      <c r="U425" t="s">
        <v>67</v>
      </c>
    </row>
    <row r="426" spans="1:21" x14ac:dyDescent="0.35">
      <c r="A426" t="s">
        <v>542</v>
      </c>
      <c r="B426" s="5">
        <v>45844</v>
      </c>
      <c r="C426" t="s">
        <v>95</v>
      </c>
      <c r="D426" t="s">
        <v>64</v>
      </c>
      <c r="E426" s="9">
        <v>5</v>
      </c>
      <c r="F426" s="10">
        <v>52</v>
      </c>
      <c r="G426" s="11">
        <v>0.02</v>
      </c>
      <c r="H426" s="10">
        <v>254.8</v>
      </c>
      <c r="I426" s="9">
        <v>0</v>
      </c>
      <c r="J426" s="10">
        <v>0</v>
      </c>
      <c r="K426" s="9">
        <v>5</v>
      </c>
      <c r="L426" s="10">
        <v>254.8</v>
      </c>
      <c r="M426" s="10">
        <v>210.45</v>
      </c>
      <c r="N426" s="10">
        <v>44.35</v>
      </c>
      <c r="O426" s="11">
        <f t="shared" si="20"/>
        <v>0.17405808477237047</v>
      </c>
      <c r="P426" s="10">
        <v>21.48</v>
      </c>
      <c r="Q426" s="10">
        <v>22.87</v>
      </c>
      <c r="R426" s="11">
        <f t="shared" si="21"/>
        <v>8.9756671899529045E-2</v>
      </c>
      <c r="S426" t="s">
        <v>65</v>
      </c>
      <c r="T426" t="s">
        <v>86</v>
      </c>
      <c r="U426" t="s">
        <v>76</v>
      </c>
    </row>
    <row r="427" spans="1:21" x14ac:dyDescent="0.35">
      <c r="A427" t="s">
        <v>543</v>
      </c>
      <c r="B427" s="5">
        <v>45913</v>
      </c>
      <c r="C427" t="s">
        <v>56</v>
      </c>
      <c r="D427" t="s">
        <v>57</v>
      </c>
      <c r="E427" s="9">
        <v>10</v>
      </c>
      <c r="F427" s="10">
        <v>40</v>
      </c>
      <c r="G427" s="11">
        <v>0.05</v>
      </c>
      <c r="H427" s="10">
        <v>380</v>
      </c>
      <c r="I427" s="9">
        <v>0</v>
      </c>
      <c r="J427" s="10">
        <v>0</v>
      </c>
      <c r="K427" s="9">
        <v>10</v>
      </c>
      <c r="L427" s="10">
        <v>380</v>
      </c>
      <c r="M427" s="10">
        <v>312.64999999999998</v>
      </c>
      <c r="N427" s="10">
        <v>67.349999999999994</v>
      </c>
      <c r="O427" s="11">
        <f t="shared" si="20"/>
        <v>0.17723684210526314</v>
      </c>
      <c r="P427" s="10">
        <v>36.53</v>
      </c>
      <c r="Q427" s="10">
        <v>30.82</v>
      </c>
      <c r="R427" s="11">
        <f t="shared" si="21"/>
        <v>8.1105263157894736E-2</v>
      </c>
      <c r="S427" t="s">
        <v>81</v>
      </c>
      <c r="T427" t="s">
        <v>86</v>
      </c>
      <c r="U427" t="s">
        <v>76</v>
      </c>
    </row>
    <row r="428" spans="1:21" x14ac:dyDescent="0.35">
      <c r="A428" t="s">
        <v>544</v>
      </c>
      <c r="B428" s="5">
        <v>46004</v>
      </c>
      <c r="C428" t="s">
        <v>104</v>
      </c>
      <c r="D428" t="s">
        <v>105</v>
      </c>
      <c r="E428" s="9">
        <v>6</v>
      </c>
      <c r="F428" s="10">
        <v>65</v>
      </c>
      <c r="G428" s="11">
        <v>0.1</v>
      </c>
      <c r="H428" s="10">
        <v>351</v>
      </c>
      <c r="I428" s="9">
        <v>0</v>
      </c>
      <c r="J428" s="10">
        <v>0</v>
      </c>
      <c r="K428" s="9">
        <v>6</v>
      </c>
      <c r="L428" s="10">
        <v>351</v>
      </c>
      <c r="M428" s="10">
        <v>285.13</v>
      </c>
      <c r="N428" s="10">
        <v>65.87</v>
      </c>
      <c r="O428" s="11">
        <f t="shared" si="20"/>
        <v>0.18766381766381768</v>
      </c>
      <c r="P428" s="10">
        <v>17.71</v>
      </c>
      <c r="Q428" s="10">
        <v>48.16</v>
      </c>
      <c r="R428" s="11">
        <f t="shared" si="21"/>
        <v>0.1372079772079772</v>
      </c>
      <c r="S428" t="s">
        <v>59</v>
      </c>
      <c r="T428" t="s">
        <v>2133</v>
      </c>
      <c r="U428" t="s">
        <v>76</v>
      </c>
    </row>
    <row r="429" spans="1:21" x14ac:dyDescent="0.35">
      <c r="A429" t="s">
        <v>545</v>
      </c>
      <c r="B429" s="5">
        <v>45961</v>
      </c>
      <c r="C429" t="s">
        <v>117</v>
      </c>
      <c r="D429" t="s">
        <v>74</v>
      </c>
      <c r="E429" s="9">
        <v>2</v>
      </c>
      <c r="F429" s="10">
        <v>95</v>
      </c>
      <c r="G429" s="11">
        <v>0</v>
      </c>
      <c r="H429" s="10">
        <v>190</v>
      </c>
      <c r="I429" s="9">
        <v>0</v>
      </c>
      <c r="J429" s="10">
        <v>0</v>
      </c>
      <c r="K429" s="9">
        <v>2</v>
      </c>
      <c r="L429" s="10">
        <v>190</v>
      </c>
      <c r="M429" s="10">
        <v>118.82</v>
      </c>
      <c r="N429" s="10">
        <v>71.180000000000007</v>
      </c>
      <c r="O429" s="11">
        <f t="shared" si="20"/>
        <v>0.37463157894736848</v>
      </c>
      <c r="P429" s="10">
        <v>21.41</v>
      </c>
      <c r="Q429" s="10">
        <v>49.77</v>
      </c>
      <c r="R429" s="11">
        <f t="shared" si="21"/>
        <v>0.26194736842105265</v>
      </c>
      <c r="S429" t="s">
        <v>75</v>
      </c>
      <c r="T429" t="s">
        <v>60</v>
      </c>
      <c r="U429" t="s">
        <v>71</v>
      </c>
    </row>
    <row r="430" spans="1:21" x14ac:dyDescent="0.35">
      <c r="A430" t="s">
        <v>546</v>
      </c>
      <c r="B430" s="5">
        <v>45913</v>
      </c>
      <c r="C430" t="s">
        <v>109</v>
      </c>
      <c r="D430" t="s">
        <v>85</v>
      </c>
      <c r="E430" s="9">
        <v>1</v>
      </c>
      <c r="F430" s="10">
        <v>180</v>
      </c>
      <c r="G430" s="11">
        <v>0.1</v>
      </c>
      <c r="H430" s="10">
        <v>162</v>
      </c>
      <c r="I430" s="9">
        <v>0</v>
      </c>
      <c r="J430" s="10">
        <v>0</v>
      </c>
      <c r="K430" s="9">
        <v>1</v>
      </c>
      <c r="L430" s="10">
        <v>162</v>
      </c>
      <c r="M430" s="10">
        <v>127.9</v>
      </c>
      <c r="N430" s="10">
        <v>34.1</v>
      </c>
      <c r="O430" s="11">
        <f t="shared" si="20"/>
        <v>0.21049382716049383</v>
      </c>
      <c r="P430" s="10">
        <v>9.82</v>
      </c>
      <c r="Q430" s="10">
        <v>24.28</v>
      </c>
      <c r="R430" s="11">
        <f t="shared" si="21"/>
        <v>0.14987654320987656</v>
      </c>
      <c r="S430" t="s">
        <v>59</v>
      </c>
      <c r="T430" t="s">
        <v>82</v>
      </c>
      <c r="U430" t="s">
        <v>76</v>
      </c>
    </row>
    <row r="431" spans="1:21" x14ac:dyDescent="0.35">
      <c r="A431" t="s">
        <v>547</v>
      </c>
      <c r="B431" s="5">
        <v>45676</v>
      </c>
      <c r="C431" t="s">
        <v>95</v>
      </c>
      <c r="D431" t="s">
        <v>64</v>
      </c>
      <c r="E431" s="9">
        <v>4</v>
      </c>
      <c r="F431" s="10">
        <v>52</v>
      </c>
      <c r="G431" s="11">
        <v>0.1</v>
      </c>
      <c r="H431" s="10">
        <v>187.2</v>
      </c>
      <c r="I431" s="9">
        <v>0</v>
      </c>
      <c r="J431" s="10">
        <v>0</v>
      </c>
      <c r="K431" s="9">
        <v>4</v>
      </c>
      <c r="L431" s="10">
        <v>187.2</v>
      </c>
      <c r="M431" s="10">
        <v>142.43</v>
      </c>
      <c r="N431" s="10">
        <v>44.77</v>
      </c>
      <c r="O431" s="11">
        <f t="shared" si="20"/>
        <v>0.23915598290598294</v>
      </c>
      <c r="P431" s="10">
        <v>24.2</v>
      </c>
      <c r="Q431" s="10">
        <v>20.57</v>
      </c>
      <c r="R431" s="11">
        <f t="shared" si="21"/>
        <v>0.10988247863247864</v>
      </c>
      <c r="S431" t="s">
        <v>59</v>
      </c>
      <c r="T431" t="s">
        <v>82</v>
      </c>
      <c r="U431" t="s">
        <v>71</v>
      </c>
    </row>
    <row r="432" spans="1:21" x14ac:dyDescent="0.35">
      <c r="A432" t="s">
        <v>548</v>
      </c>
      <c r="B432" s="5">
        <v>45685</v>
      </c>
      <c r="C432" t="s">
        <v>264</v>
      </c>
      <c r="D432" t="s">
        <v>85</v>
      </c>
      <c r="E432" s="9">
        <v>3</v>
      </c>
      <c r="F432" s="10">
        <v>20</v>
      </c>
      <c r="G432" s="11">
        <v>0.02</v>
      </c>
      <c r="H432" s="10">
        <v>58.8</v>
      </c>
      <c r="I432" s="9">
        <v>0</v>
      </c>
      <c r="J432" s="10">
        <v>0</v>
      </c>
      <c r="K432" s="9">
        <v>3</v>
      </c>
      <c r="L432" s="10">
        <v>58.8</v>
      </c>
      <c r="M432" s="10">
        <v>48.71</v>
      </c>
      <c r="N432" s="10">
        <v>10.09</v>
      </c>
      <c r="O432" s="11">
        <f t="shared" si="20"/>
        <v>0.17159863945578233</v>
      </c>
      <c r="P432" s="10">
        <v>4.6900000000000004</v>
      </c>
      <c r="Q432" s="10">
        <v>5.4</v>
      </c>
      <c r="R432" s="11">
        <f t="shared" si="21"/>
        <v>9.1836734693877556E-2</v>
      </c>
      <c r="S432" t="s">
        <v>75</v>
      </c>
      <c r="T432" t="s">
        <v>60</v>
      </c>
      <c r="U432" t="s">
        <v>76</v>
      </c>
    </row>
    <row r="433" spans="1:21" x14ac:dyDescent="0.35">
      <c r="A433" t="s">
        <v>549</v>
      </c>
      <c r="B433" s="5">
        <v>45671</v>
      </c>
      <c r="C433" t="s">
        <v>125</v>
      </c>
      <c r="D433" t="s">
        <v>85</v>
      </c>
      <c r="E433" s="9">
        <v>10</v>
      </c>
      <c r="F433" s="10">
        <v>125</v>
      </c>
      <c r="G433" s="11">
        <v>0.15</v>
      </c>
      <c r="H433" s="10">
        <v>1062.5</v>
      </c>
      <c r="I433" s="9">
        <v>0</v>
      </c>
      <c r="J433" s="10">
        <v>0</v>
      </c>
      <c r="K433" s="9">
        <v>10</v>
      </c>
      <c r="L433" s="10">
        <v>1062.5</v>
      </c>
      <c r="M433" s="10">
        <v>824.37</v>
      </c>
      <c r="N433" s="10">
        <v>238.13</v>
      </c>
      <c r="O433" s="11">
        <f t="shared" si="20"/>
        <v>0.22412235294117647</v>
      </c>
      <c r="P433" s="10">
        <v>113.91</v>
      </c>
      <c r="Q433" s="10">
        <v>124.22</v>
      </c>
      <c r="R433" s="11">
        <f t="shared" si="21"/>
        <v>0.11691294117647058</v>
      </c>
      <c r="S433" t="s">
        <v>59</v>
      </c>
      <c r="T433" t="s">
        <v>86</v>
      </c>
      <c r="U433" t="s">
        <v>76</v>
      </c>
    </row>
    <row r="434" spans="1:21" x14ac:dyDescent="0.35">
      <c r="A434" t="s">
        <v>550</v>
      </c>
      <c r="B434" s="5">
        <v>46000</v>
      </c>
      <c r="C434" t="s">
        <v>78</v>
      </c>
      <c r="D434" t="s">
        <v>79</v>
      </c>
      <c r="E434" s="9">
        <v>2</v>
      </c>
      <c r="F434" s="10">
        <v>120</v>
      </c>
      <c r="G434" s="11">
        <v>0.1</v>
      </c>
      <c r="H434" s="10">
        <v>216</v>
      </c>
      <c r="I434" s="9">
        <v>0</v>
      </c>
      <c r="J434" s="10">
        <v>0</v>
      </c>
      <c r="K434" s="9">
        <v>2</v>
      </c>
      <c r="L434" s="10">
        <v>216</v>
      </c>
      <c r="M434" s="10">
        <v>139.63</v>
      </c>
      <c r="N434" s="10">
        <v>76.37</v>
      </c>
      <c r="O434" s="11">
        <f t="shared" si="20"/>
        <v>0.35356481481481483</v>
      </c>
      <c r="P434" s="10">
        <v>21.71</v>
      </c>
      <c r="Q434" s="10">
        <v>54.66</v>
      </c>
      <c r="R434" s="11">
        <f t="shared" si="21"/>
        <v>0.25305555555555553</v>
      </c>
      <c r="S434" t="s">
        <v>75</v>
      </c>
      <c r="T434" t="s">
        <v>60</v>
      </c>
      <c r="U434" t="s">
        <v>76</v>
      </c>
    </row>
    <row r="435" spans="1:21" x14ac:dyDescent="0.35">
      <c r="A435" t="s">
        <v>551</v>
      </c>
      <c r="B435" s="5">
        <v>45761</v>
      </c>
      <c r="C435" t="s">
        <v>97</v>
      </c>
      <c r="D435" t="s">
        <v>57</v>
      </c>
      <c r="E435" s="9">
        <v>1</v>
      </c>
      <c r="F435" s="10">
        <v>55</v>
      </c>
      <c r="G435" s="11">
        <v>0.02</v>
      </c>
      <c r="H435" s="10">
        <v>53.9</v>
      </c>
      <c r="I435" s="9">
        <v>0</v>
      </c>
      <c r="J435" s="10">
        <v>0</v>
      </c>
      <c r="K435" s="9">
        <v>1</v>
      </c>
      <c r="L435" s="10">
        <v>53.9</v>
      </c>
      <c r="M435" s="10">
        <v>43.09</v>
      </c>
      <c r="N435" s="10">
        <v>10.81</v>
      </c>
      <c r="O435" s="11">
        <f t="shared" si="20"/>
        <v>0.200556586270872</v>
      </c>
      <c r="P435" s="10">
        <v>4.4800000000000004</v>
      </c>
      <c r="Q435" s="10">
        <v>6.33</v>
      </c>
      <c r="R435" s="11">
        <f t="shared" si="21"/>
        <v>0.11743970315398887</v>
      </c>
      <c r="S435" t="s">
        <v>65</v>
      </c>
      <c r="T435" t="s">
        <v>82</v>
      </c>
      <c r="U435" t="s">
        <v>71</v>
      </c>
    </row>
    <row r="436" spans="1:21" x14ac:dyDescent="0.35">
      <c r="A436" t="s">
        <v>552</v>
      </c>
      <c r="B436" s="5">
        <v>45716</v>
      </c>
      <c r="C436" t="s">
        <v>78</v>
      </c>
      <c r="D436" t="s">
        <v>79</v>
      </c>
      <c r="E436" s="9">
        <v>4</v>
      </c>
      <c r="F436" s="10">
        <v>120</v>
      </c>
      <c r="G436" s="11">
        <v>0.05</v>
      </c>
      <c r="H436" s="10">
        <v>456</v>
      </c>
      <c r="I436" s="9">
        <v>4</v>
      </c>
      <c r="J436" s="10">
        <v>456</v>
      </c>
      <c r="K436" s="9">
        <v>0</v>
      </c>
      <c r="L436" s="10">
        <v>0</v>
      </c>
      <c r="M436" s="10">
        <v>0</v>
      </c>
      <c r="N436" s="10">
        <v>0</v>
      </c>
      <c r="O436" s="11">
        <v>0</v>
      </c>
      <c r="P436" s="10">
        <v>0</v>
      </c>
      <c r="Q436" s="10">
        <v>0</v>
      </c>
      <c r="R436" s="11">
        <v>0</v>
      </c>
      <c r="S436" t="s">
        <v>59</v>
      </c>
      <c r="T436" t="s">
        <v>60</v>
      </c>
      <c r="U436" t="s">
        <v>61</v>
      </c>
    </row>
    <row r="437" spans="1:21" x14ac:dyDescent="0.35">
      <c r="A437" t="s">
        <v>553</v>
      </c>
      <c r="B437" s="5">
        <v>45979</v>
      </c>
      <c r="C437" t="s">
        <v>88</v>
      </c>
      <c r="D437" t="s">
        <v>57</v>
      </c>
      <c r="E437" s="9">
        <v>5</v>
      </c>
      <c r="F437" s="10">
        <v>30</v>
      </c>
      <c r="G437" s="11">
        <v>0.15</v>
      </c>
      <c r="H437" s="10">
        <v>127.5</v>
      </c>
      <c r="I437" s="9">
        <v>0</v>
      </c>
      <c r="J437" s="10">
        <v>0</v>
      </c>
      <c r="K437" s="9">
        <v>5</v>
      </c>
      <c r="L437" s="10">
        <v>127.5</v>
      </c>
      <c r="M437" s="10">
        <v>95.45</v>
      </c>
      <c r="N437" s="10">
        <v>32.049999999999997</v>
      </c>
      <c r="O437" s="11">
        <f t="shared" ref="O437:O443" si="22">N437/L437</f>
        <v>0.25137254901960782</v>
      </c>
      <c r="P437" s="10">
        <v>10.47</v>
      </c>
      <c r="Q437" s="10">
        <v>21.58</v>
      </c>
      <c r="R437" s="11">
        <f t="shared" ref="R437:R443" si="23">Q437/L437</f>
        <v>0.1692549019607843</v>
      </c>
      <c r="S437" t="s">
        <v>75</v>
      </c>
      <c r="T437" t="s">
        <v>66</v>
      </c>
      <c r="U437" t="s">
        <v>71</v>
      </c>
    </row>
    <row r="438" spans="1:21" x14ac:dyDescent="0.35">
      <c r="A438" t="s">
        <v>554</v>
      </c>
      <c r="B438" s="5">
        <v>45665</v>
      </c>
      <c r="C438" t="s">
        <v>100</v>
      </c>
      <c r="D438" t="s">
        <v>64</v>
      </c>
      <c r="E438" s="9">
        <v>8</v>
      </c>
      <c r="F438" s="10">
        <v>310</v>
      </c>
      <c r="G438" s="11">
        <v>0.02</v>
      </c>
      <c r="H438" s="10">
        <v>2430.4</v>
      </c>
      <c r="I438" s="9">
        <v>0</v>
      </c>
      <c r="J438" s="10">
        <v>0</v>
      </c>
      <c r="K438" s="9">
        <v>8</v>
      </c>
      <c r="L438" s="10">
        <v>2430.4</v>
      </c>
      <c r="M438" s="10">
        <v>1852.65</v>
      </c>
      <c r="N438" s="10">
        <v>577.75</v>
      </c>
      <c r="O438" s="11">
        <f t="shared" si="22"/>
        <v>0.23771807109940749</v>
      </c>
      <c r="P438" s="10">
        <v>131.63</v>
      </c>
      <c r="Q438" s="10">
        <v>446.12</v>
      </c>
      <c r="R438" s="11">
        <f t="shared" si="23"/>
        <v>0.18355826201448322</v>
      </c>
      <c r="S438" t="s">
        <v>75</v>
      </c>
      <c r="T438" t="s">
        <v>86</v>
      </c>
      <c r="U438" t="s">
        <v>71</v>
      </c>
    </row>
    <row r="439" spans="1:21" x14ac:dyDescent="0.35">
      <c r="A439" t="s">
        <v>555</v>
      </c>
      <c r="B439" s="5">
        <v>45702</v>
      </c>
      <c r="C439" t="s">
        <v>107</v>
      </c>
      <c r="D439" t="s">
        <v>74</v>
      </c>
      <c r="E439" s="9">
        <v>3</v>
      </c>
      <c r="F439" s="10">
        <v>125</v>
      </c>
      <c r="G439" s="11">
        <v>0.1</v>
      </c>
      <c r="H439" s="10">
        <v>337.5</v>
      </c>
      <c r="I439" s="9">
        <v>0</v>
      </c>
      <c r="J439" s="10">
        <v>0</v>
      </c>
      <c r="K439" s="9">
        <v>3</v>
      </c>
      <c r="L439" s="10">
        <v>337.5</v>
      </c>
      <c r="M439" s="10">
        <v>280.77</v>
      </c>
      <c r="N439" s="10">
        <v>56.73</v>
      </c>
      <c r="O439" s="11">
        <f t="shared" si="22"/>
        <v>0.16808888888888887</v>
      </c>
      <c r="P439" s="10">
        <v>22.58</v>
      </c>
      <c r="Q439" s="10">
        <v>34.15</v>
      </c>
      <c r="R439" s="11">
        <f t="shared" si="23"/>
        <v>0.10118518518518518</v>
      </c>
      <c r="S439" t="s">
        <v>59</v>
      </c>
      <c r="T439" t="s">
        <v>60</v>
      </c>
      <c r="U439" t="s">
        <v>61</v>
      </c>
    </row>
    <row r="440" spans="1:21" x14ac:dyDescent="0.35">
      <c r="A440" t="s">
        <v>556</v>
      </c>
      <c r="B440" s="5">
        <v>45950</v>
      </c>
      <c r="C440" t="s">
        <v>117</v>
      </c>
      <c r="D440" t="s">
        <v>74</v>
      </c>
      <c r="E440" s="9">
        <v>2</v>
      </c>
      <c r="F440" s="10">
        <v>95</v>
      </c>
      <c r="G440" s="11">
        <v>0.05</v>
      </c>
      <c r="H440" s="10">
        <v>180.5</v>
      </c>
      <c r="I440" s="9">
        <v>0</v>
      </c>
      <c r="J440" s="10">
        <v>0</v>
      </c>
      <c r="K440" s="9">
        <v>2</v>
      </c>
      <c r="L440" s="10">
        <v>180.5</v>
      </c>
      <c r="M440" s="10">
        <v>150.22999999999999</v>
      </c>
      <c r="N440" s="10">
        <v>30.27</v>
      </c>
      <c r="O440" s="11">
        <f t="shared" si="22"/>
        <v>0.16770083102493075</v>
      </c>
      <c r="P440" s="10">
        <v>11.92</v>
      </c>
      <c r="Q440" s="10">
        <v>18.350000000000001</v>
      </c>
      <c r="R440" s="11">
        <f t="shared" si="23"/>
        <v>0.10166204986149585</v>
      </c>
      <c r="S440" t="s">
        <v>81</v>
      </c>
      <c r="T440" t="s">
        <v>66</v>
      </c>
      <c r="U440" t="s">
        <v>76</v>
      </c>
    </row>
    <row r="441" spans="1:21" x14ac:dyDescent="0.35">
      <c r="A441" t="s">
        <v>558</v>
      </c>
      <c r="B441" s="5">
        <v>45925</v>
      </c>
      <c r="C441" t="s">
        <v>88</v>
      </c>
      <c r="D441" t="s">
        <v>57</v>
      </c>
      <c r="E441" s="9">
        <v>8</v>
      </c>
      <c r="F441" s="10">
        <v>30</v>
      </c>
      <c r="G441" s="11">
        <v>0.05</v>
      </c>
      <c r="H441" s="10">
        <v>228</v>
      </c>
      <c r="I441" s="9">
        <v>0</v>
      </c>
      <c r="J441" s="10">
        <v>0</v>
      </c>
      <c r="K441" s="9">
        <v>8</v>
      </c>
      <c r="L441" s="10">
        <v>228</v>
      </c>
      <c r="M441" s="10">
        <v>148.36000000000001</v>
      </c>
      <c r="N441" s="10">
        <v>79.64</v>
      </c>
      <c r="O441" s="11">
        <f t="shared" si="22"/>
        <v>0.34929824561403511</v>
      </c>
      <c r="P441" s="10">
        <v>19.34</v>
      </c>
      <c r="Q441" s="10">
        <v>60.3</v>
      </c>
      <c r="R441" s="11">
        <f t="shared" si="23"/>
        <v>0.26447368421052631</v>
      </c>
      <c r="S441" t="s">
        <v>75</v>
      </c>
      <c r="T441" t="s">
        <v>66</v>
      </c>
      <c r="U441" t="s">
        <v>61</v>
      </c>
    </row>
    <row r="442" spans="1:21" x14ac:dyDescent="0.35">
      <c r="A442" t="s">
        <v>559</v>
      </c>
      <c r="B442" s="5">
        <v>45947</v>
      </c>
      <c r="C442" t="s">
        <v>84</v>
      </c>
      <c r="D442" t="s">
        <v>85</v>
      </c>
      <c r="E442" s="9">
        <v>8</v>
      </c>
      <c r="F442" s="10">
        <v>48</v>
      </c>
      <c r="G442" s="11">
        <v>0</v>
      </c>
      <c r="H442" s="10">
        <v>384</v>
      </c>
      <c r="I442" s="9">
        <v>0</v>
      </c>
      <c r="J442" s="10">
        <v>0</v>
      </c>
      <c r="K442" s="9">
        <v>8</v>
      </c>
      <c r="L442" s="10">
        <v>384</v>
      </c>
      <c r="M442" s="10">
        <v>273.62</v>
      </c>
      <c r="N442" s="10">
        <v>110.38</v>
      </c>
      <c r="O442" s="11">
        <f t="shared" si="22"/>
        <v>0.28744791666666664</v>
      </c>
      <c r="P442" s="10">
        <v>25.68</v>
      </c>
      <c r="Q442" s="10">
        <v>84.7</v>
      </c>
      <c r="R442" s="11">
        <f t="shared" si="23"/>
        <v>0.22057291666666667</v>
      </c>
      <c r="S442" t="s">
        <v>59</v>
      </c>
      <c r="T442" t="s">
        <v>86</v>
      </c>
      <c r="U442" t="s">
        <v>71</v>
      </c>
    </row>
    <row r="443" spans="1:21" x14ac:dyDescent="0.35">
      <c r="A443" t="s">
        <v>560</v>
      </c>
      <c r="B443" s="5">
        <v>45953</v>
      </c>
      <c r="C443" t="s">
        <v>109</v>
      </c>
      <c r="D443" t="s">
        <v>85</v>
      </c>
      <c r="E443" s="9">
        <v>8</v>
      </c>
      <c r="F443" s="10">
        <v>180</v>
      </c>
      <c r="G443" s="11">
        <v>0</v>
      </c>
      <c r="H443" s="10">
        <v>1440</v>
      </c>
      <c r="I443" s="9">
        <v>0</v>
      </c>
      <c r="J443" s="10">
        <v>0</v>
      </c>
      <c r="K443" s="9">
        <v>8</v>
      </c>
      <c r="L443" s="10">
        <v>1440</v>
      </c>
      <c r="M443" s="10">
        <v>1044.33</v>
      </c>
      <c r="N443" s="10">
        <v>395.67</v>
      </c>
      <c r="O443" s="11">
        <f t="shared" si="22"/>
        <v>0.27477083333333335</v>
      </c>
      <c r="P443" s="10">
        <v>185.51</v>
      </c>
      <c r="Q443" s="10">
        <v>210.16</v>
      </c>
      <c r="R443" s="11">
        <f t="shared" si="23"/>
        <v>0.14594444444444443</v>
      </c>
      <c r="S443" t="s">
        <v>65</v>
      </c>
      <c r="T443" t="s">
        <v>86</v>
      </c>
      <c r="U443" t="s">
        <v>61</v>
      </c>
    </row>
    <row r="444" spans="1:21" x14ac:dyDescent="0.35">
      <c r="A444" t="s">
        <v>561</v>
      </c>
      <c r="B444" s="5">
        <v>45706</v>
      </c>
      <c r="C444" t="s">
        <v>88</v>
      </c>
      <c r="D444" t="s">
        <v>57</v>
      </c>
      <c r="E444" s="9">
        <v>1</v>
      </c>
      <c r="F444" s="10">
        <v>30</v>
      </c>
      <c r="G444" s="11">
        <v>0.02</v>
      </c>
      <c r="H444" s="10">
        <v>29.4</v>
      </c>
      <c r="I444" s="9">
        <v>1</v>
      </c>
      <c r="J444" s="10">
        <v>29.4</v>
      </c>
      <c r="K444" s="9">
        <v>0</v>
      </c>
      <c r="L444" s="10">
        <v>0</v>
      </c>
      <c r="M444" s="10">
        <v>0</v>
      </c>
      <c r="N444" s="10">
        <v>0</v>
      </c>
      <c r="O444" s="11">
        <v>0</v>
      </c>
      <c r="P444" s="10">
        <v>0</v>
      </c>
      <c r="Q444" s="10">
        <v>0</v>
      </c>
      <c r="R444" s="11">
        <v>0</v>
      </c>
      <c r="S444" t="s">
        <v>65</v>
      </c>
      <c r="T444" t="s">
        <v>66</v>
      </c>
      <c r="U444" t="s">
        <v>67</v>
      </c>
    </row>
    <row r="445" spans="1:21" x14ac:dyDescent="0.35">
      <c r="A445" t="s">
        <v>562</v>
      </c>
      <c r="B445" s="5">
        <v>45935</v>
      </c>
      <c r="C445" t="s">
        <v>63</v>
      </c>
      <c r="D445" t="s">
        <v>64</v>
      </c>
      <c r="E445" s="9">
        <v>1</v>
      </c>
      <c r="F445" s="10">
        <v>145</v>
      </c>
      <c r="G445" s="11">
        <v>0.05</v>
      </c>
      <c r="H445" s="10">
        <v>137.75</v>
      </c>
      <c r="I445" s="9">
        <v>0</v>
      </c>
      <c r="J445" s="10">
        <v>0</v>
      </c>
      <c r="K445" s="9">
        <v>1</v>
      </c>
      <c r="L445" s="10">
        <v>137.75</v>
      </c>
      <c r="M445" s="10">
        <v>90.26</v>
      </c>
      <c r="N445" s="10">
        <v>47.49</v>
      </c>
      <c r="O445" s="11">
        <f t="shared" ref="O445:O476" si="24">N445/L445</f>
        <v>0.34475499092558987</v>
      </c>
      <c r="P445" s="10">
        <v>16.420000000000002</v>
      </c>
      <c r="Q445" s="10">
        <v>31.07</v>
      </c>
      <c r="R445" s="11">
        <f t="shared" ref="R445:R476" si="25">Q445/L445</f>
        <v>0.22555353901996369</v>
      </c>
      <c r="S445" t="s">
        <v>81</v>
      </c>
      <c r="T445" t="s">
        <v>60</v>
      </c>
      <c r="U445" t="s">
        <v>76</v>
      </c>
    </row>
    <row r="446" spans="1:21" x14ac:dyDescent="0.35">
      <c r="A446" t="s">
        <v>563</v>
      </c>
      <c r="B446" s="5">
        <v>45895</v>
      </c>
      <c r="C446" t="s">
        <v>264</v>
      </c>
      <c r="D446" t="s">
        <v>85</v>
      </c>
      <c r="E446" s="9">
        <v>3</v>
      </c>
      <c r="F446" s="10">
        <v>20</v>
      </c>
      <c r="G446" s="11">
        <v>0.05</v>
      </c>
      <c r="H446" s="10">
        <v>57</v>
      </c>
      <c r="I446" s="9">
        <v>0</v>
      </c>
      <c r="J446" s="10">
        <v>0</v>
      </c>
      <c r="K446" s="9">
        <v>3</v>
      </c>
      <c r="L446" s="10">
        <v>57</v>
      </c>
      <c r="M446" s="10">
        <v>37.22</v>
      </c>
      <c r="N446" s="10">
        <v>19.78</v>
      </c>
      <c r="O446" s="11">
        <f t="shared" si="24"/>
        <v>0.34701754385964917</v>
      </c>
      <c r="P446" s="10">
        <v>5.16</v>
      </c>
      <c r="Q446" s="10">
        <v>14.62</v>
      </c>
      <c r="R446" s="11">
        <f t="shared" si="25"/>
        <v>0.25649122807017544</v>
      </c>
      <c r="S446" t="s">
        <v>65</v>
      </c>
      <c r="T446" t="s">
        <v>60</v>
      </c>
      <c r="U446" t="s">
        <v>61</v>
      </c>
    </row>
    <row r="447" spans="1:21" x14ac:dyDescent="0.35">
      <c r="A447" t="s">
        <v>564</v>
      </c>
      <c r="B447" s="5">
        <v>45763</v>
      </c>
      <c r="C447" t="s">
        <v>117</v>
      </c>
      <c r="D447" t="s">
        <v>74</v>
      </c>
      <c r="E447" s="9">
        <v>1</v>
      </c>
      <c r="F447" s="10">
        <v>95</v>
      </c>
      <c r="G447" s="11">
        <v>0.1</v>
      </c>
      <c r="H447" s="10">
        <v>85.5</v>
      </c>
      <c r="I447" s="9">
        <v>0</v>
      </c>
      <c r="J447" s="10">
        <v>0</v>
      </c>
      <c r="K447" s="9">
        <v>1</v>
      </c>
      <c r="L447" s="10">
        <v>85.5</v>
      </c>
      <c r="M447" s="10">
        <v>62.07</v>
      </c>
      <c r="N447" s="10">
        <v>23.43</v>
      </c>
      <c r="O447" s="11">
        <f t="shared" si="24"/>
        <v>0.27403508771929824</v>
      </c>
      <c r="P447" s="10">
        <v>6.98</v>
      </c>
      <c r="Q447" s="10">
        <v>16.45</v>
      </c>
      <c r="R447" s="11">
        <f t="shared" si="25"/>
        <v>0.19239766081871343</v>
      </c>
      <c r="S447" t="s">
        <v>75</v>
      </c>
      <c r="T447" t="s">
        <v>86</v>
      </c>
      <c r="U447" t="s">
        <v>71</v>
      </c>
    </row>
    <row r="448" spans="1:21" x14ac:dyDescent="0.35">
      <c r="A448" t="s">
        <v>565</v>
      </c>
      <c r="B448" s="5">
        <v>45763</v>
      </c>
      <c r="C448" t="s">
        <v>97</v>
      </c>
      <c r="D448" t="s">
        <v>57</v>
      </c>
      <c r="E448" s="9">
        <v>1</v>
      </c>
      <c r="F448" s="10">
        <v>55</v>
      </c>
      <c r="G448" s="11">
        <v>0</v>
      </c>
      <c r="H448" s="10">
        <v>55</v>
      </c>
      <c r="I448" s="9">
        <v>0</v>
      </c>
      <c r="J448" s="10">
        <v>0</v>
      </c>
      <c r="K448" s="9">
        <v>1</v>
      </c>
      <c r="L448" s="10">
        <v>55</v>
      </c>
      <c r="M448" s="10">
        <v>41.32</v>
      </c>
      <c r="N448" s="10">
        <v>13.68</v>
      </c>
      <c r="O448" s="11">
        <f t="shared" si="24"/>
        <v>0.24872727272727271</v>
      </c>
      <c r="P448" s="10">
        <v>5.67</v>
      </c>
      <c r="Q448" s="10">
        <v>8.01</v>
      </c>
      <c r="R448" s="11">
        <f t="shared" si="25"/>
        <v>0.14563636363636362</v>
      </c>
      <c r="S448" t="s">
        <v>59</v>
      </c>
      <c r="T448" t="s">
        <v>60</v>
      </c>
      <c r="U448" t="s">
        <v>76</v>
      </c>
    </row>
    <row r="449" spans="1:21" x14ac:dyDescent="0.35">
      <c r="A449" t="s">
        <v>566</v>
      </c>
      <c r="B449" s="5">
        <v>45865</v>
      </c>
      <c r="C449" t="s">
        <v>56</v>
      </c>
      <c r="D449" t="s">
        <v>57</v>
      </c>
      <c r="E449" s="9">
        <v>3</v>
      </c>
      <c r="F449" s="10">
        <v>40</v>
      </c>
      <c r="G449" s="11">
        <v>0.05</v>
      </c>
      <c r="H449" s="10">
        <v>114</v>
      </c>
      <c r="I449" s="9">
        <v>1</v>
      </c>
      <c r="J449" s="10">
        <v>38</v>
      </c>
      <c r="K449" s="9">
        <v>2</v>
      </c>
      <c r="L449" s="10">
        <v>76</v>
      </c>
      <c r="M449" s="10">
        <v>64.27</v>
      </c>
      <c r="N449" s="10">
        <v>11.73</v>
      </c>
      <c r="O449" s="11">
        <f t="shared" si="24"/>
        <v>0.15434210526315789</v>
      </c>
      <c r="P449" s="10">
        <v>6.78</v>
      </c>
      <c r="Q449" s="10">
        <v>4.95</v>
      </c>
      <c r="R449" s="11">
        <f t="shared" si="25"/>
        <v>6.5131578947368429E-2</v>
      </c>
      <c r="S449" t="s">
        <v>75</v>
      </c>
      <c r="T449" t="s">
        <v>60</v>
      </c>
      <c r="U449" t="s">
        <v>61</v>
      </c>
    </row>
    <row r="450" spans="1:21" x14ac:dyDescent="0.35">
      <c r="A450" t="s">
        <v>567</v>
      </c>
      <c r="B450" s="5">
        <v>45952</v>
      </c>
      <c r="C450" t="s">
        <v>69</v>
      </c>
      <c r="D450" t="s">
        <v>70</v>
      </c>
      <c r="E450" s="9">
        <v>4</v>
      </c>
      <c r="F450" s="10">
        <v>210</v>
      </c>
      <c r="G450" s="11">
        <v>0.02</v>
      </c>
      <c r="H450" s="10">
        <v>823.2</v>
      </c>
      <c r="I450" s="9">
        <v>0</v>
      </c>
      <c r="J450" s="10">
        <v>0</v>
      </c>
      <c r="K450" s="9">
        <v>4</v>
      </c>
      <c r="L450" s="10">
        <v>823.2</v>
      </c>
      <c r="M450" s="10">
        <v>533.5</v>
      </c>
      <c r="N450" s="10">
        <v>289.7</v>
      </c>
      <c r="O450" s="11">
        <f t="shared" si="24"/>
        <v>0.35191933916423707</v>
      </c>
      <c r="P450" s="10">
        <v>49.28</v>
      </c>
      <c r="Q450" s="10">
        <v>240.42</v>
      </c>
      <c r="R450" s="11">
        <f t="shared" si="25"/>
        <v>0.2920553935860058</v>
      </c>
      <c r="S450" t="s">
        <v>65</v>
      </c>
      <c r="T450" t="s">
        <v>60</v>
      </c>
      <c r="U450" t="s">
        <v>67</v>
      </c>
    </row>
    <row r="451" spans="1:21" x14ac:dyDescent="0.35">
      <c r="A451" t="s">
        <v>568</v>
      </c>
      <c r="B451" s="5">
        <v>46003</v>
      </c>
      <c r="C451" t="s">
        <v>88</v>
      </c>
      <c r="D451" t="s">
        <v>57</v>
      </c>
      <c r="E451" s="9">
        <v>1</v>
      </c>
      <c r="F451" s="10">
        <v>30</v>
      </c>
      <c r="G451" s="11">
        <v>0.15</v>
      </c>
      <c r="H451" s="10">
        <v>25.5</v>
      </c>
      <c r="I451" s="9">
        <v>0</v>
      </c>
      <c r="J451" s="10">
        <v>0</v>
      </c>
      <c r="K451" s="9">
        <v>1</v>
      </c>
      <c r="L451" s="10">
        <v>25.5</v>
      </c>
      <c r="M451" s="10">
        <v>16.88</v>
      </c>
      <c r="N451" s="10">
        <v>8.6199999999999992</v>
      </c>
      <c r="O451" s="11">
        <f t="shared" si="24"/>
        <v>0.33803921568627449</v>
      </c>
      <c r="P451" s="10">
        <v>2.46</v>
      </c>
      <c r="Q451" s="10">
        <v>6.16</v>
      </c>
      <c r="R451" s="11">
        <f t="shared" si="25"/>
        <v>0.2415686274509804</v>
      </c>
      <c r="S451" t="s">
        <v>81</v>
      </c>
      <c r="T451" t="s">
        <v>60</v>
      </c>
      <c r="U451" t="s">
        <v>71</v>
      </c>
    </row>
    <row r="452" spans="1:21" x14ac:dyDescent="0.35">
      <c r="A452" t="s">
        <v>569</v>
      </c>
      <c r="B452" s="5">
        <v>45777</v>
      </c>
      <c r="C452" t="s">
        <v>63</v>
      </c>
      <c r="D452" t="s">
        <v>64</v>
      </c>
      <c r="E452" s="9">
        <v>10</v>
      </c>
      <c r="F452" s="10">
        <v>145</v>
      </c>
      <c r="G452" s="11">
        <v>0.1</v>
      </c>
      <c r="H452" s="10">
        <v>1305</v>
      </c>
      <c r="I452" s="9">
        <v>0</v>
      </c>
      <c r="J452" s="10">
        <v>0</v>
      </c>
      <c r="K452" s="9">
        <v>10</v>
      </c>
      <c r="L452" s="10">
        <v>1305</v>
      </c>
      <c r="M452" s="10">
        <v>1041.3699999999999</v>
      </c>
      <c r="N452" s="10">
        <v>263.63</v>
      </c>
      <c r="O452" s="11">
        <f t="shared" si="24"/>
        <v>0.20201532567049807</v>
      </c>
      <c r="P452" s="10">
        <v>78.989999999999995</v>
      </c>
      <c r="Q452" s="10">
        <v>184.64</v>
      </c>
      <c r="R452" s="11">
        <f t="shared" si="25"/>
        <v>0.14148659003831415</v>
      </c>
      <c r="S452" t="s">
        <v>65</v>
      </c>
      <c r="T452" t="s">
        <v>66</v>
      </c>
      <c r="U452" t="s">
        <v>71</v>
      </c>
    </row>
    <row r="453" spans="1:21" x14ac:dyDescent="0.35">
      <c r="A453" t="s">
        <v>570</v>
      </c>
      <c r="B453" s="5">
        <v>45857</v>
      </c>
      <c r="C453" t="s">
        <v>95</v>
      </c>
      <c r="D453" t="s">
        <v>64</v>
      </c>
      <c r="E453" s="9">
        <v>1</v>
      </c>
      <c r="F453" s="10">
        <v>52</v>
      </c>
      <c r="G453" s="11">
        <v>0</v>
      </c>
      <c r="H453" s="10">
        <v>52</v>
      </c>
      <c r="I453" s="9">
        <v>0</v>
      </c>
      <c r="J453" s="10">
        <v>0</v>
      </c>
      <c r="K453" s="9">
        <v>1</v>
      </c>
      <c r="L453" s="10">
        <v>52</v>
      </c>
      <c r="M453" s="10">
        <v>42.54</v>
      </c>
      <c r="N453" s="10">
        <v>9.4600000000000009</v>
      </c>
      <c r="O453" s="11">
        <f t="shared" si="24"/>
        <v>0.18192307692307694</v>
      </c>
      <c r="P453" s="10">
        <v>6.46</v>
      </c>
      <c r="Q453" s="10">
        <v>3</v>
      </c>
      <c r="R453" s="11">
        <f t="shared" si="25"/>
        <v>5.7692307692307696E-2</v>
      </c>
      <c r="S453" t="s">
        <v>59</v>
      </c>
      <c r="T453" t="s">
        <v>86</v>
      </c>
      <c r="U453" t="s">
        <v>71</v>
      </c>
    </row>
    <row r="454" spans="1:21" x14ac:dyDescent="0.35">
      <c r="A454" t="s">
        <v>571</v>
      </c>
      <c r="B454" s="5">
        <v>45944</v>
      </c>
      <c r="C454" t="s">
        <v>109</v>
      </c>
      <c r="D454" t="s">
        <v>85</v>
      </c>
      <c r="E454" s="9">
        <v>2</v>
      </c>
      <c r="F454" s="10">
        <v>180</v>
      </c>
      <c r="G454" s="11">
        <v>0.05</v>
      </c>
      <c r="H454" s="10">
        <v>342</v>
      </c>
      <c r="I454" s="9">
        <v>0</v>
      </c>
      <c r="J454" s="10">
        <v>0</v>
      </c>
      <c r="K454" s="9">
        <v>2</v>
      </c>
      <c r="L454" s="10">
        <v>342</v>
      </c>
      <c r="M454" s="10">
        <v>242.2</v>
      </c>
      <c r="N454" s="10">
        <v>99.8</v>
      </c>
      <c r="O454" s="11">
        <f t="shared" si="24"/>
        <v>0.29181286549707602</v>
      </c>
      <c r="P454" s="10">
        <v>32.33</v>
      </c>
      <c r="Q454" s="10">
        <v>67.47</v>
      </c>
      <c r="R454" s="11">
        <f t="shared" si="25"/>
        <v>0.19728070175438597</v>
      </c>
      <c r="S454" t="s">
        <v>75</v>
      </c>
      <c r="T454" t="s">
        <v>60</v>
      </c>
      <c r="U454" t="s">
        <v>67</v>
      </c>
    </row>
    <row r="455" spans="1:21" x14ac:dyDescent="0.35">
      <c r="A455" t="s">
        <v>572</v>
      </c>
      <c r="B455" s="5">
        <v>45670</v>
      </c>
      <c r="C455" t="s">
        <v>104</v>
      </c>
      <c r="D455" t="s">
        <v>105</v>
      </c>
      <c r="E455" s="9">
        <v>4</v>
      </c>
      <c r="F455" s="10">
        <v>65</v>
      </c>
      <c r="G455" s="11">
        <v>0</v>
      </c>
      <c r="H455" s="10">
        <v>260</v>
      </c>
      <c r="I455" s="9">
        <v>0</v>
      </c>
      <c r="J455" s="10">
        <v>0</v>
      </c>
      <c r="K455" s="9">
        <v>4</v>
      </c>
      <c r="L455" s="10">
        <v>260</v>
      </c>
      <c r="M455" s="10">
        <v>174.82</v>
      </c>
      <c r="N455" s="10">
        <v>85.18</v>
      </c>
      <c r="O455" s="11">
        <f t="shared" si="24"/>
        <v>0.32761538461538464</v>
      </c>
      <c r="P455" s="10">
        <v>18.190000000000001</v>
      </c>
      <c r="Q455" s="10">
        <v>66.989999999999995</v>
      </c>
      <c r="R455" s="11">
        <f t="shared" si="25"/>
        <v>0.25765384615384612</v>
      </c>
      <c r="S455" t="s">
        <v>75</v>
      </c>
      <c r="T455" t="s">
        <v>60</v>
      </c>
      <c r="U455" t="s">
        <v>71</v>
      </c>
    </row>
    <row r="456" spans="1:21" x14ac:dyDescent="0.35">
      <c r="A456" t="s">
        <v>573</v>
      </c>
      <c r="B456" s="5">
        <v>45930</v>
      </c>
      <c r="C456" t="s">
        <v>78</v>
      </c>
      <c r="D456" t="s">
        <v>79</v>
      </c>
      <c r="E456" s="9">
        <v>1</v>
      </c>
      <c r="F456" s="10">
        <v>120</v>
      </c>
      <c r="G456" s="11">
        <v>0</v>
      </c>
      <c r="H456" s="10">
        <v>120</v>
      </c>
      <c r="I456" s="9">
        <v>0</v>
      </c>
      <c r="J456" s="10">
        <v>0</v>
      </c>
      <c r="K456" s="9">
        <v>1</v>
      </c>
      <c r="L456" s="10">
        <v>120</v>
      </c>
      <c r="M456" s="10">
        <v>81.08</v>
      </c>
      <c r="N456" s="10">
        <v>38.92</v>
      </c>
      <c r="O456" s="11">
        <f t="shared" si="24"/>
        <v>0.32433333333333336</v>
      </c>
      <c r="P456" s="10">
        <v>11.32</v>
      </c>
      <c r="Q456" s="10">
        <v>27.6</v>
      </c>
      <c r="R456" s="11">
        <f t="shared" si="25"/>
        <v>0.23</v>
      </c>
      <c r="S456" t="s">
        <v>65</v>
      </c>
      <c r="T456" t="s">
        <v>82</v>
      </c>
      <c r="U456" t="s">
        <v>61</v>
      </c>
    </row>
    <row r="457" spans="1:21" x14ac:dyDescent="0.35">
      <c r="A457" t="s">
        <v>574</v>
      </c>
      <c r="B457" s="5">
        <v>45926</v>
      </c>
      <c r="C457" t="s">
        <v>78</v>
      </c>
      <c r="D457" t="s">
        <v>79</v>
      </c>
      <c r="E457" s="9">
        <v>8</v>
      </c>
      <c r="F457" s="10">
        <v>120</v>
      </c>
      <c r="G457" s="11">
        <v>0.1</v>
      </c>
      <c r="H457" s="10">
        <v>864</v>
      </c>
      <c r="I457" s="9">
        <v>0</v>
      </c>
      <c r="J457" s="10">
        <v>0</v>
      </c>
      <c r="K457" s="9">
        <v>8</v>
      </c>
      <c r="L457" s="10">
        <v>864</v>
      </c>
      <c r="M457" s="10">
        <v>662.16</v>
      </c>
      <c r="N457" s="10">
        <v>201.84</v>
      </c>
      <c r="O457" s="11">
        <f t="shared" si="24"/>
        <v>0.2336111111111111</v>
      </c>
      <c r="P457" s="10">
        <v>97.52</v>
      </c>
      <c r="Q457" s="10">
        <v>104.32</v>
      </c>
      <c r="R457" s="11">
        <f t="shared" si="25"/>
        <v>0.12074074074074073</v>
      </c>
      <c r="S457" t="s">
        <v>59</v>
      </c>
      <c r="T457" t="s">
        <v>66</v>
      </c>
      <c r="U457" t="s">
        <v>67</v>
      </c>
    </row>
    <row r="458" spans="1:21" x14ac:dyDescent="0.35">
      <c r="A458" t="s">
        <v>575</v>
      </c>
      <c r="B458" s="5">
        <v>45878</v>
      </c>
      <c r="C458" t="s">
        <v>117</v>
      </c>
      <c r="D458" t="s">
        <v>74</v>
      </c>
      <c r="E458" s="9">
        <v>3</v>
      </c>
      <c r="F458" s="10">
        <v>95</v>
      </c>
      <c r="G458" s="11">
        <v>0.05</v>
      </c>
      <c r="H458" s="10">
        <v>270.75</v>
      </c>
      <c r="I458" s="9">
        <v>0</v>
      </c>
      <c r="J458" s="10">
        <v>0</v>
      </c>
      <c r="K458" s="9">
        <v>3</v>
      </c>
      <c r="L458" s="10">
        <v>270.75</v>
      </c>
      <c r="M458" s="10">
        <v>201.19</v>
      </c>
      <c r="N458" s="10">
        <v>69.56</v>
      </c>
      <c r="O458" s="11">
        <f t="shared" si="24"/>
        <v>0.25691597414589107</v>
      </c>
      <c r="P458" s="10">
        <v>33.79</v>
      </c>
      <c r="Q458" s="10">
        <v>35.770000000000003</v>
      </c>
      <c r="R458" s="11">
        <f t="shared" si="25"/>
        <v>0.13211449676823639</v>
      </c>
      <c r="S458" t="s">
        <v>81</v>
      </c>
      <c r="T458" t="s">
        <v>82</v>
      </c>
      <c r="U458" t="s">
        <v>71</v>
      </c>
    </row>
    <row r="459" spans="1:21" x14ac:dyDescent="0.35">
      <c r="A459" t="s">
        <v>576</v>
      </c>
      <c r="B459" s="5">
        <v>45800</v>
      </c>
      <c r="C459" t="s">
        <v>90</v>
      </c>
      <c r="D459" t="s">
        <v>70</v>
      </c>
      <c r="E459" s="9">
        <v>4</v>
      </c>
      <c r="F459" s="10">
        <v>38</v>
      </c>
      <c r="G459" s="11">
        <v>0.05</v>
      </c>
      <c r="H459" s="10">
        <v>144.4</v>
      </c>
      <c r="I459" s="9">
        <v>0</v>
      </c>
      <c r="J459" s="10">
        <v>0</v>
      </c>
      <c r="K459" s="9">
        <v>4</v>
      </c>
      <c r="L459" s="10">
        <v>144.4</v>
      </c>
      <c r="M459" s="10">
        <v>91.1</v>
      </c>
      <c r="N459" s="10">
        <v>53.3</v>
      </c>
      <c r="O459" s="11">
        <f t="shared" si="24"/>
        <v>0.36911357340720219</v>
      </c>
      <c r="P459" s="10">
        <v>9.84</v>
      </c>
      <c r="Q459" s="10">
        <v>43.46</v>
      </c>
      <c r="R459" s="11">
        <f t="shared" si="25"/>
        <v>0.30096952908587254</v>
      </c>
      <c r="S459" t="s">
        <v>75</v>
      </c>
      <c r="T459" t="s">
        <v>86</v>
      </c>
      <c r="U459" t="s">
        <v>71</v>
      </c>
    </row>
    <row r="460" spans="1:21" x14ac:dyDescent="0.35">
      <c r="A460" t="s">
        <v>577</v>
      </c>
      <c r="B460" s="5">
        <v>45839</v>
      </c>
      <c r="C460" t="s">
        <v>69</v>
      </c>
      <c r="D460" t="s">
        <v>70</v>
      </c>
      <c r="E460" s="9">
        <v>3</v>
      </c>
      <c r="F460" s="10">
        <v>210</v>
      </c>
      <c r="G460" s="11">
        <v>0</v>
      </c>
      <c r="H460" s="10">
        <v>630</v>
      </c>
      <c r="I460" s="9">
        <v>0</v>
      </c>
      <c r="J460" s="10">
        <v>0</v>
      </c>
      <c r="K460" s="9">
        <v>3</v>
      </c>
      <c r="L460" s="10">
        <v>630</v>
      </c>
      <c r="M460" s="10">
        <v>395.88</v>
      </c>
      <c r="N460" s="10">
        <v>234.12</v>
      </c>
      <c r="O460" s="11">
        <f t="shared" si="24"/>
        <v>0.37161904761904763</v>
      </c>
      <c r="P460" s="10">
        <v>53.58</v>
      </c>
      <c r="Q460" s="10">
        <v>180.54</v>
      </c>
      <c r="R460" s="11">
        <f t="shared" si="25"/>
        <v>0.28657142857142853</v>
      </c>
      <c r="S460" t="s">
        <v>59</v>
      </c>
      <c r="T460" t="s">
        <v>66</v>
      </c>
      <c r="U460" t="s">
        <v>61</v>
      </c>
    </row>
    <row r="461" spans="1:21" x14ac:dyDescent="0.35">
      <c r="A461" t="s">
        <v>578</v>
      </c>
      <c r="B461" s="5">
        <v>45729</v>
      </c>
      <c r="C461" t="s">
        <v>95</v>
      </c>
      <c r="D461" t="s">
        <v>64</v>
      </c>
      <c r="E461" s="9">
        <v>5</v>
      </c>
      <c r="F461" s="10">
        <v>52</v>
      </c>
      <c r="G461" s="11">
        <v>0</v>
      </c>
      <c r="H461" s="10">
        <v>260</v>
      </c>
      <c r="I461" s="9">
        <v>0</v>
      </c>
      <c r="J461" s="10">
        <v>0</v>
      </c>
      <c r="K461" s="9">
        <v>5</v>
      </c>
      <c r="L461" s="10">
        <v>260</v>
      </c>
      <c r="M461" s="10">
        <v>182.17</v>
      </c>
      <c r="N461" s="10">
        <v>77.83</v>
      </c>
      <c r="O461" s="11">
        <f t="shared" si="24"/>
        <v>0.29934615384615382</v>
      </c>
      <c r="P461" s="10">
        <v>29.09</v>
      </c>
      <c r="Q461" s="10">
        <v>48.74</v>
      </c>
      <c r="R461" s="11">
        <f t="shared" si="25"/>
        <v>0.18746153846153846</v>
      </c>
      <c r="S461" t="s">
        <v>59</v>
      </c>
      <c r="T461" t="s">
        <v>82</v>
      </c>
      <c r="U461" t="s">
        <v>61</v>
      </c>
    </row>
    <row r="462" spans="1:21" x14ac:dyDescent="0.35">
      <c r="A462" t="s">
        <v>579</v>
      </c>
      <c r="B462" s="5">
        <v>45878</v>
      </c>
      <c r="C462" t="s">
        <v>114</v>
      </c>
      <c r="D462" t="s">
        <v>64</v>
      </c>
      <c r="E462" s="9">
        <v>3</v>
      </c>
      <c r="F462" s="10">
        <v>420</v>
      </c>
      <c r="G462" s="11">
        <v>0</v>
      </c>
      <c r="H462" s="10">
        <v>1260</v>
      </c>
      <c r="I462" s="9">
        <v>0</v>
      </c>
      <c r="J462" s="10">
        <v>0</v>
      </c>
      <c r="K462" s="9">
        <v>3</v>
      </c>
      <c r="L462" s="10">
        <v>1260</v>
      </c>
      <c r="M462" s="10">
        <v>797.99</v>
      </c>
      <c r="N462" s="10">
        <v>462.01</v>
      </c>
      <c r="O462" s="11">
        <f t="shared" si="24"/>
        <v>0.36667460317460315</v>
      </c>
      <c r="P462" s="10">
        <v>128.66999999999999</v>
      </c>
      <c r="Q462" s="10">
        <v>333.34</v>
      </c>
      <c r="R462" s="11">
        <f t="shared" si="25"/>
        <v>0.26455555555555554</v>
      </c>
      <c r="S462" t="s">
        <v>75</v>
      </c>
      <c r="T462" t="s">
        <v>66</v>
      </c>
      <c r="U462" t="s">
        <v>61</v>
      </c>
    </row>
    <row r="463" spans="1:21" x14ac:dyDescent="0.35">
      <c r="A463" t="s">
        <v>580</v>
      </c>
      <c r="B463" s="5">
        <v>45884</v>
      </c>
      <c r="C463" t="s">
        <v>109</v>
      </c>
      <c r="D463" t="s">
        <v>85</v>
      </c>
      <c r="E463" s="9">
        <v>2</v>
      </c>
      <c r="F463" s="10">
        <v>180</v>
      </c>
      <c r="G463" s="11">
        <v>0</v>
      </c>
      <c r="H463" s="10">
        <v>360</v>
      </c>
      <c r="I463" s="9">
        <v>0</v>
      </c>
      <c r="J463" s="10">
        <v>0</v>
      </c>
      <c r="K463" s="9">
        <v>2</v>
      </c>
      <c r="L463" s="10">
        <v>360</v>
      </c>
      <c r="M463" s="10">
        <v>287.95</v>
      </c>
      <c r="N463" s="10">
        <v>72.05</v>
      </c>
      <c r="O463" s="11">
        <f t="shared" si="24"/>
        <v>0.20013888888888889</v>
      </c>
      <c r="P463" s="10">
        <v>20.52</v>
      </c>
      <c r="Q463" s="10">
        <v>51.53</v>
      </c>
      <c r="R463" s="11">
        <f t="shared" si="25"/>
        <v>0.1431388888888889</v>
      </c>
      <c r="S463" t="s">
        <v>59</v>
      </c>
      <c r="T463" t="s">
        <v>60</v>
      </c>
      <c r="U463" t="s">
        <v>61</v>
      </c>
    </row>
    <row r="464" spans="1:21" x14ac:dyDescent="0.35">
      <c r="A464" t="s">
        <v>581</v>
      </c>
      <c r="B464" s="5">
        <v>45663</v>
      </c>
      <c r="C464" t="s">
        <v>107</v>
      </c>
      <c r="D464" t="s">
        <v>74</v>
      </c>
      <c r="E464" s="9">
        <v>2</v>
      </c>
      <c r="F464" s="10">
        <v>125</v>
      </c>
      <c r="G464" s="11">
        <v>0</v>
      </c>
      <c r="H464" s="10">
        <v>250</v>
      </c>
      <c r="I464" s="9">
        <v>0</v>
      </c>
      <c r="J464" s="10">
        <v>0</v>
      </c>
      <c r="K464" s="9">
        <v>2</v>
      </c>
      <c r="L464" s="10">
        <v>250</v>
      </c>
      <c r="M464" s="10">
        <v>157.49</v>
      </c>
      <c r="N464" s="10">
        <v>92.51</v>
      </c>
      <c r="O464" s="11">
        <f t="shared" si="24"/>
        <v>0.37004000000000004</v>
      </c>
      <c r="P464" s="10">
        <v>24.45</v>
      </c>
      <c r="Q464" s="10">
        <v>68.06</v>
      </c>
      <c r="R464" s="11">
        <f t="shared" si="25"/>
        <v>0.27223999999999998</v>
      </c>
      <c r="S464" t="s">
        <v>59</v>
      </c>
      <c r="T464" t="s">
        <v>86</v>
      </c>
      <c r="U464" t="s">
        <v>71</v>
      </c>
    </row>
    <row r="465" spans="1:21" x14ac:dyDescent="0.35">
      <c r="A465" t="s">
        <v>582</v>
      </c>
      <c r="B465" s="5">
        <v>45821</v>
      </c>
      <c r="C465" t="s">
        <v>100</v>
      </c>
      <c r="D465" t="s">
        <v>64</v>
      </c>
      <c r="E465" s="9">
        <v>3</v>
      </c>
      <c r="F465" s="10">
        <v>310</v>
      </c>
      <c r="G465" s="11">
        <v>0.02</v>
      </c>
      <c r="H465" s="10">
        <v>911.4</v>
      </c>
      <c r="I465" s="9">
        <v>0</v>
      </c>
      <c r="J465" s="10">
        <v>0</v>
      </c>
      <c r="K465" s="9">
        <v>3</v>
      </c>
      <c r="L465" s="10">
        <v>911.4</v>
      </c>
      <c r="M465" s="10">
        <v>675.82</v>
      </c>
      <c r="N465" s="10">
        <v>235.58</v>
      </c>
      <c r="O465" s="11">
        <f t="shared" si="24"/>
        <v>0.25848145709896864</v>
      </c>
      <c r="P465" s="10">
        <v>112.13</v>
      </c>
      <c r="Q465" s="10">
        <v>123.45</v>
      </c>
      <c r="R465" s="11">
        <f t="shared" si="25"/>
        <v>0.13545095457537853</v>
      </c>
      <c r="S465" t="s">
        <v>81</v>
      </c>
      <c r="T465" t="s">
        <v>66</v>
      </c>
      <c r="U465" t="s">
        <v>61</v>
      </c>
    </row>
    <row r="466" spans="1:21" x14ac:dyDescent="0.35">
      <c r="A466" t="s">
        <v>583</v>
      </c>
      <c r="B466" s="5">
        <v>46017</v>
      </c>
      <c r="C466" t="s">
        <v>107</v>
      </c>
      <c r="D466" t="s">
        <v>74</v>
      </c>
      <c r="E466" s="9">
        <v>4</v>
      </c>
      <c r="F466" s="10">
        <v>125</v>
      </c>
      <c r="G466" s="11">
        <v>0.02</v>
      </c>
      <c r="H466" s="10">
        <v>490</v>
      </c>
      <c r="I466" s="9">
        <v>0</v>
      </c>
      <c r="J466" s="10">
        <v>0</v>
      </c>
      <c r="K466" s="9">
        <v>4</v>
      </c>
      <c r="L466" s="10">
        <v>490</v>
      </c>
      <c r="M466" s="10">
        <v>420.24</v>
      </c>
      <c r="N466" s="10">
        <v>69.760000000000005</v>
      </c>
      <c r="O466" s="11">
        <f t="shared" si="24"/>
        <v>0.14236734693877551</v>
      </c>
      <c r="P466" s="10">
        <v>37.83</v>
      </c>
      <c r="Q466" s="10">
        <v>31.93</v>
      </c>
      <c r="R466" s="11">
        <f t="shared" si="25"/>
        <v>6.5163265306122445E-2</v>
      </c>
      <c r="S466" t="s">
        <v>65</v>
      </c>
      <c r="T466" t="s">
        <v>60</v>
      </c>
      <c r="U466" t="s">
        <v>61</v>
      </c>
    </row>
    <row r="467" spans="1:21" x14ac:dyDescent="0.35">
      <c r="A467" t="s">
        <v>584</v>
      </c>
      <c r="B467" s="5">
        <v>45794</v>
      </c>
      <c r="C467" t="s">
        <v>114</v>
      </c>
      <c r="D467" t="s">
        <v>64</v>
      </c>
      <c r="E467" s="9">
        <v>1</v>
      </c>
      <c r="F467" s="10">
        <v>420</v>
      </c>
      <c r="G467" s="11">
        <v>0.15</v>
      </c>
      <c r="H467" s="10">
        <v>357</v>
      </c>
      <c r="I467" s="9">
        <v>0</v>
      </c>
      <c r="J467" s="10">
        <v>0</v>
      </c>
      <c r="K467" s="9">
        <v>1</v>
      </c>
      <c r="L467" s="10">
        <v>357</v>
      </c>
      <c r="M467" s="10">
        <v>267.69</v>
      </c>
      <c r="N467" s="10">
        <v>89.31</v>
      </c>
      <c r="O467" s="11">
        <f t="shared" si="24"/>
        <v>0.25016806722689078</v>
      </c>
      <c r="P467" s="10">
        <v>44.67</v>
      </c>
      <c r="Q467" s="10">
        <v>44.64</v>
      </c>
      <c r="R467" s="11">
        <f t="shared" si="25"/>
        <v>0.12504201680672269</v>
      </c>
      <c r="S467" t="s">
        <v>59</v>
      </c>
      <c r="T467" t="s">
        <v>86</v>
      </c>
      <c r="U467" t="s">
        <v>61</v>
      </c>
    </row>
    <row r="468" spans="1:21" x14ac:dyDescent="0.35">
      <c r="A468" t="s">
        <v>585</v>
      </c>
      <c r="B468" s="5">
        <v>45775</v>
      </c>
      <c r="C468" t="s">
        <v>69</v>
      </c>
      <c r="D468" t="s">
        <v>70</v>
      </c>
      <c r="E468" s="9">
        <v>2</v>
      </c>
      <c r="F468" s="10">
        <v>210</v>
      </c>
      <c r="G468" s="11">
        <v>0</v>
      </c>
      <c r="H468" s="10">
        <v>420</v>
      </c>
      <c r="I468" s="9">
        <v>0</v>
      </c>
      <c r="J468" s="10">
        <v>0</v>
      </c>
      <c r="K468" s="9">
        <v>2</v>
      </c>
      <c r="L468" s="10">
        <v>420</v>
      </c>
      <c r="M468" s="10">
        <v>305.64</v>
      </c>
      <c r="N468" s="10">
        <v>114.36</v>
      </c>
      <c r="O468" s="11">
        <f t="shared" si="24"/>
        <v>0.2722857142857143</v>
      </c>
      <c r="P468" s="10">
        <v>27.36</v>
      </c>
      <c r="Q468" s="10">
        <v>87</v>
      </c>
      <c r="R468" s="11">
        <f t="shared" si="25"/>
        <v>0.20714285714285716</v>
      </c>
      <c r="S468" t="s">
        <v>2133</v>
      </c>
      <c r="T468" t="s">
        <v>66</v>
      </c>
      <c r="U468" t="s">
        <v>71</v>
      </c>
    </row>
    <row r="469" spans="1:21" x14ac:dyDescent="0.35">
      <c r="A469" t="s">
        <v>586</v>
      </c>
      <c r="B469" s="5">
        <v>45770</v>
      </c>
      <c r="C469" t="s">
        <v>104</v>
      </c>
      <c r="D469" t="s">
        <v>105</v>
      </c>
      <c r="E469" s="9">
        <v>5</v>
      </c>
      <c r="F469" s="10">
        <v>65</v>
      </c>
      <c r="G469" s="11">
        <v>0.02</v>
      </c>
      <c r="H469" s="10">
        <v>318.5</v>
      </c>
      <c r="I469" s="9">
        <v>0</v>
      </c>
      <c r="J469" s="10">
        <v>0</v>
      </c>
      <c r="K469" s="9">
        <v>5</v>
      </c>
      <c r="L469" s="10">
        <v>318.5</v>
      </c>
      <c r="M469" s="10">
        <v>266.60000000000002</v>
      </c>
      <c r="N469" s="10">
        <v>51.9</v>
      </c>
      <c r="O469" s="11">
        <f t="shared" si="24"/>
        <v>0.1629513343799058</v>
      </c>
      <c r="P469" s="10">
        <v>35.21</v>
      </c>
      <c r="Q469" s="10">
        <v>16.690000000000001</v>
      </c>
      <c r="R469" s="11">
        <f t="shared" si="25"/>
        <v>5.2401883830455263E-2</v>
      </c>
      <c r="S469" t="s">
        <v>59</v>
      </c>
      <c r="T469" t="s">
        <v>60</v>
      </c>
      <c r="U469" t="s">
        <v>61</v>
      </c>
    </row>
    <row r="470" spans="1:21" x14ac:dyDescent="0.35">
      <c r="A470" t="s">
        <v>587</v>
      </c>
      <c r="B470" s="5">
        <v>45789</v>
      </c>
      <c r="C470" t="s">
        <v>97</v>
      </c>
      <c r="D470" t="s">
        <v>57</v>
      </c>
      <c r="E470" s="9">
        <v>4</v>
      </c>
      <c r="F470" s="10">
        <v>55</v>
      </c>
      <c r="G470" s="11">
        <v>0</v>
      </c>
      <c r="H470" s="10">
        <v>220</v>
      </c>
      <c r="I470" s="9">
        <v>0</v>
      </c>
      <c r="J470" s="10">
        <v>0</v>
      </c>
      <c r="K470" s="9">
        <v>4</v>
      </c>
      <c r="L470" s="10">
        <v>220</v>
      </c>
      <c r="M470" s="10">
        <v>157.65</v>
      </c>
      <c r="N470" s="10">
        <v>62.35</v>
      </c>
      <c r="O470" s="11">
        <f t="shared" si="24"/>
        <v>0.28340909090909089</v>
      </c>
      <c r="P470" s="10">
        <v>26.76</v>
      </c>
      <c r="Q470" s="10">
        <v>35.590000000000003</v>
      </c>
      <c r="R470" s="11">
        <f t="shared" si="25"/>
        <v>0.16177272727272729</v>
      </c>
      <c r="S470" t="s">
        <v>59</v>
      </c>
      <c r="T470" t="s">
        <v>86</v>
      </c>
      <c r="U470" t="s">
        <v>76</v>
      </c>
    </row>
    <row r="471" spans="1:21" x14ac:dyDescent="0.35">
      <c r="A471" t="s">
        <v>588</v>
      </c>
      <c r="B471" s="5">
        <v>45773</v>
      </c>
      <c r="C471" t="s">
        <v>117</v>
      </c>
      <c r="D471" t="s">
        <v>74</v>
      </c>
      <c r="E471" s="9">
        <v>2</v>
      </c>
      <c r="F471" s="10">
        <v>95</v>
      </c>
      <c r="G471" s="11">
        <v>0</v>
      </c>
      <c r="H471" s="10">
        <v>190</v>
      </c>
      <c r="I471" s="9">
        <v>0</v>
      </c>
      <c r="J471" s="10">
        <v>0</v>
      </c>
      <c r="K471" s="9">
        <v>2</v>
      </c>
      <c r="L471" s="10">
        <v>190</v>
      </c>
      <c r="M471" s="10">
        <v>126.22</v>
      </c>
      <c r="N471" s="10">
        <v>63.78</v>
      </c>
      <c r="O471" s="11">
        <f t="shared" si="24"/>
        <v>0.33568421052631581</v>
      </c>
      <c r="P471" s="10">
        <v>16.04</v>
      </c>
      <c r="Q471" s="10">
        <v>47.74</v>
      </c>
      <c r="R471" s="11">
        <f t="shared" si="25"/>
        <v>0.25126315789473685</v>
      </c>
      <c r="S471" t="s">
        <v>81</v>
      </c>
      <c r="T471" t="s">
        <v>66</v>
      </c>
      <c r="U471" t="s">
        <v>71</v>
      </c>
    </row>
    <row r="472" spans="1:21" x14ac:dyDescent="0.35">
      <c r="A472" t="s">
        <v>589</v>
      </c>
      <c r="B472" s="5">
        <v>45682</v>
      </c>
      <c r="C472" t="s">
        <v>114</v>
      </c>
      <c r="D472" t="s">
        <v>64</v>
      </c>
      <c r="E472" s="9">
        <v>1</v>
      </c>
      <c r="F472" s="10">
        <v>420</v>
      </c>
      <c r="G472" s="11">
        <v>0.02</v>
      </c>
      <c r="H472" s="10">
        <v>411.6</v>
      </c>
      <c r="I472" s="9">
        <v>0</v>
      </c>
      <c r="J472" s="10">
        <v>0</v>
      </c>
      <c r="K472" s="9">
        <v>1</v>
      </c>
      <c r="L472" s="10">
        <v>411.6</v>
      </c>
      <c r="M472" s="10">
        <v>349.03</v>
      </c>
      <c r="N472" s="10">
        <v>62.57</v>
      </c>
      <c r="O472" s="11">
        <f t="shared" si="24"/>
        <v>0.15201652089407192</v>
      </c>
      <c r="P472" s="10">
        <v>44.75</v>
      </c>
      <c r="Q472" s="10">
        <v>17.82</v>
      </c>
      <c r="R472" s="11">
        <f t="shared" si="25"/>
        <v>4.3294460641399413E-2</v>
      </c>
      <c r="S472" t="s">
        <v>75</v>
      </c>
      <c r="T472" t="s">
        <v>86</v>
      </c>
      <c r="U472" t="s">
        <v>67</v>
      </c>
    </row>
    <row r="473" spans="1:21" x14ac:dyDescent="0.35">
      <c r="A473" t="s">
        <v>590</v>
      </c>
      <c r="B473" s="5">
        <v>45884</v>
      </c>
      <c r="C473" t="s">
        <v>125</v>
      </c>
      <c r="D473" t="s">
        <v>85</v>
      </c>
      <c r="E473" s="9">
        <v>2</v>
      </c>
      <c r="F473" s="10">
        <v>125</v>
      </c>
      <c r="G473" s="11">
        <v>0</v>
      </c>
      <c r="H473" s="10">
        <v>250</v>
      </c>
      <c r="I473" s="9">
        <v>1</v>
      </c>
      <c r="J473" s="10">
        <v>125</v>
      </c>
      <c r="K473" s="9">
        <v>1</v>
      </c>
      <c r="L473" s="10">
        <v>125</v>
      </c>
      <c r="M473" s="10">
        <v>84.04</v>
      </c>
      <c r="N473" s="10">
        <v>40.96</v>
      </c>
      <c r="O473" s="11">
        <f t="shared" si="24"/>
        <v>0.32768000000000003</v>
      </c>
      <c r="P473" s="10">
        <v>15.57</v>
      </c>
      <c r="Q473" s="10">
        <v>25.39</v>
      </c>
      <c r="R473" s="11">
        <f t="shared" si="25"/>
        <v>0.20311999999999999</v>
      </c>
      <c r="S473" t="s">
        <v>81</v>
      </c>
      <c r="T473" t="s">
        <v>86</v>
      </c>
      <c r="U473" t="s">
        <v>76</v>
      </c>
    </row>
    <row r="474" spans="1:21" x14ac:dyDescent="0.35">
      <c r="A474" t="s">
        <v>591</v>
      </c>
      <c r="B474" s="5">
        <v>45849</v>
      </c>
      <c r="C474" t="s">
        <v>95</v>
      </c>
      <c r="D474" t="s">
        <v>64</v>
      </c>
      <c r="E474" s="9">
        <v>2</v>
      </c>
      <c r="F474" s="10">
        <v>52</v>
      </c>
      <c r="G474" s="11">
        <v>0.02</v>
      </c>
      <c r="H474" s="10">
        <v>101.92</v>
      </c>
      <c r="I474" s="9">
        <v>0</v>
      </c>
      <c r="J474" s="10">
        <v>0</v>
      </c>
      <c r="K474" s="9">
        <v>2</v>
      </c>
      <c r="L474" s="10">
        <v>101.92</v>
      </c>
      <c r="M474" s="10">
        <v>86.25</v>
      </c>
      <c r="N474" s="10">
        <v>15.67</v>
      </c>
      <c r="O474" s="11">
        <f t="shared" si="24"/>
        <v>0.15374803767660911</v>
      </c>
      <c r="P474" s="10">
        <v>7.17</v>
      </c>
      <c r="Q474" s="10">
        <v>8.5</v>
      </c>
      <c r="R474" s="11">
        <f t="shared" si="25"/>
        <v>8.3398744113029832E-2</v>
      </c>
      <c r="S474" t="s">
        <v>75</v>
      </c>
      <c r="T474" t="s">
        <v>82</v>
      </c>
      <c r="U474" t="s">
        <v>67</v>
      </c>
    </row>
    <row r="475" spans="1:21" x14ac:dyDescent="0.35">
      <c r="A475" t="s">
        <v>592</v>
      </c>
      <c r="B475" s="5">
        <v>46017</v>
      </c>
      <c r="C475" t="s">
        <v>125</v>
      </c>
      <c r="D475" t="s">
        <v>85</v>
      </c>
      <c r="E475" s="9">
        <v>1</v>
      </c>
      <c r="F475" s="10">
        <v>125</v>
      </c>
      <c r="G475" s="11">
        <v>0.15</v>
      </c>
      <c r="H475" s="10">
        <v>106.25</v>
      </c>
      <c r="I475" s="9">
        <v>0</v>
      </c>
      <c r="J475" s="10">
        <v>0</v>
      </c>
      <c r="K475" s="9">
        <v>1</v>
      </c>
      <c r="L475" s="10">
        <v>106.25</v>
      </c>
      <c r="M475" s="10">
        <v>71.349999999999994</v>
      </c>
      <c r="N475" s="10">
        <v>34.9</v>
      </c>
      <c r="O475" s="11">
        <f t="shared" si="24"/>
        <v>0.32847058823529413</v>
      </c>
      <c r="P475" s="10">
        <v>10.37</v>
      </c>
      <c r="Q475" s="10">
        <v>24.53</v>
      </c>
      <c r="R475" s="11">
        <f t="shared" si="25"/>
        <v>0.23087058823529413</v>
      </c>
      <c r="S475" t="s">
        <v>65</v>
      </c>
      <c r="T475" t="s">
        <v>60</v>
      </c>
      <c r="U475" t="s">
        <v>71</v>
      </c>
    </row>
    <row r="476" spans="1:21" x14ac:dyDescent="0.35">
      <c r="A476" t="s">
        <v>593</v>
      </c>
      <c r="B476" s="5">
        <v>45877</v>
      </c>
      <c r="C476" t="s">
        <v>264</v>
      </c>
      <c r="D476" t="s">
        <v>85</v>
      </c>
      <c r="E476" s="9">
        <v>3</v>
      </c>
      <c r="F476" s="10">
        <v>20</v>
      </c>
      <c r="G476" s="11">
        <v>0</v>
      </c>
      <c r="H476" s="10">
        <v>60</v>
      </c>
      <c r="I476" s="9">
        <v>0</v>
      </c>
      <c r="J476" s="10">
        <v>0</v>
      </c>
      <c r="K476" s="9">
        <v>3</v>
      </c>
      <c r="L476" s="10">
        <v>60</v>
      </c>
      <c r="M476" s="10">
        <v>39.68</v>
      </c>
      <c r="N476" s="10">
        <v>20.32</v>
      </c>
      <c r="O476" s="11">
        <f t="shared" si="24"/>
        <v>0.33866666666666667</v>
      </c>
      <c r="P476" s="10">
        <v>4.42</v>
      </c>
      <c r="Q476" s="10">
        <v>15.9</v>
      </c>
      <c r="R476" s="11">
        <f t="shared" si="25"/>
        <v>0.26500000000000001</v>
      </c>
      <c r="S476" t="s">
        <v>81</v>
      </c>
      <c r="T476" t="s">
        <v>82</v>
      </c>
      <c r="U476" t="s">
        <v>67</v>
      </c>
    </row>
    <row r="477" spans="1:21" x14ac:dyDescent="0.35">
      <c r="A477" t="s">
        <v>594</v>
      </c>
      <c r="B477" s="5">
        <v>45733</v>
      </c>
      <c r="C477" t="s">
        <v>56</v>
      </c>
      <c r="D477" t="s">
        <v>57</v>
      </c>
      <c r="E477" s="9">
        <v>8</v>
      </c>
      <c r="F477" s="10">
        <v>40</v>
      </c>
      <c r="G477" s="11">
        <v>0</v>
      </c>
      <c r="H477" s="10">
        <v>320</v>
      </c>
      <c r="I477" s="9">
        <v>0</v>
      </c>
      <c r="J477" s="10">
        <v>0</v>
      </c>
      <c r="K477" s="9">
        <v>8</v>
      </c>
      <c r="L477" s="10">
        <v>320</v>
      </c>
      <c r="M477" s="10">
        <v>225.09</v>
      </c>
      <c r="N477" s="10">
        <v>94.91</v>
      </c>
      <c r="O477" s="11">
        <f t="shared" ref="O477:O508" si="26">N477/L477</f>
        <v>0.29659374999999999</v>
      </c>
      <c r="P477" s="10">
        <v>17.350000000000001</v>
      </c>
      <c r="Q477" s="10">
        <v>77.56</v>
      </c>
      <c r="R477" s="11">
        <f t="shared" ref="R477:R508" si="27">Q477/L477</f>
        <v>0.24237500000000001</v>
      </c>
      <c r="S477" t="s">
        <v>75</v>
      </c>
      <c r="T477" t="s">
        <v>60</v>
      </c>
      <c r="U477" t="s">
        <v>71</v>
      </c>
    </row>
    <row r="478" spans="1:21" x14ac:dyDescent="0.35">
      <c r="A478" t="s">
        <v>595</v>
      </c>
      <c r="B478" s="5">
        <v>45992</v>
      </c>
      <c r="C478" t="s">
        <v>88</v>
      </c>
      <c r="D478" t="s">
        <v>57</v>
      </c>
      <c r="E478" s="9">
        <v>10</v>
      </c>
      <c r="F478" s="10">
        <v>30</v>
      </c>
      <c r="G478" s="11">
        <v>0.02</v>
      </c>
      <c r="H478" s="10">
        <v>294</v>
      </c>
      <c r="I478" s="9">
        <v>0</v>
      </c>
      <c r="J478" s="10">
        <v>0</v>
      </c>
      <c r="K478" s="9">
        <v>10</v>
      </c>
      <c r="L478" s="10">
        <v>294</v>
      </c>
      <c r="M478" s="10">
        <v>192.01</v>
      </c>
      <c r="N478" s="10">
        <v>101.99</v>
      </c>
      <c r="O478" s="11">
        <f t="shared" si="26"/>
        <v>0.34690476190476188</v>
      </c>
      <c r="P478" s="10">
        <v>35.81</v>
      </c>
      <c r="Q478" s="10">
        <v>66.180000000000007</v>
      </c>
      <c r="R478" s="11">
        <f t="shared" si="27"/>
        <v>0.22510204081632657</v>
      </c>
      <c r="S478" t="s">
        <v>75</v>
      </c>
      <c r="T478" t="s">
        <v>82</v>
      </c>
      <c r="U478" t="s">
        <v>71</v>
      </c>
    </row>
    <row r="479" spans="1:21" x14ac:dyDescent="0.35">
      <c r="A479" t="s">
        <v>597</v>
      </c>
      <c r="B479" s="5">
        <v>45802</v>
      </c>
      <c r="C479" t="s">
        <v>95</v>
      </c>
      <c r="D479" t="s">
        <v>64</v>
      </c>
      <c r="E479" s="9">
        <v>2</v>
      </c>
      <c r="F479" s="10">
        <v>52</v>
      </c>
      <c r="G479" s="11">
        <v>0</v>
      </c>
      <c r="H479" s="10">
        <v>104</v>
      </c>
      <c r="I479" s="9">
        <v>0</v>
      </c>
      <c r="J479" s="10">
        <v>0</v>
      </c>
      <c r="K479" s="9">
        <v>2</v>
      </c>
      <c r="L479" s="10">
        <v>104</v>
      </c>
      <c r="M479" s="10">
        <v>84.59</v>
      </c>
      <c r="N479" s="10">
        <v>19.41</v>
      </c>
      <c r="O479" s="11">
        <f t="shared" si="26"/>
        <v>0.1866346153846154</v>
      </c>
      <c r="P479" s="10">
        <v>6.94</v>
      </c>
      <c r="Q479" s="10">
        <v>12.47</v>
      </c>
      <c r="R479" s="11">
        <f t="shared" si="27"/>
        <v>0.11990384615384617</v>
      </c>
      <c r="S479" t="s">
        <v>81</v>
      </c>
      <c r="T479" t="s">
        <v>66</v>
      </c>
      <c r="U479" t="s">
        <v>61</v>
      </c>
    </row>
    <row r="480" spans="1:21" x14ac:dyDescent="0.35">
      <c r="A480" t="s">
        <v>598</v>
      </c>
      <c r="B480" s="5">
        <v>45940</v>
      </c>
      <c r="C480" t="s">
        <v>121</v>
      </c>
      <c r="D480" t="s">
        <v>70</v>
      </c>
      <c r="E480" s="9">
        <v>6</v>
      </c>
      <c r="F480" s="10">
        <v>110</v>
      </c>
      <c r="G480" s="11">
        <v>0.02</v>
      </c>
      <c r="H480" s="10">
        <v>646.79999999999995</v>
      </c>
      <c r="I480" s="9">
        <v>0</v>
      </c>
      <c r="J480" s="10">
        <v>0</v>
      </c>
      <c r="K480" s="9">
        <v>6</v>
      </c>
      <c r="L480" s="10">
        <v>646.79999999999995</v>
      </c>
      <c r="M480" s="10">
        <v>429.37</v>
      </c>
      <c r="N480" s="10">
        <v>217.43</v>
      </c>
      <c r="O480" s="11">
        <f t="shared" si="26"/>
        <v>0.33616264687693265</v>
      </c>
      <c r="P480" s="10">
        <v>62.17</v>
      </c>
      <c r="Q480" s="10">
        <v>155.26</v>
      </c>
      <c r="R480" s="11">
        <f t="shared" si="27"/>
        <v>0.24004329004329006</v>
      </c>
      <c r="S480" t="s">
        <v>75</v>
      </c>
      <c r="T480" t="s">
        <v>66</v>
      </c>
      <c r="U480" t="s">
        <v>76</v>
      </c>
    </row>
    <row r="481" spans="1:21" x14ac:dyDescent="0.35">
      <c r="A481" t="s">
        <v>600</v>
      </c>
      <c r="B481" s="5">
        <v>45960</v>
      </c>
      <c r="C481" t="s">
        <v>95</v>
      </c>
      <c r="D481" t="s">
        <v>64</v>
      </c>
      <c r="E481" s="9">
        <v>1</v>
      </c>
      <c r="F481" s="10">
        <v>52</v>
      </c>
      <c r="G481" s="11">
        <v>0.02</v>
      </c>
      <c r="H481" s="10">
        <v>50.96</v>
      </c>
      <c r="I481" s="9">
        <v>0</v>
      </c>
      <c r="J481" s="10">
        <v>0</v>
      </c>
      <c r="K481" s="9">
        <v>1</v>
      </c>
      <c r="L481" s="10">
        <v>50.96</v>
      </c>
      <c r="M481" s="10">
        <v>32.53</v>
      </c>
      <c r="N481" s="10">
        <v>18.43</v>
      </c>
      <c r="O481" s="11">
        <f t="shared" si="26"/>
        <v>0.3616562009419152</v>
      </c>
      <c r="P481" s="10">
        <v>5</v>
      </c>
      <c r="Q481" s="10">
        <v>13.43</v>
      </c>
      <c r="R481" s="11">
        <f t="shared" si="27"/>
        <v>0.26354003139717425</v>
      </c>
      <c r="S481" t="s">
        <v>75</v>
      </c>
      <c r="T481" t="s">
        <v>82</v>
      </c>
      <c r="U481" t="s">
        <v>61</v>
      </c>
    </row>
    <row r="482" spans="1:21" x14ac:dyDescent="0.35">
      <c r="A482" t="s">
        <v>601</v>
      </c>
      <c r="B482" s="5">
        <v>45670</v>
      </c>
      <c r="C482" t="s">
        <v>109</v>
      </c>
      <c r="D482" t="s">
        <v>85</v>
      </c>
      <c r="E482" s="9">
        <v>1</v>
      </c>
      <c r="F482" s="10">
        <v>180</v>
      </c>
      <c r="G482" s="11">
        <v>0.02</v>
      </c>
      <c r="H482" s="10">
        <v>176.4</v>
      </c>
      <c r="I482" s="9">
        <v>0</v>
      </c>
      <c r="J482" s="10">
        <v>0</v>
      </c>
      <c r="K482" s="9">
        <v>1</v>
      </c>
      <c r="L482" s="10">
        <v>176.4</v>
      </c>
      <c r="M482" s="10">
        <v>150.47999999999999</v>
      </c>
      <c r="N482" s="10">
        <v>25.92</v>
      </c>
      <c r="O482" s="11">
        <f t="shared" si="26"/>
        <v>0.14693877551020409</v>
      </c>
      <c r="P482" s="10">
        <v>18.91</v>
      </c>
      <c r="Q482" s="10">
        <v>7.01</v>
      </c>
      <c r="R482" s="11">
        <f t="shared" si="27"/>
        <v>3.9739229024943305E-2</v>
      </c>
      <c r="S482" t="s">
        <v>2133</v>
      </c>
      <c r="T482" t="s">
        <v>86</v>
      </c>
      <c r="U482" t="s">
        <v>61</v>
      </c>
    </row>
    <row r="483" spans="1:21" x14ac:dyDescent="0.35">
      <c r="A483" t="s">
        <v>602</v>
      </c>
      <c r="B483" s="5">
        <v>45757</v>
      </c>
      <c r="C483" t="s">
        <v>73</v>
      </c>
      <c r="D483" t="s">
        <v>74</v>
      </c>
      <c r="E483" s="9">
        <v>3</v>
      </c>
      <c r="F483" s="10">
        <v>280</v>
      </c>
      <c r="G483" s="11">
        <v>0.1</v>
      </c>
      <c r="H483" s="10">
        <v>756</v>
      </c>
      <c r="I483" s="9">
        <v>0</v>
      </c>
      <c r="J483" s="10">
        <v>0</v>
      </c>
      <c r="K483" s="9">
        <v>3</v>
      </c>
      <c r="L483" s="10">
        <v>756</v>
      </c>
      <c r="M483" s="10">
        <v>588.79</v>
      </c>
      <c r="N483" s="10">
        <v>167.21</v>
      </c>
      <c r="O483" s="11">
        <f t="shared" si="26"/>
        <v>0.22117724867724869</v>
      </c>
      <c r="P483" s="10">
        <v>59.25</v>
      </c>
      <c r="Q483" s="10">
        <v>107.96</v>
      </c>
      <c r="R483" s="11">
        <f t="shared" si="27"/>
        <v>0.14280423280423279</v>
      </c>
      <c r="S483" t="s">
        <v>59</v>
      </c>
      <c r="T483" t="s">
        <v>86</v>
      </c>
      <c r="U483" t="s">
        <v>71</v>
      </c>
    </row>
    <row r="484" spans="1:21" x14ac:dyDescent="0.35">
      <c r="A484" t="s">
        <v>603</v>
      </c>
      <c r="B484" s="5">
        <v>46012</v>
      </c>
      <c r="C484" t="s">
        <v>117</v>
      </c>
      <c r="D484" t="s">
        <v>74</v>
      </c>
      <c r="E484" s="9">
        <v>1</v>
      </c>
      <c r="F484" s="10">
        <v>95</v>
      </c>
      <c r="G484" s="11">
        <v>0</v>
      </c>
      <c r="H484" s="10">
        <v>95</v>
      </c>
      <c r="I484" s="9">
        <v>0</v>
      </c>
      <c r="J484" s="10">
        <v>0</v>
      </c>
      <c r="K484" s="9">
        <v>1</v>
      </c>
      <c r="L484" s="10">
        <v>95</v>
      </c>
      <c r="M484" s="10">
        <v>68.89</v>
      </c>
      <c r="N484" s="10">
        <v>26.11</v>
      </c>
      <c r="O484" s="11">
        <f t="shared" si="26"/>
        <v>0.27484210526315789</v>
      </c>
      <c r="P484" s="10">
        <v>12.06</v>
      </c>
      <c r="Q484" s="10">
        <v>14.05</v>
      </c>
      <c r="R484" s="11">
        <f t="shared" si="27"/>
        <v>0.14789473684210527</v>
      </c>
      <c r="S484" t="s">
        <v>65</v>
      </c>
      <c r="T484" t="s">
        <v>86</v>
      </c>
      <c r="U484" t="s">
        <v>67</v>
      </c>
    </row>
    <row r="485" spans="1:21" x14ac:dyDescent="0.35">
      <c r="A485" t="s">
        <v>604</v>
      </c>
      <c r="B485" s="5">
        <v>45844</v>
      </c>
      <c r="C485" t="s">
        <v>109</v>
      </c>
      <c r="D485" t="s">
        <v>85</v>
      </c>
      <c r="E485" s="9">
        <v>4</v>
      </c>
      <c r="F485" s="10">
        <v>180</v>
      </c>
      <c r="G485" s="11">
        <v>0.02</v>
      </c>
      <c r="H485" s="10">
        <v>705.6</v>
      </c>
      <c r="I485" s="9">
        <v>0</v>
      </c>
      <c r="J485" s="10">
        <v>0</v>
      </c>
      <c r="K485" s="9">
        <v>4</v>
      </c>
      <c r="L485" s="10">
        <v>705.6</v>
      </c>
      <c r="M485" s="10">
        <v>449.34</v>
      </c>
      <c r="N485" s="10">
        <v>256.26</v>
      </c>
      <c r="O485" s="11">
        <f t="shared" si="26"/>
        <v>0.36318027210884352</v>
      </c>
      <c r="P485" s="10">
        <v>45.54</v>
      </c>
      <c r="Q485" s="10">
        <v>210.72</v>
      </c>
      <c r="R485" s="11">
        <f t="shared" si="27"/>
        <v>0.29863945578231293</v>
      </c>
      <c r="S485" t="s">
        <v>65</v>
      </c>
      <c r="T485" t="s">
        <v>86</v>
      </c>
      <c r="U485" t="s">
        <v>61</v>
      </c>
    </row>
    <row r="486" spans="1:21" x14ac:dyDescent="0.35">
      <c r="A486" t="s">
        <v>605</v>
      </c>
      <c r="B486" s="5">
        <v>45937</v>
      </c>
      <c r="C486" t="s">
        <v>63</v>
      </c>
      <c r="D486" t="s">
        <v>64</v>
      </c>
      <c r="E486" s="9">
        <v>2</v>
      </c>
      <c r="F486" s="10">
        <v>145</v>
      </c>
      <c r="G486" s="11">
        <v>0</v>
      </c>
      <c r="H486" s="10">
        <v>290</v>
      </c>
      <c r="I486" s="9">
        <v>0</v>
      </c>
      <c r="J486" s="10">
        <v>0</v>
      </c>
      <c r="K486" s="9">
        <v>2</v>
      </c>
      <c r="L486" s="10">
        <v>290</v>
      </c>
      <c r="M486" s="10">
        <v>241</v>
      </c>
      <c r="N486" s="10">
        <v>49</v>
      </c>
      <c r="O486" s="11">
        <f t="shared" si="26"/>
        <v>0.16896551724137931</v>
      </c>
      <c r="P486" s="10">
        <v>19.87</v>
      </c>
      <c r="Q486" s="10">
        <v>29.13</v>
      </c>
      <c r="R486" s="11">
        <f t="shared" si="27"/>
        <v>0.10044827586206896</v>
      </c>
      <c r="S486" t="s">
        <v>59</v>
      </c>
      <c r="T486" t="s">
        <v>60</v>
      </c>
      <c r="U486" t="s">
        <v>76</v>
      </c>
    </row>
    <row r="487" spans="1:21" x14ac:dyDescent="0.35">
      <c r="A487" t="s">
        <v>606</v>
      </c>
      <c r="B487" s="5">
        <v>45782</v>
      </c>
      <c r="C487" t="s">
        <v>97</v>
      </c>
      <c r="D487" t="s">
        <v>57</v>
      </c>
      <c r="E487" s="9">
        <v>2</v>
      </c>
      <c r="F487" s="10">
        <v>55</v>
      </c>
      <c r="G487" s="11">
        <v>0.05</v>
      </c>
      <c r="H487" s="10">
        <v>104.5</v>
      </c>
      <c r="I487" s="9">
        <v>0</v>
      </c>
      <c r="J487" s="10">
        <v>0</v>
      </c>
      <c r="K487" s="9">
        <v>2</v>
      </c>
      <c r="L487" s="10">
        <v>104.5</v>
      </c>
      <c r="M487" s="10">
        <v>66.05</v>
      </c>
      <c r="N487" s="10">
        <v>38.450000000000003</v>
      </c>
      <c r="O487" s="11">
        <f t="shared" si="26"/>
        <v>0.36794258373205746</v>
      </c>
      <c r="P487" s="10">
        <v>8.4</v>
      </c>
      <c r="Q487" s="10">
        <v>30.05</v>
      </c>
      <c r="R487" s="11">
        <f t="shared" si="27"/>
        <v>0.28755980861244018</v>
      </c>
      <c r="S487" t="s">
        <v>75</v>
      </c>
      <c r="T487" t="s">
        <v>86</v>
      </c>
      <c r="U487" t="s">
        <v>76</v>
      </c>
    </row>
    <row r="488" spans="1:21" x14ac:dyDescent="0.35">
      <c r="A488" t="s">
        <v>607</v>
      </c>
      <c r="B488" s="5">
        <v>45830</v>
      </c>
      <c r="C488" t="s">
        <v>84</v>
      </c>
      <c r="D488" t="s">
        <v>85</v>
      </c>
      <c r="E488" s="9">
        <v>2</v>
      </c>
      <c r="F488" s="10">
        <v>48</v>
      </c>
      <c r="G488" s="11">
        <v>0</v>
      </c>
      <c r="H488" s="10">
        <v>96</v>
      </c>
      <c r="I488" s="9">
        <v>0</v>
      </c>
      <c r="J488" s="10">
        <v>0</v>
      </c>
      <c r="K488" s="9">
        <v>2</v>
      </c>
      <c r="L488" s="10">
        <v>96</v>
      </c>
      <c r="M488" s="10">
        <v>77.510000000000005</v>
      </c>
      <c r="N488" s="10">
        <v>18.489999999999998</v>
      </c>
      <c r="O488" s="11">
        <f t="shared" si="26"/>
        <v>0.19260416666666666</v>
      </c>
      <c r="P488" s="10">
        <v>8.2100000000000009</v>
      </c>
      <c r="Q488" s="10">
        <v>10.28</v>
      </c>
      <c r="R488" s="11">
        <f t="shared" si="27"/>
        <v>0.10708333333333332</v>
      </c>
      <c r="S488" t="s">
        <v>59</v>
      </c>
      <c r="T488" t="s">
        <v>66</v>
      </c>
      <c r="U488" t="s">
        <v>71</v>
      </c>
    </row>
    <row r="489" spans="1:21" x14ac:dyDescent="0.35">
      <c r="A489" t="s">
        <v>608</v>
      </c>
      <c r="B489" s="5">
        <v>45763</v>
      </c>
      <c r="C489" t="s">
        <v>109</v>
      </c>
      <c r="D489" t="s">
        <v>85</v>
      </c>
      <c r="E489" s="9">
        <v>8</v>
      </c>
      <c r="F489" s="10">
        <v>180</v>
      </c>
      <c r="G489" s="11">
        <v>0</v>
      </c>
      <c r="H489" s="10">
        <v>1440</v>
      </c>
      <c r="I489" s="9">
        <v>0</v>
      </c>
      <c r="J489" s="10">
        <v>0</v>
      </c>
      <c r="K489" s="9">
        <v>8</v>
      </c>
      <c r="L489" s="10">
        <v>1440</v>
      </c>
      <c r="M489" s="10">
        <v>929.99</v>
      </c>
      <c r="N489" s="10">
        <v>510.01</v>
      </c>
      <c r="O489" s="11">
        <f t="shared" si="26"/>
        <v>0.35417361111111112</v>
      </c>
      <c r="P489" s="10">
        <v>129.65</v>
      </c>
      <c r="Q489" s="10">
        <v>380.36</v>
      </c>
      <c r="R489" s="11">
        <f t="shared" si="27"/>
        <v>0.26413888888888892</v>
      </c>
      <c r="S489" t="s">
        <v>81</v>
      </c>
      <c r="T489" t="s">
        <v>60</v>
      </c>
      <c r="U489" t="s">
        <v>61</v>
      </c>
    </row>
    <row r="490" spans="1:21" x14ac:dyDescent="0.35">
      <c r="A490" t="s">
        <v>609</v>
      </c>
      <c r="B490" s="5">
        <v>45796</v>
      </c>
      <c r="C490" t="s">
        <v>97</v>
      </c>
      <c r="D490" t="s">
        <v>57</v>
      </c>
      <c r="E490" s="9">
        <v>2</v>
      </c>
      <c r="F490" s="10">
        <v>55</v>
      </c>
      <c r="G490" s="11">
        <v>0.02</v>
      </c>
      <c r="H490" s="10">
        <v>107.8</v>
      </c>
      <c r="I490" s="9">
        <v>0</v>
      </c>
      <c r="J490" s="10">
        <v>0</v>
      </c>
      <c r="K490" s="9">
        <v>2</v>
      </c>
      <c r="L490" s="10">
        <v>107.8</v>
      </c>
      <c r="M490" s="10">
        <v>75.25</v>
      </c>
      <c r="N490" s="10">
        <v>32.549999999999997</v>
      </c>
      <c r="O490" s="11">
        <f t="shared" si="26"/>
        <v>0.30194805194805191</v>
      </c>
      <c r="P490" s="10">
        <v>7.74</v>
      </c>
      <c r="Q490" s="10">
        <v>24.81</v>
      </c>
      <c r="R490" s="11">
        <f t="shared" si="27"/>
        <v>0.23014842300556584</v>
      </c>
      <c r="S490" t="s">
        <v>59</v>
      </c>
      <c r="T490" t="s">
        <v>66</v>
      </c>
      <c r="U490" t="s">
        <v>61</v>
      </c>
    </row>
    <row r="491" spans="1:21" x14ac:dyDescent="0.35">
      <c r="A491" t="s">
        <v>610</v>
      </c>
      <c r="B491" s="5">
        <v>45948</v>
      </c>
      <c r="C491" t="s">
        <v>63</v>
      </c>
      <c r="D491" t="s">
        <v>64</v>
      </c>
      <c r="E491" s="9">
        <v>2</v>
      </c>
      <c r="F491" s="10">
        <v>145</v>
      </c>
      <c r="G491" s="11">
        <v>0</v>
      </c>
      <c r="H491" s="10">
        <v>290</v>
      </c>
      <c r="I491" s="9">
        <v>0</v>
      </c>
      <c r="J491" s="10">
        <v>0</v>
      </c>
      <c r="K491" s="9">
        <v>2</v>
      </c>
      <c r="L491" s="10">
        <v>290</v>
      </c>
      <c r="M491" s="10">
        <v>194.48</v>
      </c>
      <c r="N491" s="10">
        <v>95.52</v>
      </c>
      <c r="O491" s="11">
        <f t="shared" si="26"/>
        <v>0.32937931034482759</v>
      </c>
      <c r="P491" s="10">
        <v>33.53</v>
      </c>
      <c r="Q491" s="10">
        <v>61.99</v>
      </c>
      <c r="R491" s="11">
        <f t="shared" si="27"/>
        <v>0.21375862068965518</v>
      </c>
      <c r="S491" t="s">
        <v>81</v>
      </c>
      <c r="T491" t="s">
        <v>66</v>
      </c>
      <c r="U491" t="s">
        <v>61</v>
      </c>
    </row>
    <row r="492" spans="1:21" x14ac:dyDescent="0.35">
      <c r="A492" t="s">
        <v>611</v>
      </c>
      <c r="B492" s="5">
        <v>45927</v>
      </c>
      <c r="C492" t="s">
        <v>117</v>
      </c>
      <c r="D492" t="s">
        <v>74</v>
      </c>
      <c r="E492" s="9">
        <v>3</v>
      </c>
      <c r="F492" s="10">
        <v>95</v>
      </c>
      <c r="G492" s="11">
        <v>0</v>
      </c>
      <c r="H492" s="10">
        <v>285</v>
      </c>
      <c r="I492" s="9">
        <v>0</v>
      </c>
      <c r="J492" s="10">
        <v>0</v>
      </c>
      <c r="K492" s="9">
        <v>3</v>
      </c>
      <c r="L492" s="10">
        <v>285</v>
      </c>
      <c r="M492" s="10">
        <v>230.06</v>
      </c>
      <c r="N492" s="10">
        <v>54.94</v>
      </c>
      <c r="O492" s="11">
        <f t="shared" si="26"/>
        <v>0.1927719298245614</v>
      </c>
      <c r="P492" s="10">
        <v>18.61</v>
      </c>
      <c r="Q492" s="10">
        <v>36.33</v>
      </c>
      <c r="R492" s="11">
        <f t="shared" si="27"/>
        <v>0.12747368421052632</v>
      </c>
      <c r="S492" t="s">
        <v>75</v>
      </c>
      <c r="T492" t="s">
        <v>82</v>
      </c>
      <c r="U492" t="s">
        <v>67</v>
      </c>
    </row>
    <row r="493" spans="1:21" x14ac:dyDescent="0.35">
      <c r="A493" t="s">
        <v>612</v>
      </c>
      <c r="B493" s="5">
        <v>45872</v>
      </c>
      <c r="C493" t="s">
        <v>97</v>
      </c>
      <c r="D493" t="s">
        <v>57</v>
      </c>
      <c r="E493" s="9">
        <v>1</v>
      </c>
      <c r="F493" s="10">
        <v>55</v>
      </c>
      <c r="G493" s="11">
        <v>0</v>
      </c>
      <c r="H493" s="10">
        <v>55</v>
      </c>
      <c r="I493" s="9">
        <v>0</v>
      </c>
      <c r="J493" s="10">
        <v>0</v>
      </c>
      <c r="K493" s="9">
        <v>1</v>
      </c>
      <c r="L493" s="10">
        <v>55</v>
      </c>
      <c r="M493" s="10">
        <v>45.81</v>
      </c>
      <c r="N493" s="10">
        <v>9.19</v>
      </c>
      <c r="O493" s="11">
        <f t="shared" si="26"/>
        <v>0.1670909090909091</v>
      </c>
      <c r="P493" s="10">
        <v>4.9400000000000004</v>
      </c>
      <c r="Q493" s="10">
        <v>4.25</v>
      </c>
      <c r="R493" s="11">
        <f t="shared" si="27"/>
        <v>7.7272727272727271E-2</v>
      </c>
      <c r="S493" t="s">
        <v>81</v>
      </c>
      <c r="T493" t="s">
        <v>66</v>
      </c>
      <c r="U493" t="s">
        <v>61</v>
      </c>
    </row>
    <row r="494" spans="1:21" x14ac:dyDescent="0.35">
      <c r="A494" t="s">
        <v>613</v>
      </c>
      <c r="B494" s="5">
        <v>45971</v>
      </c>
      <c r="C494" t="s">
        <v>100</v>
      </c>
      <c r="D494" t="s">
        <v>64</v>
      </c>
      <c r="E494" s="9">
        <v>1</v>
      </c>
      <c r="F494" s="10">
        <v>310</v>
      </c>
      <c r="G494" s="11">
        <v>0</v>
      </c>
      <c r="H494" s="10">
        <v>310</v>
      </c>
      <c r="I494" s="9">
        <v>0</v>
      </c>
      <c r="J494" s="10">
        <v>0</v>
      </c>
      <c r="K494" s="9">
        <v>1</v>
      </c>
      <c r="L494" s="10">
        <v>310</v>
      </c>
      <c r="M494" s="10">
        <v>248.54</v>
      </c>
      <c r="N494" s="10">
        <v>61.46</v>
      </c>
      <c r="O494" s="11">
        <f t="shared" si="26"/>
        <v>0.19825806451612904</v>
      </c>
      <c r="P494" s="10">
        <v>17.59</v>
      </c>
      <c r="Q494" s="10">
        <v>43.87</v>
      </c>
      <c r="R494" s="11">
        <f t="shared" si="27"/>
        <v>0.14151612903225805</v>
      </c>
      <c r="S494" t="s">
        <v>81</v>
      </c>
      <c r="T494" t="s">
        <v>60</v>
      </c>
      <c r="U494" t="s">
        <v>76</v>
      </c>
    </row>
    <row r="495" spans="1:21" x14ac:dyDescent="0.35">
      <c r="A495" t="s">
        <v>614</v>
      </c>
      <c r="B495" s="5">
        <v>45742</v>
      </c>
      <c r="C495" t="s">
        <v>97</v>
      </c>
      <c r="D495" t="s">
        <v>57</v>
      </c>
      <c r="E495" s="9">
        <v>1</v>
      </c>
      <c r="F495" s="10">
        <v>55</v>
      </c>
      <c r="G495" s="11">
        <v>0</v>
      </c>
      <c r="H495" s="10">
        <v>55</v>
      </c>
      <c r="I495" s="9">
        <v>0</v>
      </c>
      <c r="J495" s="10">
        <v>0</v>
      </c>
      <c r="K495" s="9">
        <v>1</v>
      </c>
      <c r="L495" s="10">
        <v>55</v>
      </c>
      <c r="M495" s="10">
        <v>38.53</v>
      </c>
      <c r="N495" s="10">
        <v>16.47</v>
      </c>
      <c r="O495" s="11">
        <f t="shared" si="26"/>
        <v>0.29945454545454542</v>
      </c>
      <c r="P495" s="10">
        <v>3.78</v>
      </c>
      <c r="Q495" s="10">
        <v>12.69</v>
      </c>
      <c r="R495" s="11">
        <f t="shared" si="27"/>
        <v>0.23072727272727273</v>
      </c>
      <c r="S495" t="s">
        <v>75</v>
      </c>
      <c r="T495" t="s">
        <v>82</v>
      </c>
      <c r="U495" t="s">
        <v>67</v>
      </c>
    </row>
    <row r="496" spans="1:21" x14ac:dyDescent="0.35">
      <c r="A496" t="s">
        <v>615</v>
      </c>
      <c r="B496" s="5">
        <v>45711</v>
      </c>
      <c r="C496" t="s">
        <v>56</v>
      </c>
      <c r="D496" t="s">
        <v>57</v>
      </c>
      <c r="E496" s="9">
        <v>1</v>
      </c>
      <c r="F496" s="10">
        <v>40</v>
      </c>
      <c r="G496" s="11">
        <v>0</v>
      </c>
      <c r="H496" s="10">
        <v>40</v>
      </c>
      <c r="I496" s="9">
        <v>0</v>
      </c>
      <c r="J496" s="10">
        <v>0</v>
      </c>
      <c r="K496" s="9">
        <v>1</v>
      </c>
      <c r="L496" s="10">
        <v>40</v>
      </c>
      <c r="M496" s="10">
        <v>33.14</v>
      </c>
      <c r="N496" s="10">
        <v>6.86</v>
      </c>
      <c r="O496" s="11">
        <f t="shared" si="26"/>
        <v>0.17150000000000001</v>
      </c>
      <c r="P496" s="10">
        <v>3.34</v>
      </c>
      <c r="Q496" s="10">
        <v>3.52</v>
      </c>
      <c r="R496" s="11">
        <f t="shared" si="27"/>
        <v>8.7999999999999995E-2</v>
      </c>
      <c r="S496" t="s">
        <v>59</v>
      </c>
      <c r="T496" t="s">
        <v>60</v>
      </c>
      <c r="U496" t="s">
        <v>61</v>
      </c>
    </row>
    <row r="497" spans="1:21" x14ac:dyDescent="0.35">
      <c r="A497" t="s">
        <v>616</v>
      </c>
      <c r="B497" s="5">
        <v>45896</v>
      </c>
      <c r="C497" t="s">
        <v>107</v>
      </c>
      <c r="D497" t="s">
        <v>74</v>
      </c>
      <c r="E497" s="9">
        <v>1</v>
      </c>
      <c r="F497" s="10">
        <v>125</v>
      </c>
      <c r="G497" s="11">
        <v>0.1</v>
      </c>
      <c r="H497" s="10">
        <v>112.5</v>
      </c>
      <c r="I497" s="9">
        <v>0</v>
      </c>
      <c r="J497" s="10">
        <v>0</v>
      </c>
      <c r="K497" s="9">
        <v>1</v>
      </c>
      <c r="L497" s="10">
        <v>112.5</v>
      </c>
      <c r="M497" s="10">
        <v>89.49</v>
      </c>
      <c r="N497" s="10">
        <v>23.01</v>
      </c>
      <c r="O497" s="11">
        <f t="shared" si="26"/>
        <v>0.20453333333333334</v>
      </c>
      <c r="P497" s="10">
        <v>12.66</v>
      </c>
      <c r="Q497" s="10">
        <v>10.35</v>
      </c>
      <c r="R497" s="11">
        <f t="shared" si="27"/>
        <v>9.1999999999999998E-2</v>
      </c>
      <c r="S497" t="s">
        <v>65</v>
      </c>
      <c r="T497" t="s">
        <v>82</v>
      </c>
      <c r="U497" t="s">
        <v>61</v>
      </c>
    </row>
    <row r="498" spans="1:21" x14ac:dyDescent="0.35">
      <c r="A498" t="s">
        <v>617</v>
      </c>
      <c r="B498" s="5">
        <v>45729</v>
      </c>
      <c r="C498" t="s">
        <v>90</v>
      </c>
      <c r="D498" t="s">
        <v>70</v>
      </c>
      <c r="E498" s="9">
        <v>3</v>
      </c>
      <c r="F498" s="10">
        <v>38</v>
      </c>
      <c r="G498" s="11">
        <v>0</v>
      </c>
      <c r="H498" s="10">
        <v>114</v>
      </c>
      <c r="I498" s="9">
        <v>0</v>
      </c>
      <c r="J498" s="10">
        <v>0</v>
      </c>
      <c r="K498" s="9">
        <v>3</v>
      </c>
      <c r="L498" s="10">
        <v>114</v>
      </c>
      <c r="M498" s="10">
        <v>72.37</v>
      </c>
      <c r="N498" s="10">
        <v>41.63</v>
      </c>
      <c r="O498" s="11">
        <f t="shared" si="26"/>
        <v>0.36517543859649126</v>
      </c>
      <c r="P498" s="10">
        <v>10.86</v>
      </c>
      <c r="Q498" s="10">
        <v>30.77</v>
      </c>
      <c r="R498" s="11">
        <f t="shared" si="27"/>
        <v>0.26991228070175438</v>
      </c>
      <c r="S498" t="s">
        <v>59</v>
      </c>
      <c r="T498" t="s">
        <v>60</v>
      </c>
      <c r="U498" t="s">
        <v>76</v>
      </c>
    </row>
    <row r="499" spans="1:21" x14ac:dyDescent="0.35">
      <c r="A499" t="s">
        <v>618</v>
      </c>
      <c r="B499" s="5">
        <v>45949</v>
      </c>
      <c r="C499" t="s">
        <v>121</v>
      </c>
      <c r="D499" t="s">
        <v>70</v>
      </c>
      <c r="E499" s="9">
        <v>1</v>
      </c>
      <c r="F499" s="10">
        <v>110</v>
      </c>
      <c r="G499" s="11">
        <v>0</v>
      </c>
      <c r="H499" s="10">
        <v>110</v>
      </c>
      <c r="I499" s="9">
        <v>0</v>
      </c>
      <c r="J499" s="10">
        <v>0</v>
      </c>
      <c r="K499" s="9">
        <v>1</v>
      </c>
      <c r="L499" s="10">
        <v>110</v>
      </c>
      <c r="M499" s="10">
        <v>79.040000000000006</v>
      </c>
      <c r="N499" s="10">
        <v>30.96</v>
      </c>
      <c r="O499" s="11">
        <f t="shared" si="26"/>
        <v>0.28145454545454546</v>
      </c>
      <c r="P499" s="10">
        <v>7.45</v>
      </c>
      <c r="Q499" s="10">
        <v>23.51</v>
      </c>
      <c r="R499" s="11">
        <f t="shared" si="27"/>
        <v>0.21372727272727274</v>
      </c>
      <c r="S499" t="s">
        <v>75</v>
      </c>
      <c r="T499" t="s">
        <v>86</v>
      </c>
      <c r="U499" t="s">
        <v>67</v>
      </c>
    </row>
    <row r="500" spans="1:21" x14ac:dyDescent="0.35">
      <c r="A500" t="s">
        <v>619</v>
      </c>
      <c r="B500" s="5">
        <v>45927</v>
      </c>
      <c r="C500" t="s">
        <v>117</v>
      </c>
      <c r="D500" t="s">
        <v>74</v>
      </c>
      <c r="E500" s="9">
        <v>1</v>
      </c>
      <c r="F500" s="10">
        <v>95</v>
      </c>
      <c r="G500" s="11">
        <v>0</v>
      </c>
      <c r="H500" s="10">
        <v>95</v>
      </c>
      <c r="I500" s="9">
        <v>0</v>
      </c>
      <c r="J500" s="10">
        <v>0</v>
      </c>
      <c r="K500" s="9">
        <v>1</v>
      </c>
      <c r="L500" s="10">
        <v>95</v>
      </c>
      <c r="M500" s="10">
        <v>73.180000000000007</v>
      </c>
      <c r="N500" s="10">
        <v>21.82</v>
      </c>
      <c r="O500" s="11">
        <f t="shared" si="26"/>
        <v>0.2296842105263158</v>
      </c>
      <c r="P500" s="10">
        <v>6.88</v>
      </c>
      <c r="Q500" s="10">
        <v>14.94</v>
      </c>
      <c r="R500" s="11">
        <f t="shared" si="27"/>
        <v>0.15726315789473683</v>
      </c>
      <c r="S500" t="s">
        <v>81</v>
      </c>
      <c r="T500" t="s">
        <v>60</v>
      </c>
      <c r="U500" t="s">
        <v>67</v>
      </c>
    </row>
    <row r="501" spans="1:21" x14ac:dyDescent="0.35">
      <c r="A501" t="s">
        <v>620</v>
      </c>
      <c r="B501" s="5">
        <v>45932</v>
      </c>
      <c r="C501" t="s">
        <v>104</v>
      </c>
      <c r="D501" t="s">
        <v>105</v>
      </c>
      <c r="E501" s="9">
        <v>3</v>
      </c>
      <c r="F501" s="10">
        <v>65</v>
      </c>
      <c r="G501" s="11">
        <v>0</v>
      </c>
      <c r="H501" s="10">
        <v>195</v>
      </c>
      <c r="I501" s="9">
        <v>0</v>
      </c>
      <c r="J501" s="10">
        <v>0</v>
      </c>
      <c r="K501" s="9">
        <v>3</v>
      </c>
      <c r="L501" s="10">
        <v>195</v>
      </c>
      <c r="M501" s="10">
        <v>136.55000000000001</v>
      </c>
      <c r="N501" s="10">
        <v>58.45</v>
      </c>
      <c r="O501" s="11">
        <f t="shared" si="26"/>
        <v>0.29974358974358978</v>
      </c>
      <c r="P501" s="10">
        <v>18.02</v>
      </c>
      <c r="Q501" s="10">
        <v>40.43</v>
      </c>
      <c r="R501" s="11">
        <f t="shared" si="27"/>
        <v>0.20733333333333334</v>
      </c>
      <c r="S501" t="s">
        <v>75</v>
      </c>
      <c r="T501" t="s">
        <v>82</v>
      </c>
      <c r="U501" t="s">
        <v>67</v>
      </c>
    </row>
    <row r="502" spans="1:21" x14ac:dyDescent="0.35">
      <c r="A502" t="s">
        <v>621</v>
      </c>
      <c r="B502" s="5">
        <v>45881</v>
      </c>
      <c r="C502" t="s">
        <v>125</v>
      </c>
      <c r="D502" t="s">
        <v>85</v>
      </c>
      <c r="E502" s="9">
        <v>5</v>
      </c>
      <c r="F502" s="10">
        <v>125</v>
      </c>
      <c r="G502" s="11">
        <v>0</v>
      </c>
      <c r="H502" s="10">
        <v>625</v>
      </c>
      <c r="I502" s="9">
        <v>0</v>
      </c>
      <c r="J502" s="10">
        <v>0</v>
      </c>
      <c r="K502" s="9">
        <v>5</v>
      </c>
      <c r="L502" s="10">
        <v>625</v>
      </c>
      <c r="M502" s="10">
        <v>409.89</v>
      </c>
      <c r="N502" s="10">
        <v>215.11</v>
      </c>
      <c r="O502" s="11">
        <f t="shared" si="26"/>
        <v>0.34417600000000004</v>
      </c>
      <c r="P502" s="10">
        <v>49.3</v>
      </c>
      <c r="Q502" s="10">
        <v>165.81</v>
      </c>
      <c r="R502" s="11">
        <f t="shared" si="27"/>
        <v>0.26529599999999998</v>
      </c>
      <c r="S502" t="s">
        <v>65</v>
      </c>
      <c r="T502" t="s">
        <v>82</v>
      </c>
      <c r="U502" t="s">
        <v>67</v>
      </c>
    </row>
    <row r="503" spans="1:21" x14ac:dyDescent="0.35">
      <c r="A503" t="s">
        <v>622</v>
      </c>
      <c r="B503" s="5">
        <v>46013</v>
      </c>
      <c r="C503" t="s">
        <v>63</v>
      </c>
      <c r="D503" t="s">
        <v>64</v>
      </c>
      <c r="E503" s="9">
        <v>3</v>
      </c>
      <c r="F503" s="10">
        <v>145</v>
      </c>
      <c r="G503" s="11">
        <v>0</v>
      </c>
      <c r="H503" s="10">
        <v>435</v>
      </c>
      <c r="I503" s="9">
        <v>0</v>
      </c>
      <c r="J503" s="10">
        <v>0</v>
      </c>
      <c r="K503" s="9">
        <v>3</v>
      </c>
      <c r="L503" s="10">
        <v>435</v>
      </c>
      <c r="M503" s="10">
        <v>353.52</v>
      </c>
      <c r="N503" s="10">
        <v>81.48</v>
      </c>
      <c r="O503" s="11">
        <f t="shared" si="26"/>
        <v>0.18731034482758621</v>
      </c>
      <c r="P503" s="10">
        <v>55.72</v>
      </c>
      <c r="Q503" s="10">
        <v>25.76</v>
      </c>
      <c r="R503" s="11">
        <f t="shared" si="27"/>
        <v>5.9218390804597704E-2</v>
      </c>
      <c r="S503" t="s">
        <v>81</v>
      </c>
      <c r="T503" t="s">
        <v>86</v>
      </c>
      <c r="U503" t="s">
        <v>61</v>
      </c>
    </row>
    <row r="504" spans="1:21" x14ac:dyDescent="0.35">
      <c r="A504" t="s">
        <v>623</v>
      </c>
      <c r="B504" s="5">
        <v>45805</v>
      </c>
      <c r="C504" t="s">
        <v>73</v>
      </c>
      <c r="D504" t="s">
        <v>74</v>
      </c>
      <c r="E504" s="9">
        <v>2</v>
      </c>
      <c r="F504" s="10">
        <v>280</v>
      </c>
      <c r="G504" s="11">
        <v>0</v>
      </c>
      <c r="H504" s="10">
        <v>560</v>
      </c>
      <c r="I504" s="9">
        <v>0</v>
      </c>
      <c r="J504" s="10">
        <v>0</v>
      </c>
      <c r="K504" s="9">
        <v>2</v>
      </c>
      <c r="L504" s="10">
        <v>560</v>
      </c>
      <c r="M504" s="10">
        <v>402.48</v>
      </c>
      <c r="N504" s="10">
        <v>157.52000000000001</v>
      </c>
      <c r="O504" s="11">
        <f t="shared" si="26"/>
        <v>0.28128571428571431</v>
      </c>
      <c r="P504" s="10">
        <v>58.12</v>
      </c>
      <c r="Q504" s="10">
        <v>99.4</v>
      </c>
      <c r="R504" s="11">
        <f t="shared" si="27"/>
        <v>0.17750000000000002</v>
      </c>
      <c r="S504" t="s">
        <v>75</v>
      </c>
      <c r="T504" t="s">
        <v>86</v>
      </c>
      <c r="U504" t="s">
        <v>61</v>
      </c>
    </row>
    <row r="505" spans="1:21" x14ac:dyDescent="0.35">
      <c r="A505" t="s">
        <v>624</v>
      </c>
      <c r="B505" s="5">
        <v>45957</v>
      </c>
      <c r="C505" t="s">
        <v>78</v>
      </c>
      <c r="D505" t="s">
        <v>79</v>
      </c>
      <c r="E505" s="9">
        <v>2</v>
      </c>
      <c r="F505" s="10">
        <v>120</v>
      </c>
      <c r="G505" s="11">
        <v>0</v>
      </c>
      <c r="H505" s="10">
        <v>240</v>
      </c>
      <c r="I505" s="9">
        <v>0</v>
      </c>
      <c r="J505" s="10">
        <v>0</v>
      </c>
      <c r="K505" s="9">
        <v>2</v>
      </c>
      <c r="L505" s="10">
        <v>240</v>
      </c>
      <c r="M505" s="10">
        <v>191.31</v>
      </c>
      <c r="N505" s="10">
        <v>48.69</v>
      </c>
      <c r="O505" s="11">
        <f t="shared" si="26"/>
        <v>0.202875</v>
      </c>
      <c r="P505" s="10">
        <v>24.89</v>
      </c>
      <c r="Q505" s="10">
        <v>23.8</v>
      </c>
      <c r="R505" s="11">
        <f t="shared" si="27"/>
        <v>9.9166666666666667E-2</v>
      </c>
      <c r="S505" t="s">
        <v>81</v>
      </c>
      <c r="T505" t="s">
        <v>66</v>
      </c>
      <c r="U505" t="s">
        <v>71</v>
      </c>
    </row>
    <row r="506" spans="1:21" x14ac:dyDescent="0.35">
      <c r="A506" t="s">
        <v>625</v>
      </c>
      <c r="B506" s="5">
        <v>45998</v>
      </c>
      <c r="C506" t="s">
        <v>97</v>
      </c>
      <c r="D506" t="s">
        <v>57</v>
      </c>
      <c r="E506" s="9">
        <v>1</v>
      </c>
      <c r="F506" s="10">
        <v>55</v>
      </c>
      <c r="G506" s="11">
        <v>0.15</v>
      </c>
      <c r="H506" s="10">
        <v>46.75</v>
      </c>
      <c r="I506" s="9">
        <v>0</v>
      </c>
      <c r="J506" s="10">
        <v>0</v>
      </c>
      <c r="K506" s="9">
        <v>1</v>
      </c>
      <c r="L506" s="10">
        <v>46.75</v>
      </c>
      <c r="M506" s="10">
        <v>39.950000000000003</v>
      </c>
      <c r="N506" s="10">
        <v>6.8</v>
      </c>
      <c r="O506" s="11">
        <f t="shared" si="26"/>
        <v>0.14545454545454545</v>
      </c>
      <c r="P506" s="10">
        <v>4.8</v>
      </c>
      <c r="Q506" s="10">
        <v>2</v>
      </c>
      <c r="R506" s="11">
        <f t="shared" si="27"/>
        <v>4.2780748663101602E-2</v>
      </c>
      <c r="S506" t="s">
        <v>75</v>
      </c>
      <c r="T506" t="s">
        <v>60</v>
      </c>
      <c r="U506" t="s">
        <v>76</v>
      </c>
    </row>
    <row r="507" spans="1:21" x14ac:dyDescent="0.35">
      <c r="A507" t="s">
        <v>626</v>
      </c>
      <c r="B507" s="5">
        <v>45673</v>
      </c>
      <c r="C507" t="s">
        <v>100</v>
      </c>
      <c r="D507" t="s">
        <v>64</v>
      </c>
      <c r="E507" s="9">
        <v>2</v>
      </c>
      <c r="F507" s="10">
        <v>310</v>
      </c>
      <c r="G507" s="11">
        <v>0</v>
      </c>
      <c r="H507" s="10">
        <v>620</v>
      </c>
      <c r="I507" s="9">
        <v>0</v>
      </c>
      <c r="J507" s="10">
        <v>0</v>
      </c>
      <c r="K507" s="9">
        <v>2</v>
      </c>
      <c r="L507" s="10">
        <v>620</v>
      </c>
      <c r="M507" s="10">
        <v>476.47</v>
      </c>
      <c r="N507" s="10">
        <v>143.53</v>
      </c>
      <c r="O507" s="11">
        <f t="shared" si="26"/>
        <v>0.23150000000000001</v>
      </c>
      <c r="P507" s="10">
        <v>55.84</v>
      </c>
      <c r="Q507" s="10">
        <v>87.69</v>
      </c>
      <c r="R507" s="11">
        <f t="shared" si="27"/>
        <v>0.14143548387096774</v>
      </c>
      <c r="S507" t="s">
        <v>81</v>
      </c>
      <c r="T507" t="s">
        <v>60</v>
      </c>
      <c r="U507" t="s">
        <v>67</v>
      </c>
    </row>
    <row r="508" spans="1:21" x14ac:dyDescent="0.35">
      <c r="A508" t="s">
        <v>627</v>
      </c>
      <c r="B508" s="5">
        <v>45752</v>
      </c>
      <c r="C508" t="s">
        <v>264</v>
      </c>
      <c r="D508" t="s">
        <v>85</v>
      </c>
      <c r="E508" s="9">
        <v>2</v>
      </c>
      <c r="F508" s="10">
        <v>20</v>
      </c>
      <c r="G508" s="11">
        <v>0</v>
      </c>
      <c r="H508" s="10">
        <v>40</v>
      </c>
      <c r="I508" s="9">
        <v>0</v>
      </c>
      <c r="J508" s="10">
        <v>0</v>
      </c>
      <c r="K508" s="9">
        <v>2</v>
      </c>
      <c r="L508" s="10">
        <v>40</v>
      </c>
      <c r="M508" s="10">
        <v>25.76</v>
      </c>
      <c r="N508" s="10">
        <v>14.24</v>
      </c>
      <c r="O508" s="11">
        <f t="shared" si="26"/>
        <v>0.35599999999999998</v>
      </c>
      <c r="P508" s="10">
        <v>3.68</v>
      </c>
      <c r="Q508" s="10">
        <v>10.56</v>
      </c>
      <c r="R508" s="11">
        <f t="shared" si="27"/>
        <v>0.26400000000000001</v>
      </c>
      <c r="S508" t="s">
        <v>75</v>
      </c>
      <c r="T508" t="s">
        <v>66</v>
      </c>
      <c r="U508" t="s">
        <v>76</v>
      </c>
    </row>
    <row r="509" spans="1:21" x14ac:dyDescent="0.35">
      <c r="A509" t="s">
        <v>628</v>
      </c>
      <c r="B509" s="5">
        <v>45676</v>
      </c>
      <c r="C509" t="s">
        <v>114</v>
      </c>
      <c r="D509" t="s">
        <v>64</v>
      </c>
      <c r="E509" s="9">
        <v>4</v>
      </c>
      <c r="F509" s="10">
        <v>420</v>
      </c>
      <c r="G509" s="11">
        <v>0.05</v>
      </c>
      <c r="H509" s="10">
        <v>1596</v>
      </c>
      <c r="I509" s="9">
        <v>0</v>
      </c>
      <c r="J509" s="10">
        <v>0</v>
      </c>
      <c r="K509" s="9">
        <v>4</v>
      </c>
      <c r="L509" s="10">
        <v>1596</v>
      </c>
      <c r="M509" s="10">
        <v>1292.68</v>
      </c>
      <c r="N509" s="10">
        <v>303.32</v>
      </c>
      <c r="O509" s="11">
        <f t="shared" ref="O509:O540" si="28">N509/L509</f>
        <v>0.19005012531328319</v>
      </c>
      <c r="P509" s="10">
        <v>145.13</v>
      </c>
      <c r="Q509" s="10">
        <v>158.19</v>
      </c>
      <c r="R509" s="11">
        <f t="shared" ref="R509:R540" si="29">Q509/L509</f>
        <v>9.9116541353383464E-2</v>
      </c>
      <c r="S509" t="s">
        <v>81</v>
      </c>
      <c r="T509" t="s">
        <v>60</v>
      </c>
      <c r="U509" t="s">
        <v>61</v>
      </c>
    </row>
    <row r="510" spans="1:21" x14ac:dyDescent="0.35">
      <c r="A510" t="s">
        <v>629</v>
      </c>
      <c r="B510" s="5">
        <v>45962</v>
      </c>
      <c r="C510" t="s">
        <v>78</v>
      </c>
      <c r="D510" t="s">
        <v>79</v>
      </c>
      <c r="E510" s="9">
        <v>4</v>
      </c>
      <c r="F510" s="10">
        <v>120</v>
      </c>
      <c r="G510" s="11">
        <v>0.05</v>
      </c>
      <c r="H510" s="10">
        <v>456</v>
      </c>
      <c r="I510" s="9">
        <v>0</v>
      </c>
      <c r="J510" s="10">
        <v>0</v>
      </c>
      <c r="K510" s="9">
        <v>4</v>
      </c>
      <c r="L510" s="10">
        <v>456</v>
      </c>
      <c r="M510" s="10">
        <v>318.20999999999998</v>
      </c>
      <c r="N510" s="10">
        <v>137.79</v>
      </c>
      <c r="O510" s="11">
        <f t="shared" si="28"/>
        <v>0.30217105263157895</v>
      </c>
      <c r="P510" s="10">
        <v>44.48</v>
      </c>
      <c r="Q510" s="10">
        <v>93.31</v>
      </c>
      <c r="R510" s="11">
        <f t="shared" si="29"/>
        <v>0.20462719298245616</v>
      </c>
      <c r="S510" t="s">
        <v>65</v>
      </c>
      <c r="T510" t="s">
        <v>82</v>
      </c>
      <c r="U510" t="s">
        <v>61</v>
      </c>
    </row>
    <row r="511" spans="1:21" x14ac:dyDescent="0.35">
      <c r="A511" t="s">
        <v>630</v>
      </c>
      <c r="B511" s="5">
        <v>45990</v>
      </c>
      <c r="C511" t="s">
        <v>104</v>
      </c>
      <c r="D511" t="s">
        <v>105</v>
      </c>
      <c r="E511" s="9">
        <v>2</v>
      </c>
      <c r="F511" s="10">
        <v>65</v>
      </c>
      <c r="G511" s="11">
        <v>0.05</v>
      </c>
      <c r="H511" s="10">
        <v>123.5</v>
      </c>
      <c r="I511" s="9">
        <v>0</v>
      </c>
      <c r="J511" s="10">
        <v>0</v>
      </c>
      <c r="K511" s="9">
        <v>2</v>
      </c>
      <c r="L511" s="10">
        <v>123.5</v>
      </c>
      <c r="M511" s="10">
        <v>83.28</v>
      </c>
      <c r="N511" s="10">
        <v>40.22</v>
      </c>
      <c r="O511" s="11">
        <f t="shared" si="28"/>
        <v>0.325668016194332</v>
      </c>
      <c r="P511" s="10">
        <v>8.48</v>
      </c>
      <c r="Q511" s="10">
        <v>31.74</v>
      </c>
      <c r="R511" s="11">
        <f t="shared" si="29"/>
        <v>0.25700404858299591</v>
      </c>
      <c r="S511" t="s">
        <v>65</v>
      </c>
      <c r="T511" t="s">
        <v>66</v>
      </c>
      <c r="U511" t="s">
        <v>71</v>
      </c>
    </row>
    <row r="512" spans="1:21" x14ac:dyDescent="0.35">
      <c r="A512" t="s">
        <v>631</v>
      </c>
      <c r="B512" s="5">
        <v>45940</v>
      </c>
      <c r="C512" t="s">
        <v>84</v>
      </c>
      <c r="D512" t="s">
        <v>85</v>
      </c>
      <c r="E512" s="9">
        <v>2</v>
      </c>
      <c r="F512" s="10">
        <v>48</v>
      </c>
      <c r="G512" s="11">
        <v>0.02</v>
      </c>
      <c r="H512" s="10">
        <v>94.08</v>
      </c>
      <c r="I512" s="9">
        <v>0</v>
      </c>
      <c r="J512" s="10">
        <v>0</v>
      </c>
      <c r="K512" s="9">
        <v>2</v>
      </c>
      <c r="L512" s="10">
        <v>94.08</v>
      </c>
      <c r="M512" s="10">
        <v>63.12</v>
      </c>
      <c r="N512" s="10">
        <v>30.96</v>
      </c>
      <c r="O512" s="11">
        <f t="shared" si="28"/>
        <v>0.32908163265306123</v>
      </c>
      <c r="P512" s="10">
        <v>9.98</v>
      </c>
      <c r="Q512" s="10">
        <v>20.98</v>
      </c>
      <c r="R512" s="11">
        <f t="shared" si="29"/>
        <v>0.22300170068027211</v>
      </c>
      <c r="S512" t="s">
        <v>75</v>
      </c>
      <c r="T512" t="s">
        <v>86</v>
      </c>
      <c r="U512" t="s">
        <v>71</v>
      </c>
    </row>
    <row r="513" spans="1:21" x14ac:dyDescent="0.35">
      <c r="A513" t="s">
        <v>632</v>
      </c>
      <c r="B513" s="5">
        <v>45833</v>
      </c>
      <c r="C513" t="s">
        <v>100</v>
      </c>
      <c r="D513" t="s">
        <v>64</v>
      </c>
      <c r="E513" s="9">
        <v>2</v>
      </c>
      <c r="F513" s="10">
        <v>310</v>
      </c>
      <c r="G513" s="11">
        <v>0</v>
      </c>
      <c r="H513" s="10">
        <v>620</v>
      </c>
      <c r="I513" s="9">
        <v>0</v>
      </c>
      <c r="J513" s="10">
        <v>0</v>
      </c>
      <c r="K513" s="9">
        <v>2</v>
      </c>
      <c r="L513" s="10">
        <v>620</v>
      </c>
      <c r="M513" s="10">
        <v>388.54</v>
      </c>
      <c r="N513" s="10">
        <v>231.46</v>
      </c>
      <c r="O513" s="11">
        <f t="shared" si="28"/>
        <v>0.37332258064516133</v>
      </c>
      <c r="P513" s="10">
        <v>71.02</v>
      </c>
      <c r="Q513" s="10">
        <v>160.44</v>
      </c>
      <c r="R513" s="11">
        <f t="shared" si="29"/>
        <v>0.2587741935483871</v>
      </c>
      <c r="S513" t="s">
        <v>65</v>
      </c>
      <c r="T513" t="s">
        <v>60</v>
      </c>
      <c r="U513" t="s">
        <v>61</v>
      </c>
    </row>
    <row r="514" spans="1:21" x14ac:dyDescent="0.35">
      <c r="A514" t="s">
        <v>633</v>
      </c>
      <c r="B514" s="5">
        <v>45735</v>
      </c>
      <c r="C514" t="s">
        <v>100</v>
      </c>
      <c r="D514" t="s">
        <v>64</v>
      </c>
      <c r="E514" s="9">
        <v>2</v>
      </c>
      <c r="F514" s="10">
        <v>310</v>
      </c>
      <c r="G514" s="11">
        <v>0</v>
      </c>
      <c r="H514" s="10">
        <v>620</v>
      </c>
      <c r="I514" s="9">
        <v>0</v>
      </c>
      <c r="J514" s="10">
        <v>0</v>
      </c>
      <c r="K514" s="9">
        <v>2</v>
      </c>
      <c r="L514" s="10">
        <v>620</v>
      </c>
      <c r="M514" s="10">
        <v>410.39</v>
      </c>
      <c r="N514" s="10">
        <v>209.61</v>
      </c>
      <c r="O514" s="11">
        <f t="shared" si="28"/>
        <v>0.33808064516129033</v>
      </c>
      <c r="P514" s="10">
        <v>63.93</v>
      </c>
      <c r="Q514" s="10">
        <v>145.68</v>
      </c>
      <c r="R514" s="11">
        <f t="shared" si="29"/>
        <v>0.23496774193548389</v>
      </c>
      <c r="S514" t="s">
        <v>81</v>
      </c>
      <c r="T514" t="s">
        <v>66</v>
      </c>
      <c r="U514" t="s">
        <v>76</v>
      </c>
    </row>
    <row r="515" spans="1:21" x14ac:dyDescent="0.35">
      <c r="A515" t="s">
        <v>634</v>
      </c>
      <c r="B515" s="5">
        <v>46014</v>
      </c>
      <c r="C515" t="s">
        <v>69</v>
      </c>
      <c r="D515" t="s">
        <v>70</v>
      </c>
      <c r="E515" s="9">
        <v>3</v>
      </c>
      <c r="F515" s="10">
        <v>210</v>
      </c>
      <c r="G515" s="11">
        <v>0</v>
      </c>
      <c r="H515" s="10">
        <v>630</v>
      </c>
      <c r="I515" s="9">
        <v>0</v>
      </c>
      <c r="J515" s="10">
        <v>0</v>
      </c>
      <c r="K515" s="9">
        <v>3</v>
      </c>
      <c r="L515" s="10">
        <v>630</v>
      </c>
      <c r="M515" s="10">
        <v>394.33</v>
      </c>
      <c r="N515" s="10">
        <v>235.67</v>
      </c>
      <c r="O515" s="11">
        <f t="shared" si="28"/>
        <v>0.37407936507936507</v>
      </c>
      <c r="P515" s="10">
        <v>59.05</v>
      </c>
      <c r="Q515" s="10">
        <v>176.62</v>
      </c>
      <c r="R515" s="11">
        <f t="shared" si="29"/>
        <v>0.28034920634920635</v>
      </c>
      <c r="S515" t="s">
        <v>81</v>
      </c>
      <c r="T515" t="s">
        <v>86</v>
      </c>
      <c r="U515" t="s">
        <v>71</v>
      </c>
    </row>
    <row r="516" spans="1:21" x14ac:dyDescent="0.35">
      <c r="A516" t="s">
        <v>635</v>
      </c>
      <c r="B516" s="5">
        <v>45863</v>
      </c>
      <c r="C516" t="s">
        <v>100</v>
      </c>
      <c r="D516" t="s">
        <v>64</v>
      </c>
      <c r="E516" s="9">
        <v>6</v>
      </c>
      <c r="F516" s="10">
        <v>310</v>
      </c>
      <c r="G516" s="11">
        <v>0</v>
      </c>
      <c r="H516" s="10">
        <v>1860</v>
      </c>
      <c r="I516" s="9">
        <v>0</v>
      </c>
      <c r="J516" s="10">
        <v>0</v>
      </c>
      <c r="K516" s="9">
        <v>6</v>
      </c>
      <c r="L516" s="10">
        <v>1860</v>
      </c>
      <c r="M516" s="10">
        <v>1217.1600000000001</v>
      </c>
      <c r="N516" s="10">
        <v>642.84</v>
      </c>
      <c r="O516" s="11">
        <f t="shared" si="28"/>
        <v>0.34561290322580646</v>
      </c>
      <c r="P516" s="10">
        <v>136.65</v>
      </c>
      <c r="Q516" s="10">
        <v>506.19</v>
      </c>
      <c r="R516" s="11">
        <f t="shared" si="29"/>
        <v>0.27214516129032257</v>
      </c>
      <c r="S516" t="s">
        <v>59</v>
      </c>
      <c r="T516" t="s">
        <v>86</v>
      </c>
      <c r="U516" t="s">
        <v>67</v>
      </c>
    </row>
    <row r="517" spans="1:21" x14ac:dyDescent="0.35">
      <c r="A517" t="s">
        <v>636</v>
      </c>
      <c r="B517" s="5">
        <v>45808</v>
      </c>
      <c r="C517" t="s">
        <v>63</v>
      </c>
      <c r="D517" t="s">
        <v>64</v>
      </c>
      <c r="E517" s="9">
        <v>3</v>
      </c>
      <c r="F517" s="10">
        <v>145</v>
      </c>
      <c r="G517" s="11">
        <v>0</v>
      </c>
      <c r="H517" s="10">
        <v>435</v>
      </c>
      <c r="I517" s="9">
        <v>0</v>
      </c>
      <c r="J517" s="10">
        <v>0</v>
      </c>
      <c r="K517" s="9">
        <v>3</v>
      </c>
      <c r="L517" s="10">
        <v>435</v>
      </c>
      <c r="M517" s="10">
        <v>357.14</v>
      </c>
      <c r="N517" s="10">
        <v>77.86</v>
      </c>
      <c r="O517" s="11">
        <f t="shared" si="28"/>
        <v>0.17898850574712644</v>
      </c>
      <c r="P517" s="10">
        <v>41.98</v>
      </c>
      <c r="Q517" s="10">
        <v>35.880000000000003</v>
      </c>
      <c r="R517" s="11">
        <f t="shared" si="29"/>
        <v>8.2482758620689656E-2</v>
      </c>
      <c r="S517" t="s">
        <v>65</v>
      </c>
      <c r="T517" t="s">
        <v>66</v>
      </c>
      <c r="U517" t="s">
        <v>76</v>
      </c>
    </row>
    <row r="518" spans="1:21" x14ac:dyDescent="0.35">
      <c r="A518" t="s">
        <v>637</v>
      </c>
      <c r="B518" s="5">
        <v>45855</v>
      </c>
      <c r="C518" t="s">
        <v>117</v>
      </c>
      <c r="D518" t="s">
        <v>74</v>
      </c>
      <c r="E518" s="9">
        <v>1</v>
      </c>
      <c r="F518" s="10">
        <v>95</v>
      </c>
      <c r="G518" s="11">
        <v>0.02</v>
      </c>
      <c r="H518" s="10">
        <v>93.1</v>
      </c>
      <c r="I518" s="9">
        <v>0</v>
      </c>
      <c r="J518" s="10">
        <v>0</v>
      </c>
      <c r="K518" s="9">
        <v>1</v>
      </c>
      <c r="L518" s="10">
        <v>93.1</v>
      </c>
      <c r="M518" s="10">
        <v>71.88</v>
      </c>
      <c r="N518" s="10">
        <v>21.22</v>
      </c>
      <c r="O518" s="11">
        <f t="shared" si="28"/>
        <v>0.22792696025778733</v>
      </c>
      <c r="P518" s="10">
        <v>4.78</v>
      </c>
      <c r="Q518" s="10">
        <v>16.440000000000001</v>
      </c>
      <c r="R518" s="11">
        <f t="shared" si="29"/>
        <v>0.17658431793770141</v>
      </c>
      <c r="S518" t="s">
        <v>65</v>
      </c>
      <c r="T518" t="s">
        <v>86</v>
      </c>
      <c r="U518" t="s">
        <v>67</v>
      </c>
    </row>
    <row r="519" spans="1:21" x14ac:dyDescent="0.35">
      <c r="A519" t="s">
        <v>638</v>
      </c>
      <c r="B519" s="5">
        <v>45967</v>
      </c>
      <c r="C519" t="s">
        <v>90</v>
      </c>
      <c r="D519" t="s">
        <v>70</v>
      </c>
      <c r="E519" s="9">
        <v>5</v>
      </c>
      <c r="F519" s="10">
        <v>38</v>
      </c>
      <c r="G519" s="11">
        <v>0</v>
      </c>
      <c r="H519" s="10">
        <v>190</v>
      </c>
      <c r="I519" s="9">
        <v>0</v>
      </c>
      <c r="J519" s="10">
        <v>0</v>
      </c>
      <c r="K519" s="9">
        <v>5</v>
      </c>
      <c r="L519" s="10">
        <v>190</v>
      </c>
      <c r="M519" s="10">
        <v>123.56</v>
      </c>
      <c r="N519" s="10">
        <v>66.44</v>
      </c>
      <c r="O519" s="11">
        <f t="shared" si="28"/>
        <v>0.34968421052631576</v>
      </c>
      <c r="P519" s="10">
        <v>23.55</v>
      </c>
      <c r="Q519" s="10">
        <v>42.89</v>
      </c>
      <c r="R519" s="11">
        <f t="shared" si="29"/>
        <v>0.22573684210526315</v>
      </c>
      <c r="S519" t="s">
        <v>59</v>
      </c>
      <c r="T519" t="s">
        <v>86</v>
      </c>
      <c r="U519" t="s">
        <v>71</v>
      </c>
    </row>
    <row r="520" spans="1:21" x14ac:dyDescent="0.35">
      <c r="A520" t="s">
        <v>639</v>
      </c>
      <c r="B520" s="5">
        <v>46010</v>
      </c>
      <c r="C520" t="s">
        <v>125</v>
      </c>
      <c r="D520" t="s">
        <v>85</v>
      </c>
      <c r="E520" s="9">
        <v>1</v>
      </c>
      <c r="F520" s="10">
        <v>125</v>
      </c>
      <c r="G520" s="11">
        <v>0</v>
      </c>
      <c r="H520" s="10">
        <v>125</v>
      </c>
      <c r="I520" s="9">
        <v>0</v>
      </c>
      <c r="J520" s="10">
        <v>0</v>
      </c>
      <c r="K520" s="9">
        <v>1</v>
      </c>
      <c r="L520" s="10">
        <v>125</v>
      </c>
      <c r="M520" s="10">
        <v>99.37</v>
      </c>
      <c r="N520" s="10">
        <v>25.63</v>
      </c>
      <c r="O520" s="11">
        <f t="shared" si="28"/>
        <v>0.20504</v>
      </c>
      <c r="P520" s="10">
        <v>7.43</v>
      </c>
      <c r="Q520" s="10">
        <v>18.2</v>
      </c>
      <c r="R520" s="11">
        <f t="shared" si="29"/>
        <v>0.14560000000000001</v>
      </c>
      <c r="S520" t="s">
        <v>75</v>
      </c>
      <c r="T520" t="s">
        <v>60</v>
      </c>
      <c r="U520" t="s">
        <v>76</v>
      </c>
    </row>
    <row r="521" spans="1:21" x14ac:dyDescent="0.35">
      <c r="A521" t="s">
        <v>640</v>
      </c>
      <c r="B521" s="5">
        <v>45869</v>
      </c>
      <c r="C521" t="s">
        <v>107</v>
      </c>
      <c r="D521" t="s">
        <v>74</v>
      </c>
      <c r="E521" s="9">
        <v>3</v>
      </c>
      <c r="F521" s="10">
        <v>125</v>
      </c>
      <c r="G521" s="11">
        <v>0</v>
      </c>
      <c r="H521" s="10">
        <v>375</v>
      </c>
      <c r="I521" s="9">
        <v>0</v>
      </c>
      <c r="J521" s="10">
        <v>0</v>
      </c>
      <c r="K521" s="9">
        <v>3</v>
      </c>
      <c r="L521" s="10">
        <v>375</v>
      </c>
      <c r="M521" s="10">
        <v>240.79</v>
      </c>
      <c r="N521" s="10">
        <v>134.21</v>
      </c>
      <c r="O521" s="11">
        <f t="shared" si="28"/>
        <v>0.35789333333333334</v>
      </c>
      <c r="P521" s="10">
        <v>45.58</v>
      </c>
      <c r="Q521" s="10">
        <v>88.63</v>
      </c>
      <c r="R521" s="11">
        <f t="shared" si="29"/>
        <v>0.23634666666666665</v>
      </c>
      <c r="S521" t="s">
        <v>59</v>
      </c>
      <c r="T521" t="s">
        <v>66</v>
      </c>
      <c r="U521" t="s">
        <v>67</v>
      </c>
    </row>
    <row r="522" spans="1:21" x14ac:dyDescent="0.35">
      <c r="A522" t="s">
        <v>641</v>
      </c>
      <c r="B522" s="5">
        <v>45729</v>
      </c>
      <c r="C522" t="s">
        <v>109</v>
      </c>
      <c r="D522" t="s">
        <v>85</v>
      </c>
      <c r="E522" s="9">
        <v>5</v>
      </c>
      <c r="F522" s="10">
        <v>180</v>
      </c>
      <c r="G522" s="11">
        <v>0</v>
      </c>
      <c r="H522" s="10">
        <v>900</v>
      </c>
      <c r="I522" s="9">
        <v>0</v>
      </c>
      <c r="J522" s="10">
        <v>0</v>
      </c>
      <c r="K522" s="9">
        <v>5</v>
      </c>
      <c r="L522" s="10">
        <v>900</v>
      </c>
      <c r="M522" s="10">
        <v>701.91</v>
      </c>
      <c r="N522" s="10">
        <v>198.09</v>
      </c>
      <c r="O522" s="11">
        <f t="shared" si="28"/>
        <v>0.22009999999999999</v>
      </c>
      <c r="P522" s="10">
        <v>61.25</v>
      </c>
      <c r="Q522" s="10">
        <v>136.84</v>
      </c>
      <c r="R522" s="11">
        <f t="shared" si="29"/>
        <v>0.15204444444444445</v>
      </c>
      <c r="S522" t="s">
        <v>59</v>
      </c>
      <c r="T522" t="s">
        <v>66</v>
      </c>
      <c r="U522" t="s">
        <v>61</v>
      </c>
    </row>
    <row r="523" spans="1:21" x14ac:dyDescent="0.35">
      <c r="A523" t="s">
        <v>642</v>
      </c>
      <c r="B523" s="5">
        <v>45875</v>
      </c>
      <c r="C523" t="s">
        <v>69</v>
      </c>
      <c r="D523" t="s">
        <v>70</v>
      </c>
      <c r="E523" s="9">
        <v>1</v>
      </c>
      <c r="F523" s="10">
        <v>210</v>
      </c>
      <c r="G523" s="11">
        <v>0</v>
      </c>
      <c r="H523" s="10">
        <v>210</v>
      </c>
      <c r="I523" s="9">
        <v>0</v>
      </c>
      <c r="J523" s="10">
        <v>0</v>
      </c>
      <c r="K523" s="9">
        <v>1</v>
      </c>
      <c r="L523" s="10">
        <v>210</v>
      </c>
      <c r="M523" s="10">
        <v>179.96</v>
      </c>
      <c r="N523" s="10">
        <v>30.04</v>
      </c>
      <c r="O523" s="11">
        <f t="shared" si="28"/>
        <v>0.14304761904761903</v>
      </c>
      <c r="P523" s="10">
        <v>19.440000000000001</v>
      </c>
      <c r="Q523" s="10">
        <v>10.6</v>
      </c>
      <c r="R523" s="11">
        <f t="shared" si="29"/>
        <v>5.0476190476190473E-2</v>
      </c>
      <c r="S523" t="s">
        <v>65</v>
      </c>
      <c r="T523" t="s">
        <v>60</v>
      </c>
      <c r="U523" t="s">
        <v>61</v>
      </c>
    </row>
    <row r="524" spans="1:21" x14ac:dyDescent="0.35">
      <c r="A524" t="s">
        <v>644</v>
      </c>
      <c r="B524" s="5">
        <v>45997</v>
      </c>
      <c r="C524" t="s">
        <v>121</v>
      </c>
      <c r="D524" t="s">
        <v>70</v>
      </c>
      <c r="E524" s="9">
        <v>3</v>
      </c>
      <c r="F524" s="10">
        <v>110</v>
      </c>
      <c r="G524" s="11">
        <v>0</v>
      </c>
      <c r="H524" s="10">
        <v>330</v>
      </c>
      <c r="I524" s="9">
        <v>0</v>
      </c>
      <c r="J524" s="10">
        <v>0</v>
      </c>
      <c r="K524" s="9">
        <v>3</v>
      </c>
      <c r="L524" s="10">
        <v>330</v>
      </c>
      <c r="M524" s="10">
        <v>242.34</v>
      </c>
      <c r="N524" s="10">
        <v>87.66</v>
      </c>
      <c r="O524" s="11">
        <f t="shared" si="28"/>
        <v>0.26563636363636361</v>
      </c>
      <c r="P524" s="10">
        <v>29.41</v>
      </c>
      <c r="Q524" s="10">
        <v>58.25</v>
      </c>
      <c r="R524" s="11">
        <f t="shared" si="29"/>
        <v>0.17651515151515151</v>
      </c>
      <c r="S524" t="s">
        <v>81</v>
      </c>
      <c r="T524" t="s">
        <v>86</v>
      </c>
      <c r="U524" t="s">
        <v>67</v>
      </c>
    </row>
    <row r="525" spans="1:21" x14ac:dyDescent="0.35">
      <c r="A525" t="s">
        <v>645</v>
      </c>
      <c r="B525" s="5">
        <v>45766</v>
      </c>
      <c r="C525" t="s">
        <v>117</v>
      </c>
      <c r="D525" t="s">
        <v>74</v>
      </c>
      <c r="E525" s="9">
        <v>1</v>
      </c>
      <c r="F525" s="10">
        <v>95</v>
      </c>
      <c r="G525" s="11">
        <v>0.02</v>
      </c>
      <c r="H525" s="10">
        <v>93.1</v>
      </c>
      <c r="I525" s="9">
        <v>0</v>
      </c>
      <c r="J525" s="10">
        <v>0</v>
      </c>
      <c r="K525" s="9">
        <v>1</v>
      </c>
      <c r="L525" s="10">
        <v>93.1</v>
      </c>
      <c r="M525" s="10">
        <v>60.59</v>
      </c>
      <c r="N525" s="10">
        <v>32.51</v>
      </c>
      <c r="O525" s="11">
        <f t="shared" si="28"/>
        <v>0.34919441460794842</v>
      </c>
      <c r="P525" s="10">
        <v>9.82</v>
      </c>
      <c r="Q525" s="10">
        <v>22.69</v>
      </c>
      <c r="R525" s="11">
        <f t="shared" si="29"/>
        <v>0.24371643394199788</v>
      </c>
      <c r="S525" t="s">
        <v>65</v>
      </c>
      <c r="T525" t="s">
        <v>66</v>
      </c>
      <c r="U525" t="s">
        <v>76</v>
      </c>
    </row>
    <row r="526" spans="1:21" x14ac:dyDescent="0.35">
      <c r="A526" t="s">
        <v>646</v>
      </c>
      <c r="B526" s="5">
        <v>45743</v>
      </c>
      <c r="C526" t="s">
        <v>63</v>
      </c>
      <c r="D526" t="s">
        <v>64</v>
      </c>
      <c r="E526" s="9">
        <v>2</v>
      </c>
      <c r="F526" s="10">
        <v>145</v>
      </c>
      <c r="G526" s="11">
        <v>0.15</v>
      </c>
      <c r="H526" s="10">
        <v>246.5</v>
      </c>
      <c r="I526" s="9">
        <v>0</v>
      </c>
      <c r="J526" s="10">
        <v>0</v>
      </c>
      <c r="K526" s="9">
        <v>2</v>
      </c>
      <c r="L526" s="10">
        <v>246.5</v>
      </c>
      <c r="M526" s="10">
        <v>158.30000000000001</v>
      </c>
      <c r="N526" s="10">
        <v>88.2</v>
      </c>
      <c r="O526" s="11">
        <f t="shared" si="28"/>
        <v>0.35780933062880327</v>
      </c>
      <c r="P526" s="10">
        <v>25.61</v>
      </c>
      <c r="Q526" s="10">
        <v>62.59</v>
      </c>
      <c r="R526" s="11">
        <f t="shared" si="29"/>
        <v>0.25391480730223126</v>
      </c>
      <c r="S526" t="s">
        <v>65</v>
      </c>
      <c r="T526" t="s">
        <v>86</v>
      </c>
      <c r="U526" t="s">
        <v>76</v>
      </c>
    </row>
    <row r="527" spans="1:21" x14ac:dyDescent="0.35">
      <c r="A527" t="s">
        <v>647</v>
      </c>
      <c r="B527" s="5">
        <v>45683</v>
      </c>
      <c r="C527" t="s">
        <v>90</v>
      </c>
      <c r="D527" t="s">
        <v>70</v>
      </c>
      <c r="E527" s="9">
        <v>5</v>
      </c>
      <c r="F527" s="10">
        <v>38</v>
      </c>
      <c r="G527" s="11">
        <v>0</v>
      </c>
      <c r="H527" s="10">
        <v>190</v>
      </c>
      <c r="I527" s="9">
        <v>0</v>
      </c>
      <c r="J527" s="10">
        <v>0</v>
      </c>
      <c r="K527" s="9">
        <v>5</v>
      </c>
      <c r="L527" s="10">
        <v>190</v>
      </c>
      <c r="M527" s="10">
        <v>123.53</v>
      </c>
      <c r="N527" s="10">
        <v>66.47</v>
      </c>
      <c r="O527" s="11">
        <f t="shared" si="28"/>
        <v>0.3498421052631579</v>
      </c>
      <c r="P527" s="10">
        <v>11.14</v>
      </c>
      <c r="Q527" s="10">
        <v>55.33</v>
      </c>
      <c r="R527" s="11">
        <f t="shared" si="29"/>
        <v>0.29121052631578948</v>
      </c>
      <c r="S527" t="s">
        <v>59</v>
      </c>
      <c r="T527" t="s">
        <v>60</v>
      </c>
      <c r="U527" t="s">
        <v>67</v>
      </c>
    </row>
    <row r="528" spans="1:21" x14ac:dyDescent="0.35">
      <c r="A528" t="s">
        <v>648</v>
      </c>
      <c r="B528" s="5">
        <v>45924</v>
      </c>
      <c r="C528" t="s">
        <v>97</v>
      </c>
      <c r="D528" t="s">
        <v>57</v>
      </c>
      <c r="E528" s="9">
        <v>1</v>
      </c>
      <c r="F528" s="10">
        <v>55</v>
      </c>
      <c r="G528" s="11">
        <v>0</v>
      </c>
      <c r="H528" s="10">
        <v>55</v>
      </c>
      <c r="I528" s="9">
        <v>0</v>
      </c>
      <c r="J528" s="10">
        <v>0</v>
      </c>
      <c r="K528" s="9">
        <v>1</v>
      </c>
      <c r="L528" s="10">
        <v>55</v>
      </c>
      <c r="M528" s="10">
        <v>35.49</v>
      </c>
      <c r="N528" s="10">
        <v>19.510000000000002</v>
      </c>
      <c r="O528" s="11">
        <f t="shared" si="28"/>
        <v>0.35472727272727278</v>
      </c>
      <c r="P528" s="10">
        <v>5.15</v>
      </c>
      <c r="Q528" s="10">
        <v>14.36</v>
      </c>
      <c r="R528" s="11">
        <f t="shared" si="29"/>
        <v>0.2610909090909091</v>
      </c>
      <c r="S528" t="s">
        <v>81</v>
      </c>
      <c r="T528" t="s">
        <v>82</v>
      </c>
      <c r="U528" t="s">
        <v>76</v>
      </c>
    </row>
    <row r="529" spans="1:21" x14ac:dyDescent="0.35">
      <c r="A529" t="s">
        <v>649</v>
      </c>
      <c r="B529" s="5">
        <v>45877</v>
      </c>
      <c r="C529" t="s">
        <v>264</v>
      </c>
      <c r="D529" t="s">
        <v>85</v>
      </c>
      <c r="E529" s="9">
        <v>1</v>
      </c>
      <c r="F529" s="10">
        <v>20</v>
      </c>
      <c r="G529" s="11">
        <v>0</v>
      </c>
      <c r="H529" s="10">
        <v>20</v>
      </c>
      <c r="I529" s="9">
        <v>0</v>
      </c>
      <c r="J529" s="10">
        <v>0</v>
      </c>
      <c r="K529" s="9">
        <v>1</v>
      </c>
      <c r="L529" s="10">
        <v>20</v>
      </c>
      <c r="M529" s="10">
        <v>15.71</v>
      </c>
      <c r="N529" s="10">
        <v>4.29</v>
      </c>
      <c r="O529" s="11">
        <f t="shared" si="28"/>
        <v>0.2145</v>
      </c>
      <c r="P529" s="10">
        <v>1.49</v>
      </c>
      <c r="Q529" s="10">
        <v>2.8</v>
      </c>
      <c r="R529" s="11">
        <f t="shared" si="29"/>
        <v>0.13999999999999999</v>
      </c>
      <c r="S529" t="s">
        <v>75</v>
      </c>
      <c r="T529" t="s">
        <v>60</v>
      </c>
      <c r="U529" t="s">
        <v>61</v>
      </c>
    </row>
    <row r="530" spans="1:21" x14ac:dyDescent="0.35">
      <c r="A530" t="s">
        <v>650</v>
      </c>
      <c r="B530" s="5">
        <v>45811</v>
      </c>
      <c r="C530" t="s">
        <v>88</v>
      </c>
      <c r="D530" t="s">
        <v>57</v>
      </c>
      <c r="E530" s="9">
        <v>3</v>
      </c>
      <c r="F530" s="10">
        <v>30</v>
      </c>
      <c r="G530" s="11">
        <v>0.05</v>
      </c>
      <c r="H530" s="10">
        <v>85.5</v>
      </c>
      <c r="I530" s="9">
        <v>0</v>
      </c>
      <c r="J530" s="10">
        <v>0</v>
      </c>
      <c r="K530" s="9">
        <v>3</v>
      </c>
      <c r="L530" s="10">
        <v>85.5</v>
      </c>
      <c r="M530" s="10">
        <v>60.5</v>
      </c>
      <c r="N530" s="10">
        <v>25</v>
      </c>
      <c r="O530" s="11">
        <f t="shared" si="28"/>
        <v>0.29239766081871343</v>
      </c>
      <c r="P530" s="10">
        <v>7.46</v>
      </c>
      <c r="Q530" s="10">
        <v>17.54</v>
      </c>
      <c r="R530" s="11">
        <f t="shared" si="29"/>
        <v>0.20514619883040935</v>
      </c>
      <c r="S530" t="s">
        <v>81</v>
      </c>
      <c r="T530" t="s">
        <v>82</v>
      </c>
      <c r="U530" t="s">
        <v>61</v>
      </c>
    </row>
    <row r="531" spans="1:21" x14ac:dyDescent="0.35">
      <c r="A531" t="s">
        <v>651</v>
      </c>
      <c r="B531" s="5">
        <v>45775</v>
      </c>
      <c r="C531" t="s">
        <v>264</v>
      </c>
      <c r="D531" t="s">
        <v>85</v>
      </c>
      <c r="E531" s="9">
        <v>8</v>
      </c>
      <c r="F531" s="10">
        <v>20</v>
      </c>
      <c r="G531" s="11">
        <v>0</v>
      </c>
      <c r="H531" s="10">
        <v>160</v>
      </c>
      <c r="I531" s="9">
        <v>0</v>
      </c>
      <c r="J531" s="10">
        <v>0</v>
      </c>
      <c r="K531" s="9">
        <v>8</v>
      </c>
      <c r="L531" s="10">
        <v>160</v>
      </c>
      <c r="M531" s="10">
        <v>127.32</v>
      </c>
      <c r="N531" s="10">
        <v>32.68</v>
      </c>
      <c r="O531" s="11">
        <f t="shared" si="28"/>
        <v>0.20424999999999999</v>
      </c>
      <c r="P531" s="10">
        <v>20.48</v>
      </c>
      <c r="Q531" s="10">
        <v>12.2</v>
      </c>
      <c r="R531" s="11">
        <f t="shared" si="29"/>
        <v>7.6249999999999998E-2</v>
      </c>
      <c r="S531" t="s">
        <v>81</v>
      </c>
      <c r="T531" t="s">
        <v>66</v>
      </c>
      <c r="U531" t="s">
        <v>61</v>
      </c>
    </row>
    <row r="532" spans="1:21" x14ac:dyDescent="0.35">
      <c r="A532" t="s">
        <v>652</v>
      </c>
      <c r="B532" s="5">
        <v>45872</v>
      </c>
      <c r="C532" t="s">
        <v>63</v>
      </c>
      <c r="D532" t="s">
        <v>64</v>
      </c>
      <c r="E532" s="9">
        <v>2</v>
      </c>
      <c r="F532" s="10">
        <v>145</v>
      </c>
      <c r="G532" s="11">
        <v>0.05</v>
      </c>
      <c r="H532" s="10">
        <v>275.5</v>
      </c>
      <c r="I532" s="9">
        <v>0</v>
      </c>
      <c r="J532" s="10">
        <v>0</v>
      </c>
      <c r="K532" s="9">
        <v>2</v>
      </c>
      <c r="L532" s="10">
        <v>275.5</v>
      </c>
      <c r="M532" s="10">
        <v>200.84</v>
      </c>
      <c r="N532" s="10">
        <v>74.66</v>
      </c>
      <c r="O532" s="11">
        <f t="shared" si="28"/>
        <v>0.27099818511796731</v>
      </c>
      <c r="P532" s="10">
        <v>34.380000000000003</v>
      </c>
      <c r="Q532" s="10">
        <v>40.28</v>
      </c>
      <c r="R532" s="11">
        <f t="shared" si="29"/>
        <v>0.14620689655172414</v>
      </c>
      <c r="S532" t="s">
        <v>75</v>
      </c>
      <c r="T532" t="s">
        <v>60</v>
      </c>
      <c r="U532" t="s">
        <v>71</v>
      </c>
    </row>
    <row r="533" spans="1:21" x14ac:dyDescent="0.35">
      <c r="A533" t="s">
        <v>653</v>
      </c>
      <c r="B533" s="5">
        <v>45991</v>
      </c>
      <c r="C533" t="s">
        <v>264</v>
      </c>
      <c r="D533" t="s">
        <v>85</v>
      </c>
      <c r="E533" s="9">
        <v>8</v>
      </c>
      <c r="F533" s="10">
        <v>20</v>
      </c>
      <c r="G533" s="11">
        <v>0</v>
      </c>
      <c r="H533" s="10">
        <v>160</v>
      </c>
      <c r="I533" s="9">
        <v>0</v>
      </c>
      <c r="J533" s="10">
        <v>0</v>
      </c>
      <c r="K533" s="9">
        <v>8</v>
      </c>
      <c r="L533" s="10">
        <v>160</v>
      </c>
      <c r="M533" s="10">
        <v>101.58</v>
      </c>
      <c r="N533" s="10">
        <v>58.42</v>
      </c>
      <c r="O533" s="11">
        <f t="shared" si="28"/>
        <v>0.36512500000000003</v>
      </c>
      <c r="P533" s="10">
        <v>14.48</v>
      </c>
      <c r="Q533" s="10">
        <v>43.94</v>
      </c>
      <c r="R533" s="11">
        <f t="shared" si="29"/>
        <v>0.27462500000000001</v>
      </c>
      <c r="S533" t="s">
        <v>59</v>
      </c>
      <c r="T533" t="s">
        <v>82</v>
      </c>
      <c r="U533" t="s">
        <v>61</v>
      </c>
    </row>
    <row r="534" spans="1:21" x14ac:dyDescent="0.35">
      <c r="A534" t="s">
        <v>654</v>
      </c>
      <c r="B534" s="5">
        <v>45874</v>
      </c>
      <c r="C534" t="s">
        <v>107</v>
      </c>
      <c r="D534" t="s">
        <v>74</v>
      </c>
      <c r="E534" s="9">
        <v>1</v>
      </c>
      <c r="F534" s="10">
        <v>125</v>
      </c>
      <c r="G534" s="11">
        <v>0</v>
      </c>
      <c r="H534" s="10">
        <v>125</v>
      </c>
      <c r="I534" s="9">
        <v>0</v>
      </c>
      <c r="J534" s="10">
        <v>0</v>
      </c>
      <c r="K534" s="9">
        <v>1</v>
      </c>
      <c r="L534" s="10">
        <v>125</v>
      </c>
      <c r="M534" s="10">
        <v>105.73</v>
      </c>
      <c r="N534" s="10">
        <v>19.27</v>
      </c>
      <c r="O534" s="11">
        <f t="shared" si="28"/>
        <v>0.15415999999999999</v>
      </c>
      <c r="P534" s="10">
        <v>10.77</v>
      </c>
      <c r="Q534" s="10">
        <v>8.5</v>
      </c>
      <c r="R534" s="11">
        <f t="shared" si="29"/>
        <v>6.8000000000000005E-2</v>
      </c>
      <c r="S534" t="s">
        <v>59</v>
      </c>
      <c r="T534" t="s">
        <v>82</v>
      </c>
      <c r="U534" t="s">
        <v>71</v>
      </c>
    </row>
    <row r="535" spans="1:21" x14ac:dyDescent="0.35">
      <c r="A535" t="s">
        <v>655</v>
      </c>
      <c r="B535" s="5">
        <v>45664</v>
      </c>
      <c r="C535" t="s">
        <v>73</v>
      </c>
      <c r="D535" t="s">
        <v>74</v>
      </c>
      <c r="E535" s="9">
        <v>3</v>
      </c>
      <c r="F535" s="10">
        <v>280</v>
      </c>
      <c r="G535" s="11">
        <v>0</v>
      </c>
      <c r="H535" s="10">
        <v>840</v>
      </c>
      <c r="I535" s="9">
        <v>0</v>
      </c>
      <c r="J535" s="10">
        <v>0</v>
      </c>
      <c r="K535" s="9">
        <v>3</v>
      </c>
      <c r="L535" s="10">
        <v>840</v>
      </c>
      <c r="M535" s="10">
        <v>600.82000000000005</v>
      </c>
      <c r="N535" s="10">
        <v>239.18</v>
      </c>
      <c r="O535" s="11">
        <f t="shared" si="28"/>
        <v>0.28473809523809523</v>
      </c>
      <c r="P535" s="10">
        <v>69.89</v>
      </c>
      <c r="Q535" s="10">
        <v>169.29</v>
      </c>
      <c r="R535" s="11">
        <f t="shared" si="29"/>
        <v>0.20153571428571426</v>
      </c>
      <c r="S535" t="s">
        <v>81</v>
      </c>
      <c r="T535" t="s">
        <v>66</v>
      </c>
      <c r="U535" t="s">
        <v>71</v>
      </c>
    </row>
    <row r="536" spans="1:21" x14ac:dyDescent="0.35">
      <c r="A536" t="s">
        <v>656</v>
      </c>
      <c r="B536" s="5">
        <v>45965</v>
      </c>
      <c r="C536" t="s">
        <v>107</v>
      </c>
      <c r="D536" t="s">
        <v>74</v>
      </c>
      <c r="E536" s="9">
        <v>1</v>
      </c>
      <c r="F536" s="10">
        <v>125</v>
      </c>
      <c r="G536" s="11">
        <v>0</v>
      </c>
      <c r="H536" s="10">
        <v>125</v>
      </c>
      <c r="I536" s="9">
        <v>0</v>
      </c>
      <c r="J536" s="10">
        <v>0</v>
      </c>
      <c r="K536" s="9">
        <v>1</v>
      </c>
      <c r="L536" s="10">
        <v>125</v>
      </c>
      <c r="M536" s="10">
        <v>95.55</v>
      </c>
      <c r="N536" s="10">
        <v>29.45</v>
      </c>
      <c r="O536" s="11">
        <f t="shared" si="28"/>
        <v>0.2356</v>
      </c>
      <c r="P536" s="10">
        <v>10.26</v>
      </c>
      <c r="Q536" s="10">
        <v>19.190000000000001</v>
      </c>
      <c r="R536" s="11">
        <f t="shared" si="29"/>
        <v>0.15352000000000002</v>
      </c>
      <c r="S536" t="s">
        <v>75</v>
      </c>
      <c r="T536" t="s">
        <v>66</v>
      </c>
      <c r="U536" t="s">
        <v>61</v>
      </c>
    </row>
    <row r="537" spans="1:21" x14ac:dyDescent="0.35">
      <c r="A537" t="s">
        <v>657</v>
      </c>
      <c r="B537" s="5">
        <v>45835</v>
      </c>
      <c r="C537" t="s">
        <v>100</v>
      </c>
      <c r="D537" t="s">
        <v>64</v>
      </c>
      <c r="E537" s="9">
        <v>1</v>
      </c>
      <c r="F537" s="10">
        <v>310</v>
      </c>
      <c r="G537" s="11">
        <v>0.02</v>
      </c>
      <c r="H537" s="10">
        <v>303.8</v>
      </c>
      <c r="I537" s="9">
        <v>0</v>
      </c>
      <c r="J537" s="10">
        <v>0</v>
      </c>
      <c r="K537" s="9">
        <v>1</v>
      </c>
      <c r="L537" s="10">
        <v>303.8</v>
      </c>
      <c r="M537" s="10">
        <v>239.26</v>
      </c>
      <c r="N537" s="10">
        <v>64.540000000000006</v>
      </c>
      <c r="O537" s="11">
        <f t="shared" si="28"/>
        <v>0.21244239631336406</v>
      </c>
      <c r="P537" s="10">
        <v>16.21</v>
      </c>
      <c r="Q537" s="10">
        <v>48.33</v>
      </c>
      <c r="R537" s="11">
        <f t="shared" si="29"/>
        <v>0.15908492429229756</v>
      </c>
      <c r="S537" t="s">
        <v>75</v>
      </c>
      <c r="T537" t="s">
        <v>66</v>
      </c>
      <c r="U537" t="s">
        <v>76</v>
      </c>
    </row>
    <row r="538" spans="1:21" x14ac:dyDescent="0.35">
      <c r="A538" t="s">
        <v>658</v>
      </c>
      <c r="B538" s="5">
        <v>45991</v>
      </c>
      <c r="C538" t="s">
        <v>88</v>
      </c>
      <c r="D538" t="s">
        <v>57</v>
      </c>
      <c r="E538" s="9">
        <v>2</v>
      </c>
      <c r="F538" s="10">
        <v>30</v>
      </c>
      <c r="G538" s="11">
        <v>0.05</v>
      </c>
      <c r="H538" s="10">
        <v>57</v>
      </c>
      <c r="I538" s="9">
        <v>0</v>
      </c>
      <c r="J538" s="10">
        <v>0</v>
      </c>
      <c r="K538" s="9">
        <v>2</v>
      </c>
      <c r="L538" s="10">
        <v>57</v>
      </c>
      <c r="M538" s="10">
        <v>42.73</v>
      </c>
      <c r="N538" s="10">
        <v>14.27</v>
      </c>
      <c r="O538" s="11">
        <f t="shared" si="28"/>
        <v>0.25035087719298244</v>
      </c>
      <c r="P538" s="10">
        <v>5.43</v>
      </c>
      <c r="Q538" s="10">
        <v>8.84</v>
      </c>
      <c r="R538" s="11">
        <f t="shared" si="29"/>
        <v>0.15508771929824561</v>
      </c>
      <c r="S538" t="s">
        <v>75</v>
      </c>
      <c r="T538" t="s">
        <v>82</v>
      </c>
      <c r="U538" t="s">
        <v>61</v>
      </c>
    </row>
    <row r="539" spans="1:21" x14ac:dyDescent="0.35">
      <c r="A539" t="s">
        <v>659</v>
      </c>
      <c r="B539" s="5">
        <v>45696</v>
      </c>
      <c r="C539" t="s">
        <v>117</v>
      </c>
      <c r="D539" t="s">
        <v>74</v>
      </c>
      <c r="E539" s="9">
        <v>3</v>
      </c>
      <c r="F539" s="10">
        <v>95</v>
      </c>
      <c r="G539" s="11">
        <v>0.1</v>
      </c>
      <c r="H539" s="10">
        <v>256.5</v>
      </c>
      <c r="I539" s="9">
        <v>0</v>
      </c>
      <c r="J539" s="10">
        <v>0</v>
      </c>
      <c r="K539" s="9">
        <v>3</v>
      </c>
      <c r="L539" s="10">
        <v>256.5</v>
      </c>
      <c r="M539" s="10">
        <v>181.9</v>
      </c>
      <c r="N539" s="10">
        <v>74.599999999999994</v>
      </c>
      <c r="O539" s="11">
        <f t="shared" si="28"/>
        <v>0.29083820662768028</v>
      </c>
      <c r="P539" s="10">
        <v>23.57</v>
      </c>
      <c r="Q539" s="10">
        <v>51.03</v>
      </c>
      <c r="R539" s="11">
        <f t="shared" si="29"/>
        <v>0.19894736842105262</v>
      </c>
      <c r="S539" t="s">
        <v>75</v>
      </c>
      <c r="T539" t="s">
        <v>86</v>
      </c>
      <c r="U539" t="s">
        <v>71</v>
      </c>
    </row>
    <row r="540" spans="1:21" x14ac:dyDescent="0.35">
      <c r="A540" t="s">
        <v>660</v>
      </c>
      <c r="B540" s="5">
        <v>45910</v>
      </c>
      <c r="C540" t="s">
        <v>264</v>
      </c>
      <c r="D540" t="s">
        <v>85</v>
      </c>
      <c r="E540" s="9">
        <v>5</v>
      </c>
      <c r="F540" s="10">
        <v>20</v>
      </c>
      <c r="G540" s="11">
        <v>0.1</v>
      </c>
      <c r="H540" s="10">
        <v>90</v>
      </c>
      <c r="I540" s="9">
        <v>0</v>
      </c>
      <c r="J540" s="10">
        <v>0</v>
      </c>
      <c r="K540" s="9">
        <v>5</v>
      </c>
      <c r="L540" s="10">
        <v>90</v>
      </c>
      <c r="M540" s="10">
        <v>63.57</v>
      </c>
      <c r="N540" s="10">
        <v>26.43</v>
      </c>
      <c r="O540" s="11">
        <f t="shared" si="28"/>
        <v>0.29366666666666669</v>
      </c>
      <c r="P540" s="10">
        <v>5.91</v>
      </c>
      <c r="Q540" s="10">
        <v>20.52</v>
      </c>
      <c r="R540" s="11">
        <f t="shared" si="29"/>
        <v>0.22800000000000001</v>
      </c>
      <c r="S540" t="s">
        <v>75</v>
      </c>
      <c r="T540" t="s">
        <v>60</v>
      </c>
      <c r="U540" t="s">
        <v>71</v>
      </c>
    </row>
    <row r="541" spans="1:21" x14ac:dyDescent="0.35">
      <c r="A541" t="s">
        <v>661</v>
      </c>
      <c r="B541" s="5">
        <v>45911</v>
      </c>
      <c r="C541" t="s">
        <v>90</v>
      </c>
      <c r="D541" t="s">
        <v>70</v>
      </c>
      <c r="E541" s="9">
        <v>2</v>
      </c>
      <c r="F541" s="10">
        <v>38</v>
      </c>
      <c r="G541" s="11">
        <v>0.02</v>
      </c>
      <c r="H541" s="10">
        <v>74.48</v>
      </c>
      <c r="I541" s="9">
        <v>0</v>
      </c>
      <c r="J541" s="10">
        <v>0</v>
      </c>
      <c r="K541" s="9">
        <v>2</v>
      </c>
      <c r="L541" s="10">
        <v>74.48</v>
      </c>
      <c r="M541" s="10">
        <v>60.51</v>
      </c>
      <c r="N541" s="10">
        <v>13.97</v>
      </c>
      <c r="O541" s="11">
        <f t="shared" ref="O541:O572" si="30">N541/L541</f>
        <v>0.18756713211600429</v>
      </c>
      <c r="P541" s="10">
        <v>6.24</v>
      </c>
      <c r="Q541" s="10">
        <v>7.73</v>
      </c>
      <c r="R541" s="11">
        <f t="shared" ref="R541:R572" si="31">Q541/L541</f>
        <v>0.10378625134264231</v>
      </c>
      <c r="S541" t="s">
        <v>75</v>
      </c>
      <c r="T541" t="s">
        <v>82</v>
      </c>
      <c r="U541" t="s">
        <v>67</v>
      </c>
    </row>
    <row r="542" spans="1:21" x14ac:dyDescent="0.35">
      <c r="A542" t="s">
        <v>662</v>
      </c>
      <c r="B542" s="5">
        <v>45989</v>
      </c>
      <c r="C542" t="s">
        <v>84</v>
      </c>
      <c r="D542" t="s">
        <v>85</v>
      </c>
      <c r="E542" s="9">
        <v>3</v>
      </c>
      <c r="F542" s="10">
        <v>48</v>
      </c>
      <c r="G542" s="11">
        <v>0.05</v>
      </c>
      <c r="H542" s="10">
        <v>136.80000000000001</v>
      </c>
      <c r="I542" s="9">
        <v>1</v>
      </c>
      <c r="J542" s="10">
        <v>45.6</v>
      </c>
      <c r="K542" s="9">
        <v>2</v>
      </c>
      <c r="L542" s="10">
        <v>91.2</v>
      </c>
      <c r="M542" s="10">
        <v>77.349999999999994</v>
      </c>
      <c r="N542" s="10">
        <v>13.85</v>
      </c>
      <c r="O542" s="11">
        <f t="shared" si="30"/>
        <v>0.15186403508771928</v>
      </c>
      <c r="P542" s="10">
        <v>10.94</v>
      </c>
      <c r="Q542" s="10">
        <v>2.91</v>
      </c>
      <c r="R542" s="11">
        <f t="shared" si="31"/>
        <v>3.1907894736842107E-2</v>
      </c>
      <c r="S542" t="s">
        <v>59</v>
      </c>
      <c r="T542" t="s">
        <v>66</v>
      </c>
      <c r="U542" t="s">
        <v>67</v>
      </c>
    </row>
    <row r="543" spans="1:21" x14ac:dyDescent="0.35">
      <c r="A543" t="s">
        <v>663</v>
      </c>
      <c r="B543" s="5">
        <v>45916</v>
      </c>
      <c r="C543" t="s">
        <v>264</v>
      </c>
      <c r="D543" t="s">
        <v>85</v>
      </c>
      <c r="E543" s="9">
        <v>1</v>
      </c>
      <c r="F543" s="10">
        <v>20</v>
      </c>
      <c r="G543" s="11">
        <v>0</v>
      </c>
      <c r="H543" s="10">
        <v>20</v>
      </c>
      <c r="I543" s="9">
        <v>0</v>
      </c>
      <c r="J543" s="10">
        <v>0</v>
      </c>
      <c r="K543" s="9">
        <v>1</v>
      </c>
      <c r="L543" s="10">
        <v>20</v>
      </c>
      <c r="M543" s="10">
        <v>15.49</v>
      </c>
      <c r="N543" s="10">
        <v>4.51</v>
      </c>
      <c r="O543" s="11">
        <f t="shared" si="30"/>
        <v>0.22549999999999998</v>
      </c>
      <c r="P543" s="10">
        <v>1.0900000000000001</v>
      </c>
      <c r="Q543" s="10">
        <v>3.42</v>
      </c>
      <c r="R543" s="11">
        <f t="shared" si="31"/>
        <v>0.17099999999999999</v>
      </c>
      <c r="S543" t="s">
        <v>59</v>
      </c>
      <c r="T543" t="s">
        <v>60</v>
      </c>
      <c r="U543" t="s">
        <v>71</v>
      </c>
    </row>
    <row r="544" spans="1:21" x14ac:dyDescent="0.35">
      <c r="A544" t="s">
        <v>664</v>
      </c>
      <c r="B544" s="5">
        <v>45867</v>
      </c>
      <c r="C544" t="s">
        <v>69</v>
      </c>
      <c r="D544" t="s">
        <v>70</v>
      </c>
      <c r="E544" s="9">
        <v>5</v>
      </c>
      <c r="F544" s="10">
        <v>210</v>
      </c>
      <c r="G544" s="11">
        <v>0.1</v>
      </c>
      <c r="H544" s="10">
        <v>945</v>
      </c>
      <c r="I544" s="9">
        <v>0</v>
      </c>
      <c r="J544" s="10">
        <v>0</v>
      </c>
      <c r="K544" s="9">
        <v>5</v>
      </c>
      <c r="L544" s="10">
        <v>945</v>
      </c>
      <c r="M544" s="10">
        <v>775.36</v>
      </c>
      <c r="N544" s="10">
        <v>169.64</v>
      </c>
      <c r="O544" s="11">
        <f t="shared" si="30"/>
        <v>0.17951322751322749</v>
      </c>
      <c r="P544" s="10">
        <v>80.599999999999994</v>
      </c>
      <c r="Q544" s="10">
        <v>89.04</v>
      </c>
      <c r="R544" s="11">
        <f t="shared" si="31"/>
        <v>9.4222222222222235E-2</v>
      </c>
      <c r="S544" t="s">
        <v>65</v>
      </c>
      <c r="T544" t="s">
        <v>66</v>
      </c>
      <c r="U544" t="s">
        <v>71</v>
      </c>
    </row>
    <row r="545" spans="1:21" x14ac:dyDescent="0.35">
      <c r="A545" t="s">
        <v>665</v>
      </c>
      <c r="B545" s="5">
        <v>45801</v>
      </c>
      <c r="C545" t="s">
        <v>100</v>
      </c>
      <c r="D545" t="s">
        <v>64</v>
      </c>
      <c r="E545" s="9">
        <v>5</v>
      </c>
      <c r="F545" s="10">
        <v>310</v>
      </c>
      <c r="G545" s="11">
        <v>0.02</v>
      </c>
      <c r="H545" s="10">
        <v>1519</v>
      </c>
      <c r="I545" s="9">
        <v>0</v>
      </c>
      <c r="J545" s="10">
        <v>0</v>
      </c>
      <c r="K545" s="9">
        <v>5</v>
      </c>
      <c r="L545" s="10">
        <v>1519</v>
      </c>
      <c r="M545" s="10">
        <v>1227.74</v>
      </c>
      <c r="N545" s="10">
        <v>291.26</v>
      </c>
      <c r="O545" s="11">
        <f t="shared" si="30"/>
        <v>0.19174456879526003</v>
      </c>
      <c r="P545" s="10">
        <v>126.28</v>
      </c>
      <c r="Q545" s="10">
        <v>164.98</v>
      </c>
      <c r="R545" s="11">
        <f t="shared" si="31"/>
        <v>0.10861092824226463</v>
      </c>
      <c r="S545" t="s">
        <v>59</v>
      </c>
      <c r="T545" t="s">
        <v>82</v>
      </c>
      <c r="U545" t="s">
        <v>76</v>
      </c>
    </row>
    <row r="546" spans="1:21" x14ac:dyDescent="0.35">
      <c r="A546" t="s">
        <v>666</v>
      </c>
      <c r="B546" s="5">
        <v>45699</v>
      </c>
      <c r="C546" t="s">
        <v>92</v>
      </c>
      <c r="D546" t="s">
        <v>79</v>
      </c>
      <c r="E546" s="9">
        <v>4</v>
      </c>
      <c r="F546" s="10">
        <v>85</v>
      </c>
      <c r="G546" s="11">
        <v>0.02</v>
      </c>
      <c r="H546" s="10">
        <v>333.2</v>
      </c>
      <c r="I546" s="9">
        <v>0</v>
      </c>
      <c r="J546" s="10">
        <v>0</v>
      </c>
      <c r="K546" s="9">
        <v>4</v>
      </c>
      <c r="L546" s="10">
        <v>333.2</v>
      </c>
      <c r="M546" s="10">
        <v>221.37</v>
      </c>
      <c r="N546" s="10">
        <v>111.83</v>
      </c>
      <c r="O546" s="11">
        <f t="shared" si="30"/>
        <v>0.33562424969987997</v>
      </c>
      <c r="P546" s="10">
        <v>32.770000000000003</v>
      </c>
      <c r="Q546" s="10">
        <v>79.06</v>
      </c>
      <c r="R546" s="11">
        <f t="shared" si="31"/>
        <v>0.23727490996398562</v>
      </c>
      <c r="S546" t="s">
        <v>75</v>
      </c>
      <c r="T546" t="s">
        <v>86</v>
      </c>
      <c r="U546" t="s">
        <v>76</v>
      </c>
    </row>
    <row r="547" spans="1:21" x14ac:dyDescent="0.35">
      <c r="A547" t="s">
        <v>667</v>
      </c>
      <c r="B547" s="5">
        <v>46005</v>
      </c>
      <c r="C547" t="s">
        <v>84</v>
      </c>
      <c r="D547" t="s">
        <v>85</v>
      </c>
      <c r="E547" s="9">
        <v>3</v>
      </c>
      <c r="F547" s="10">
        <v>48</v>
      </c>
      <c r="G547" s="11">
        <v>0</v>
      </c>
      <c r="H547" s="10">
        <v>144</v>
      </c>
      <c r="I547" s="9">
        <v>1</v>
      </c>
      <c r="J547" s="10">
        <v>48</v>
      </c>
      <c r="K547" s="9">
        <v>2</v>
      </c>
      <c r="L547" s="10">
        <v>96</v>
      </c>
      <c r="M547" s="10">
        <v>73.930000000000007</v>
      </c>
      <c r="N547" s="10">
        <v>22.07</v>
      </c>
      <c r="O547" s="11">
        <f t="shared" si="30"/>
        <v>0.22989583333333333</v>
      </c>
      <c r="P547" s="10">
        <v>6.22</v>
      </c>
      <c r="Q547" s="10">
        <v>15.85</v>
      </c>
      <c r="R547" s="11">
        <f t="shared" si="31"/>
        <v>0.16510416666666666</v>
      </c>
      <c r="S547" t="s">
        <v>75</v>
      </c>
      <c r="T547" t="s">
        <v>60</v>
      </c>
      <c r="U547" t="s">
        <v>76</v>
      </c>
    </row>
    <row r="548" spans="1:21" x14ac:dyDescent="0.35">
      <c r="A548" t="s">
        <v>668</v>
      </c>
      <c r="B548" s="5">
        <v>45779</v>
      </c>
      <c r="C548" t="s">
        <v>109</v>
      </c>
      <c r="D548" t="s">
        <v>85</v>
      </c>
      <c r="E548" s="9">
        <v>2</v>
      </c>
      <c r="F548" s="10">
        <v>180</v>
      </c>
      <c r="G548" s="11">
        <v>0.1</v>
      </c>
      <c r="H548" s="10">
        <v>324</v>
      </c>
      <c r="I548" s="9">
        <v>0</v>
      </c>
      <c r="J548" s="10">
        <v>0</v>
      </c>
      <c r="K548" s="9">
        <v>2</v>
      </c>
      <c r="L548" s="10">
        <v>324</v>
      </c>
      <c r="M548" s="10">
        <v>274.94</v>
      </c>
      <c r="N548" s="10">
        <v>49.06</v>
      </c>
      <c r="O548" s="11">
        <f t="shared" si="30"/>
        <v>0.15141975308641975</v>
      </c>
      <c r="P548" s="10">
        <v>23.21</v>
      </c>
      <c r="Q548" s="10">
        <v>25.85</v>
      </c>
      <c r="R548" s="11">
        <f t="shared" si="31"/>
        <v>7.9783950617283952E-2</v>
      </c>
      <c r="S548" t="s">
        <v>65</v>
      </c>
      <c r="T548" t="s">
        <v>60</v>
      </c>
      <c r="U548" t="s">
        <v>61</v>
      </c>
    </row>
    <row r="549" spans="1:21" x14ac:dyDescent="0.35">
      <c r="A549" t="s">
        <v>669</v>
      </c>
      <c r="B549" s="5">
        <v>46002</v>
      </c>
      <c r="C549" t="s">
        <v>92</v>
      </c>
      <c r="D549" t="s">
        <v>79</v>
      </c>
      <c r="E549" s="9">
        <v>1</v>
      </c>
      <c r="F549" s="10">
        <v>85</v>
      </c>
      <c r="G549" s="11">
        <v>0</v>
      </c>
      <c r="H549" s="10">
        <v>85</v>
      </c>
      <c r="I549" s="9">
        <v>0</v>
      </c>
      <c r="J549" s="10">
        <v>0</v>
      </c>
      <c r="K549" s="9">
        <v>1</v>
      </c>
      <c r="L549" s="10">
        <v>85</v>
      </c>
      <c r="M549" s="10">
        <v>64.41</v>
      </c>
      <c r="N549" s="10">
        <v>20.59</v>
      </c>
      <c r="O549" s="11">
        <f t="shared" si="30"/>
        <v>0.24223529411764705</v>
      </c>
      <c r="P549" s="10">
        <v>10.220000000000001</v>
      </c>
      <c r="Q549" s="10">
        <v>10.37</v>
      </c>
      <c r="R549" s="11">
        <f t="shared" si="31"/>
        <v>0.122</v>
      </c>
      <c r="S549" t="s">
        <v>81</v>
      </c>
      <c r="T549" t="s">
        <v>66</v>
      </c>
      <c r="U549" t="s">
        <v>67</v>
      </c>
    </row>
    <row r="550" spans="1:21" x14ac:dyDescent="0.35">
      <c r="A550" t="s">
        <v>670</v>
      </c>
      <c r="B550" s="5">
        <v>45658</v>
      </c>
      <c r="C550" t="s">
        <v>56</v>
      </c>
      <c r="D550" t="s">
        <v>57</v>
      </c>
      <c r="E550" s="9">
        <v>1</v>
      </c>
      <c r="F550" s="10">
        <v>40</v>
      </c>
      <c r="G550" s="11">
        <v>0</v>
      </c>
      <c r="H550" s="10">
        <v>40</v>
      </c>
      <c r="I550" s="9">
        <v>0</v>
      </c>
      <c r="J550" s="10">
        <v>0</v>
      </c>
      <c r="K550" s="9">
        <v>1</v>
      </c>
      <c r="L550" s="10">
        <v>40</v>
      </c>
      <c r="M550" s="10">
        <v>26.58</v>
      </c>
      <c r="N550" s="10">
        <v>13.42</v>
      </c>
      <c r="O550" s="11">
        <f t="shared" si="30"/>
        <v>0.33550000000000002</v>
      </c>
      <c r="P550" s="10">
        <v>4.07</v>
      </c>
      <c r="Q550" s="10">
        <v>9.35</v>
      </c>
      <c r="R550" s="11">
        <f t="shared" si="31"/>
        <v>0.23374999999999999</v>
      </c>
      <c r="S550" t="s">
        <v>81</v>
      </c>
      <c r="T550" t="s">
        <v>60</v>
      </c>
      <c r="U550" t="s">
        <v>61</v>
      </c>
    </row>
    <row r="551" spans="1:21" x14ac:dyDescent="0.35">
      <c r="A551" t="s">
        <v>672</v>
      </c>
      <c r="B551" s="5">
        <v>45991</v>
      </c>
      <c r="C551" t="s">
        <v>121</v>
      </c>
      <c r="D551" t="s">
        <v>70</v>
      </c>
      <c r="E551" s="9">
        <v>3</v>
      </c>
      <c r="F551" s="10">
        <v>110</v>
      </c>
      <c r="G551" s="11">
        <v>0</v>
      </c>
      <c r="H551" s="10">
        <v>330</v>
      </c>
      <c r="I551" s="9">
        <v>0</v>
      </c>
      <c r="J551" s="10">
        <v>0</v>
      </c>
      <c r="K551" s="9">
        <v>3</v>
      </c>
      <c r="L551" s="10">
        <v>330</v>
      </c>
      <c r="M551" s="10">
        <v>278.8</v>
      </c>
      <c r="N551" s="10">
        <v>51.2</v>
      </c>
      <c r="O551" s="11">
        <f t="shared" si="30"/>
        <v>0.15515151515151515</v>
      </c>
      <c r="P551" s="10">
        <v>37.53</v>
      </c>
      <c r="Q551" s="10">
        <v>13.67</v>
      </c>
      <c r="R551" s="11">
        <f t="shared" si="31"/>
        <v>4.1424242424242426E-2</v>
      </c>
      <c r="S551" t="s">
        <v>75</v>
      </c>
      <c r="T551" t="s">
        <v>86</v>
      </c>
      <c r="U551" t="s">
        <v>67</v>
      </c>
    </row>
    <row r="552" spans="1:21" x14ac:dyDescent="0.35">
      <c r="A552" t="s">
        <v>673</v>
      </c>
      <c r="B552" s="5">
        <v>45941</v>
      </c>
      <c r="C552" t="s">
        <v>264</v>
      </c>
      <c r="D552" t="s">
        <v>85</v>
      </c>
      <c r="E552" s="9">
        <v>4</v>
      </c>
      <c r="F552" s="10">
        <v>20</v>
      </c>
      <c r="G552" s="11">
        <v>0.05</v>
      </c>
      <c r="H552" s="10">
        <v>76</v>
      </c>
      <c r="I552" s="9">
        <v>0</v>
      </c>
      <c r="J552" s="10">
        <v>0</v>
      </c>
      <c r="K552" s="9">
        <v>4</v>
      </c>
      <c r="L552" s="10">
        <v>76</v>
      </c>
      <c r="M552" s="10">
        <v>47.98</v>
      </c>
      <c r="N552" s="10">
        <v>28.02</v>
      </c>
      <c r="O552" s="11">
        <f t="shared" si="30"/>
        <v>0.36868421052631578</v>
      </c>
      <c r="P552" s="10">
        <v>4.3499999999999996</v>
      </c>
      <c r="Q552" s="10">
        <v>23.67</v>
      </c>
      <c r="R552" s="11">
        <f t="shared" si="31"/>
        <v>0.31144736842105264</v>
      </c>
      <c r="S552" t="s">
        <v>81</v>
      </c>
      <c r="T552" t="s">
        <v>60</v>
      </c>
      <c r="U552" t="s">
        <v>61</v>
      </c>
    </row>
    <row r="553" spans="1:21" x14ac:dyDescent="0.35">
      <c r="A553" t="s">
        <v>674</v>
      </c>
      <c r="B553" s="5">
        <v>45725</v>
      </c>
      <c r="C553" t="s">
        <v>92</v>
      </c>
      <c r="D553" t="s">
        <v>79</v>
      </c>
      <c r="E553" s="9">
        <v>2</v>
      </c>
      <c r="F553" s="10">
        <v>85</v>
      </c>
      <c r="G553" s="11">
        <v>0.05</v>
      </c>
      <c r="H553" s="10">
        <v>161.5</v>
      </c>
      <c r="I553" s="9">
        <v>0</v>
      </c>
      <c r="J553" s="10">
        <v>0</v>
      </c>
      <c r="K553" s="9">
        <v>2</v>
      </c>
      <c r="L553" s="10">
        <v>161.5</v>
      </c>
      <c r="M553" s="10">
        <v>116.16</v>
      </c>
      <c r="N553" s="10">
        <v>45.34</v>
      </c>
      <c r="O553" s="11">
        <f t="shared" si="30"/>
        <v>0.28074303405572759</v>
      </c>
      <c r="P553" s="10">
        <v>15.56</v>
      </c>
      <c r="Q553" s="10">
        <v>29.78</v>
      </c>
      <c r="R553" s="11">
        <f t="shared" si="31"/>
        <v>0.18439628482972137</v>
      </c>
      <c r="S553" t="s">
        <v>81</v>
      </c>
      <c r="T553" t="s">
        <v>66</v>
      </c>
      <c r="U553" t="s">
        <v>71</v>
      </c>
    </row>
    <row r="554" spans="1:21" x14ac:dyDescent="0.35">
      <c r="A554" t="s">
        <v>675</v>
      </c>
      <c r="B554" s="5">
        <v>45926</v>
      </c>
      <c r="C554" t="s">
        <v>117</v>
      </c>
      <c r="D554" t="s">
        <v>74</v>
      </c>
      <c r="E554" s="9">
        <v>8</v>
      </c>
      <c r="F554" s="10">
        <v>95</v>
      </c>
      <c r="G554" s="11">
        <v>0.02</v>
      </c>
      <c r="H554" s="10">
        <v>744.8</v>
      </c>
      <c r="I554" s="9">
        <v>0</v>
      </c>
      <c r="J554" s="10">
        <v>0</v>
      </c>
      <c r="K554" s="9">
        <v>8</v>
      </c>
      <c r="L554" s="10">
        <v>744.8</v>
      </c>
      <c r="M554" s="10">
        <v>592.02</v>
      </c>
      <c r="N554" s="10">
        <v>152.78</v>
      </c>
      <c r="O554" s="11">
        <f t="shared" si="30"/>
        <v>0.20512889366272827</v>
      </c>
      <c r="P554" s="10">
        <v>60.67</v>
      </c>
      <c r="Q554" s="10">
        <v>92.11</v>
      </c>
      <c r="R554" s="11">
        <f t="shared" si="31"/>
        <v>0.12367078410311494</v>
      </c>
      <c r="S554" t="s">
        <v>75</v>
      </c>
      <c r="T554" t="s">
        <v>66</v>
      </c>
      <c r="U554" t="s">
        <v>61</v>
      </c>
    </row>
    <row r="555" spans="1:21" x14ac:dyDescent="0.35">
      <c r="A555" t="s">
        <v>676</v>
      </c>
      <c r="B555" s="5">
        <v>45771</v>
      </c>
      <c r="C555" t="s">
        <v>78</v>
      </c>
      <c r="D555" t="s">
        <v>79</v>
      </c>
      <c r="E555" s="9">
        <v>5</v>
      </c>
      <c r="F555" s="10">
        <v>120</v>
      </c>
      <c r="G555" s="11">
        <v>0.02</v>
      </c>
      <c r="H555" s="10">
        <v>588</v>
      </c>
      <c r="I555" s="9">
        <v>0</v>
      </c>
      <c r="J555" s="10">
        <v>0</v>
      </c>
      <c r="K555" s="9">
        <v>5</v>
      </c>
      <c r="L555" s="10">
        <v>588</v>
      </c>
      <c r="M555" s="10">
        <v>441.74</v>
      </c>
      <c r="N555" s="10">
        <v>146.26</v>
      </c>
      <c r="O555" s="11">
        <f t="shared" si="30"/>
        <v>0.24874149659863945</v>
      </c>
      <c r="P555" s="10">
        <v>72.790000000000006</v>
      </c>
      <c r="Q555" s="10">
        <v>73.47</v>
      </c>
      <c r="R555" s="11">
        <f t="shared" si="31"/>
        <v>0.12494897959183673</v>
      </c>
      <c r="S555" t="s">
        <v>59</v>
      </c>
      <c r="T555" t="s">
        <v>66</v>
      </c>
      <c r="U555" t="s">
        <v>76</v>
      </c>
    </row>
    <row r="556" spans="1:21" x14ac:dyDescent="0.35">
      <c r="A556" t="s">
        <v>677</v>
      </c>
      <c r="B556" s="5">
        <v>45873</v>
      </c>
      <c r="C556" t="s">
        <v>264</v>
      </c>
      <c r="D556" t="s">
        <v>85</v>
      </c>
      <c r="E556" s="9">
        <v>5</v>
      </c>
      <c r="F556" s="10">
        <v>20</v>
      </c>
      <c r="G556" s="11">
        <v>0</v>
      </c>
      <c r="H556" s="10">
        <v>100</v>
      </c>
      <c r="I556" s="9">
        <v>0</v>
      </c>
      <c r="J556" s="10">
        <v>0</v>
      </c>
      <c r="K556" s="9">
        <v>5</v>
      </c>
      <c r="L556" s="10">
        <v>100</v>
      </c>
      <c r="M556" s="10">
        <v>78.5</v>
      </c>
      <c r="N556" s="10">
        <v>21.5</v>
      </c>
      <c r="O556" s="11">
        <f t="shared" si="30"/>
        <v>0.215</v>
      </c>
      <c r="P556" s="10">
        <v>10.84</v>
      </c>
      <c r="Q556" s="10">
        <v>10.66</v>
      </c>
      <c r="R556" s="11">
        <f t="shared" si="31"/>
        <v>0.1066</v>
      </c>
      <c r="S556" t="s">
        <v>75</v>
      </c>
      <c r="T556" t="s">
        <v>66</v>
      </c>
      <c r="U556" t="s">
        <v>76</v>
      </c>
    </row>
    <row r="557" spans="1:21" x14ac:dyDescent="0.35">
      <c r="A557" t="s">
        <v>678</v>
      </c>
      <c r="B557" s="5">
        <v>46005</v>
      </c>
      <c r="C557" t="s">
        <v>264</v>
      </c>
      <c r="D557" t="s">
        <v>85</v>
      </c>
      <c r="E557" s="9">
        <v>10</v>
      </c>
      <c r="F557" s="10">
        <v>20</v>
      </c>
      <c r="G557" s="11">
        <v>0</v>
      </c>
      <c r="H557" s="10">
        <v>200</v>
      </c>
      <c r="I557" s="9">
        <v>0</v>
      </c>
      <c r="J557" s="10">
        <v>0</v>
      </c>
      <c r="K557" s="9">
        <v>10</v>
      </c>
      <c r="L557" s="10">
        <v>200</v>
      </c>
      <c r="M557" s="10">
        <v>162.36000000000001</v>
      </c>
      <c r="N557" s="10">
        <v>37.64</v>
      </c>
      <c r="O557" s="11">
        <f t="shared" si="30"/>
        <v>0.18820000000000001</v>
      </c>
      <c r="P557" s="10">
        <v>21.69</v>
      </c>
      <c r="Q557" s="10">
        <v>15.95</v>
      </c>
      <c r="R557" s="11">
        <f t="shared" si="31"/>
        <v>7.9750000000000001E-2</v>
      </c>
      <c r="S557" t="s">
        <v>65</v>
      </c>
      <c r="T557" t="s">
        <v>60</v>
      </c>
      <c r="U557" t="s">
        <v>67</v>
      </c>
    </row>
    <row r="558" spans="1:21" x14ac:dyDescent="0.35">
      <c r="A558" t="s">
        <v>679</v>
      </c>
      <c r="B558" s="5">
        <v>45784</v>
      </c>
      <c r="C558" t="s">
        <v>92</v>
      </c>
      <c r="D558" t="s">
        <v>79</v>
      </c>
      <c r="E558" s="9">
        <v>3</v>
      </c>
      <c r="F558" s="10">
        <v>85</v>
      </c>
      <c r="G558" s="11">
        <v>0</v>
      </c>
      <c r="H558" s="10">
        <v>255</v>
      </c>
      <c r="I558" s="9">
        <v>0</v>
      </c>
      <c r="J558" s="10">
        <v>0</v>
      </c>
      <c r="K558" s="9">
        <v>3</v>
      </c>
      <c r="L558" s="10">
        <v>255</v>
      </c>
      <c r="M558" s="10">
        <v>169.19</v>
      </c>
      <c r="N558" s="10">
        <v>85.81</v>
      </c>
      <c r="O558" s="11">
        <f t="shared" si="30"/>
        <v>0.33650980392156865</v>
      </c>
      <c r="P558" s="10">
        <v>30.91</v>
      </c>
      <c r="Q558" s="10">
        <v>54.9</v>
      </c>
      <c r="R558" s="11">
        <f t="shared" si="31"/>
        <v>0.21529411764705883</v>
      </c>
      <c r="S558" t="s">
        <v>59</v>
      </c>
      <c r="T558" t="s">
        <v>86</v>
      </c>
      <c r="U558" t="s">
        <v>61</v>
      </c>
    </row>
    <row r="559" spans="1:21" x14ac:dyDescent="0.35">
      <c r="A559" t="s">
        <v>680</v>
      </c>
      <c r="B559" s="5">
        <v>45830</v>
      </c>
      <c r="C559" t="s">
        <v>109</v>
      </c>
      <c r="D559" t="s">
        <v>85</v>
      </c>
      <c r="E559" s="9">
        <v>2</v>
      </c>
      <c r="F559" s="10">
        <v>180</v>
      </c>
      <c r="G559" s="11">
        <v>0</v>
      </c>
      <c r="H559" s="10">
        <v>360</v>
      </c>
      <c r="I559" s="9">
        <v>0</v>
      </c>
      <c r="J559" s="10">
        <v>0</v>
      </c>
      <c r="K559" s="9">
        <v>2</v>
      </c>
      <c r="L559" s="10">
        <v>360</v>
      </c>
      <c r="M559" s="10">
        <v>309.3</v>
      </c>
      <c r="N559" s="10">
        <v>50.7</v>
      </c>
      <c r="O559" s="11">
        <f t="shared" si="30"/>
        <v>0.14083333333333334</v>
      </c>
      <c r="P559" s="10">
        <v>37.450000000000003</v>
      </c>
      <c r="Q559" s="10">
        <v>13.25</v>
      </c>
      <c r="R559" s="11">
        <f t="shared" si="31"/>
        <v>3.6805555555555557E-2</v>
      </c>
      <c r="S559" t="s">
        <v>81</v>
      </c>
      <c r="T559" t="s">
        <v>86</v>
      </c>
      <c r="U559" t="s">
        <v>61</v>
      </c>
    </row>
    <row r="560" spans="1:21" x14ac:dyDescent="0.35">
      <c r="A560" t="s">
        <v>681</v>
      </c>
      <c r="B560" s="5">
        <v>46020</v>
      </c>
      <c r="C560" t="s">
        <v>88</v>
      </c>
      <c r="D560" t="s">
        <v>57</v>
      </c>
      <c r="E560" s="9">
        <v>1</v>
      </c>
      <c r="F560" s="10">
        <v>30</v>
      </c>
      <c r="G560" s="11">
        <v>0</v>
      </c>
      <c r="H560" s="10">
        <v>30</v>
      </c>
      <c r="I560" s="9">
        <v>0</v>
      </c>
      <c r="J560" s="10">
        <v>0</v>
      </c>
      <c r="K560" s="9">
        <v>1</v>
      </c>
      <c r="L560" s="10">
        <v>30</v>
      </c>
      <c r="M560" s="10">
        <v>21.15</v>
      </c>
      <c r="N560" s="10">
        <v>8.85</v>
      </c>
      <c r="O560" s="11">
        <f t="shared" si="30"/>
        <v>0.29499999999999998</v>
      </c>
      <c r="P560" s="10">
        <v>3.25</v>
      </c>
      <c r="Q560" s="10">
        <v>5.6</v>
      </c>
      <c r="R560" s="11">
        <f t="shared" si="31"/>
        <v>0.18666666666666665</v>
      </c>
      <c r="S560" t="s">
        <v>59</v>
      </c>
      <c r="T560" t="s">
        <v>86</v>
      </c>
      <c r="U560" t="s">
        <v>71</v>
      </c>
    </row>
    <row r="561" spans="1:21" x14ac:dyDescent="0.35">
      <c r="A561" t="s">
        <v>682</v>
      </c>
      <c r="B561" s="5">
        <v>45958</v>
      </c>
      <c r="C561" t="s">
        <v>90</v>
      </c>
      <c r="D561" t="s">
        <v>70</v>
      </c>
      <c r="E561" s="9">
        <v>3</v>
      </c>
      <c r="F561" s="10">
        <v>38</v>
      </c>
      <c r="G561" s="11">
        <v>0.02</v>
      </c>
      <c r="H561" s="10">
        <v>111.72</v>
      </c>
      <c r="I561" s="9">
        <v>0</v>
      </c>
      <c r="J561" s="10">
        <v>0</v>
      </c>
      <c r="K561" s="9">
        <v>3</v>
      </c>
      <c r="L561" s="10">
        <v>111.72</v>
      </c>
      <c r="M561" s="10">
        <v>73.599999999999994</v>
      </c>
      <c r="N561" s="10">
        <v>38.119999999999997</v>
      </c>
      <c r="O561" s="11">
        <f t="shared" si="30"/>
        <v>0.34121016827783746</v>
      </c>
      <c r="P561" s="10">
        <v>10.53</v>
      </c>
      <c r="Q561" s="10">
        <v>27.59</v>
      </c>
      <c r="R561" s="11">
        <f t="shared" si="31"/>
        <v>0.24695667740780522</v>
      </c>
      <c r="S561" t="s">
        <v>65</v>
      </c>
      <c r="T561" t="s">
        <v>82</v>
      </c>
      <c r="U561" t="s">
        <v>61</v>
      </c>
    </row>
    <row r="562" spans="1:21" x14ac:dyDescent="0.35">
      <c r="A562" t="s">
        <v>684</v>
      </c>
      <c r="B562" s="5">
        <v>46004</v>
      </c>
      <c r="C562" t="s">
        <v>92</v>
      </c>
      <c r="D562" t="s">
        <v>79</v>
      </c>
      <c r="E562" s="9">
        <v>5</v>
      </c>
      <c r="F562" s="10">
        <v>85</v>
      </c>
      <c r="G562" s="11">
        <v>0</v>
      </c>
      <c r="H562" s="10">
        <v>425</v>
      </c>
      <c r="I562" s="9">
        <v>0</v>
      </c>
      <c r="J562" s="10">
        <v>0</v>
      </c>
      <c r="K562" s="9">
        <v>5</v>
      </c>
      <c r="L562" s="10">
        <v>425</v>
      </c>
      <c r="M562" s="10">
        <v>311.75</v>
      </c>
      <c r="N562" s="10">
        <v>113.25</v>
      </c>
      <c r="O562" s="11">
        <f t="shared" si="30"/>
        <v>0.26647058823529413</v>
      </c>
      <c r="P562" s="10">
        <v>45.03</v>
      </c>
      <c r="Q562" s="10">
        <v>68.22</v>
      </c>
      <c r="R562" s="11">
        <f t="shared" si="31"/>
        <v>0.16051764705882351</v>
      </c>
      <c r="S562" t="s">
        <v>75</v>
      </c>
      <c r="T562" t="s">
        <v>66</v>
      </c>
      <c r="U562" t="s">
        <v>67</v>
      </c>
    </row>
    <row r="563" spans="1:21" x14ac:dyDescent="0.35">
      <c r="A563" t="s">
        <v>685</v>
      </c>
      <c r="B563" s="5">
        <v>45685</v>
      </c>
      <c r="C563" t="s">
        <v>88</v>
      </c>
      <c r="D563" t="s">
        <v>57</v>
      </c>
      <c r="E563" s="9">
        <v>3</v>
      </c>
      <c r="F563" s="10">
        <v>30</v>
      </c>
      <c r="G563" s="11">
        <v>0</v>
      </c>
      <c r="H563" s="10">
        <v>90</v>
      </c>
      <c r="I563" s="9">
        <v>0</v>
      </c>
      <c r="J563" s="10">
        <v>0</v>
      </c>
      <c r="K563" s="9">
        <v>3</v>
      </c>
      <c r="L563" s="10">
        <v>90</v>
      </c>
      <c r="M563" s="10">
        <v>58.68</v>
      </c>
      <c r="N563" s="10">
        <v>31.32</v>
      </c>
      <c r="O563" s="11">
        <f t="shared" si="30"/>
        <v>0.34799999999999998</v>
      </c>
      <c r="P563" s="10">
        <v>7.52</v>
      </c>
      <c r="Q563" s="10">
        <v>23.8</v>
      </c>
      <c r="R563" s="11">
        <f t="shared" si="31"/>
        <v>0.26444444444444443</v>
      </c>
      <c r="S563" t="s">
        <v>75</v>
      </c>
      <c r="T563" t="s">
        <v>82</v>
      </c>
      <c r="U563" t="s">
        <v>67</v>
      </c>
    </row>
    <row r="564" spans="1:21" x14ac:dyDescent="0.35">
      <c r="A564" t="s">
        <v>686</v>
      </c>
      <c r="B564" s="5">
        <v>45979</v>
      </c>
      <c r="C564" t="s">
        <v>78</v>
      </c>
      <c r="D564" t="s">
        <v>79</v>
      </c>
      <c r="E564" s="9">
        <v>2</v>
      </c>
      <c r="F564" s="10">
        <v>120</v>
      </c>
      <c r="G564" s="11">
        <v>0.1</v>
      </c>
      <c r="H564" s="10">
        <v>216</v>
      </c>
      <c r="I564" s="9">
        <v>0</v>
      </c>
      <c r="J564" s="10">
        <v>0</v>
      </c>
      <c r="K564" s="9">
        <v>2</v>
      </c>
      <c r="L564" s="10">
        <v>216</v>
      </c>
      <c r="M564" s="10">
        <v>146.5</v>
      </c>
      <c r="N564" s="10">
        <v>69.5</v>
      </c>
      <c r="O564" s="11">
        <f t="shared" si="30"/>
        <v>0.32175925925925924</v>
      </c>
      <c r="P564" s="10">
        <v>16.309999999999999</v>
      </c>
      <c r="Q564" s="10">
        <v>53.19</v>
      </c>
      <c r="R564" s="11">
        <f t="shared" si="31"/>
        <v>0.24625</v>
      </c>
      <c r="S564" t="s">
        <v>65</v>
      </c>
      <c r="T564" t="s">
        <v>60</v>
      </c>
      <c r="U564" t="s">
        <v>76</v>
      </c>
    </row>
    <row r="565" spans="1:21" x14ac:dyDescent="0.35">
      <c r="A565" t="s">
        <v>687</v>
      </c>
      <c r="B565" s="5">
        <v>45692</v>
      </c>
      <c r="C565" t="s">
        <v>95</v>
      </c>
      <c r="D565" t="s">
        <v>64</v>
      </c>
      <c r="E565" s="9">
        <v>1</v>
      </c>
      <c r="F565" s="10">
        <v>52</v>
      </c>
      <c r="G565" s="11">
        <v>0</v>
      </c>
      <c r="H565" s="10">
        <v>52</v>
      </c>
      <c r="I565" s="9">
        <v>0</v>
      </c>
      <c r="J565" s="10">
        <v>0</v>
      </c>
      <c r="K565" s="9">
        <v>1</v>
      </c>
      <c r="L565" s="10">
        <v>52</v>
      </c>
      <c r="M565" s="10">
        <v>41.16</v>
      </c>
      <c r="N565" s="10">
        <v>10.84</v>
      </c>
      <c r="O565" s="11">
        <f t="shared" si="30"/>
        <v>0.20846153846153845</v>
      </c>
      <c r="P565" s="10">
        <v>3.12</v>
      </c>
      <c r="Q565" s="10">
        <v>7.72</v>
      </c>
      <c r="R565" s="11">
        <f t="shared" si="31"/>
        <v>0.14846153846153845</v>
      </c>
      <c r="S565" t="s">
        <v>81</v>
      </c>
      <c r="T565" t="s">
        <v>66</v>
      </c>
      <c r="U565" t="s">
        <v>61</v>
      </c>
    </row>
    <row r="566" spans="1:21" x14ac:dyDescent="0.35">
      <c r="A566" t="s">
        <v>688</v>
      </c>
      <c r="B566" s="5">
        <v>45868</v>
      </c>
      <c r="C566" t="s">
        <v>90</v>
      </c>
      <c r="D566" t="s">
        <v>70</v>
      </c>
      <c r="E566" s="9">
        <v>3</v>
      </c>
      <c r="F566" s="10">
        <v>38</v>
      </c>
      <c r="G566" s="11">
        <v>0</v>
      </c>
      <c r="H566" s="10">
        <v>114</v>
      </c>
      <c r="I566" s="9">
        <v>0</v>
      </c>
      <c r="J566" s="10">
        <v>0</v>
      </c>
      <c r="K566" s="9">
        <v>3</v>
      </c>
      <c r="L566" s="10">
        <v>114</v>
      </c>
      <c r="M566" s="10">
        <v>86.77</v>
      </c>
      <c r="N566" s="10">
        <v>27.23</v>
      </c>
      <c r="O566" s="11">
        <f t="shared" si="30"/>
        <v>0.23885964912280702</v>
      </c>
      <c r="P566" s="10">
        <v>11.42</v>
      </c>
      <c r="Q566" s="10">
        <v>15.81</v>
      </c>
      <c r="R566" s="11">
        <f t="shared" si="31"/>
        <v>0.1386842105263158</v>
      </c>
      <c r="S566" t="s">
        <v>75</v>
      </c>
      <c r="T566" t="s">
        <v>86</v>
      </c>
      <c r="U566" t="s">
        <v>71</v>
      </c>
    </row>
    <row r="567" spans="1:21" x14ac:dyDescent="0.35">
      <c r="A567" t="s">
        <v>689</v>
      </c>
      <c r="B567" s="5">
        <v>45691</v>
      </c>
      <c r="C567" t="s">
        <v>92</v>
      </c>
      <c r="D567" t="s">
        <v>79</v>
      </c>
      <c r="E567" s="9">
        <v>2</v>
      </c>
      <c r="F567" s="10">
        <v>85</v>
      </c>
      <c r="G567" s="11">
        <v>0</v>
      </c>
      <c r="H567" s="10">
        <v>170</v>
      </c>
      <c r="I567" s="9">
        <v>0</v>
      </c>
      <c r="J567" s="10">
        <v>0</v>
      </c>
      <c r="K567" s="9">
        <v>2</v>
      </c>
      <c r="L567" s="10">
        <v>170</v>
      </c>
      <c r="M567" s="10">
        <v>112.12</v>
      </c>
      <c r="N567" s="10">
        <v>57.88</v>
      </c>
      <c r="O567" s="11">
        <f t="shared" si="30"/>
        <v>0.34047058823529414</v>
      </c>
      <c r="P567" s="10">
        <v>19.25</v>
      </c>
      <c r="Q567" s="10">
        <v>38.630000000000003</v>
      </c>
      <c r="R567" s="11">
        <f t="shared" si="31"/>
        <v>0.22723529411764706</v>
      </c>
      <c r="S567" t="s">
        <v>75</v>
      </c>
      <c r="T567" t="s">
        <v>66</v>
      </c>
      <c r="U567" t="s">
        <v>67</v>
      </c>
    </row>
    <row r="568" spans="1:21" x14ac:dyDescent="0.35">
      <c r="A568" t="s">
        <v>690</v>
      </c>
      <c r="B568" s="5">
        <v>45667</v>
      </c>
      <c r="C568" t="s">
        <v>109</v>
      </c>
      <c r="D568" t="s">
        <v>85</v>
      </c>
      <c r="E568" s="9">
        <v>3</v>
      </c>
      <c r="F568" s="10">
        <v>180</v>
      </c>
      <c r="G568" s="11">
        <v>0</v>
      </c>
      <c r="H568" s="10">
        <v>540</v>
      </c>
      <c r="I568" s="9">
        <v>0</v>
      </c>
      <c r="J568" s="10">
        <v>0</v>
      </c>
      <c r="K568" s="9">
        <v>3</v>
      </c>
      <c r="L568" s="10">
        <v>540</v>
      </c>
      <c r="M568" s="10">
        <v>442.57</v>
      </c>
      <c r="N568" s="10">
        <v>97.43</v>
      </c>
      <c r="O568" s="11">
        <f t="shared" si="30"/>
        <v>0.18042592592592593</v>
      </c>
      <c r="P568" s="10">
        <v>58.24</v>
      </c>
      <c r="Q568" s="10">
        <v>39.19</v>
      </c>
      <c r="R568" s="11">
        <f t="shared" si="31"/>
        <v>7.2574074074074069E-2</v>
      </c>
      <c r="S568" t="s">
        <v>81</v>
      </c>
      <c r="T568" t="s">
        <v>66</v>
      </c>
      <c r="U568" t="s">
        <v>61</v>
      </c>
    </row>
    <row r="569" spans="1:21" x14ac:dyDescent="0.35">
      <c r="A569" t="s">
        <v>691</v>
      </c>
      <c r="B569" s="5">
        <v>45766</v>
      </c>
      <c r="C569" t="s">
        <v>78</v>
      </c>
      <c r="D569" t="s">
        <v>79</v>
      </c>
      <c r="E569" s="9">
        <v>2</v>
      </c>
      <c r="F569" s="10">
        <v>120</v>
      </c>
      <c r="G569" s="11">
        <v>0</v>
      </c>
      <c r="H569" s="10">
        <v>240</v>
      </c>
      <c r="I569" s="9">
        <v>1</v>
      </c>
      <c r="J569" s="10">
        <v>120</v>
      </c>
      <c r="K569" s="9">
        <v>1</v>
      </c>
      <c r="L569" s="10">
        <v>120</v>
      </c>
      <c r="M569" s="10">
        <v>97.78</v>
      </c>
      <c r="N569" s="10">
        <v>22.22</v>
      </c>
      <c r="O569" s="11">
        <f t="shared" si="30"/>
        <v>0.18516666666666665</v>
      </c>
      <c r="P569" s="10">
        <v>14.29</v>
      </c>
      <c r="Q569" s="10">
        <v>7.93</v>
      </c>
      <c r="R569" s="11">
        <f t="shared" si="31"/>
        <v>6.6083333333333327E-2</v>
      </c>
      <c r="S569" t="s">
        <v>75</v>
      </c>
      <c r="T569" t="s">
        <v>82</v>
      </c>
      <c r="U569" t="s">
        <v>61</v>
      </c>
    </row>
    <row r="570" spans="1:21" x14ac:dyDescent="0.35">
      <c r="A570" t="s">
        <v>692</v>
      </c>
      <c r="B570" s="5">
        <v>45803</v>
      </c>
      <c r="C570" t="s">
        <v>107</v>
      </c>
      <c r="D570" t="s">
        <v>74</v>
      </c>
      <c r="E570" s="9">
        <v>1</v>
      </c>
      <c r="F570" s="10">
        <v>125</v>
      </c>
      <c r="G570" s="11">
        <v>0</v>
      </c>
      <c r="H570" s="10">
        <v>125</v>
      </c>
      <c r="I570" s="9">
        <v>0</v>
      </c>
      <c r="J570" s="10">
        <v>0</v>
      </c>
      <c r="K570" s="9">
        <v>1</v>
      </c>
      <c r="L570" s="10">
        <v>125</v>
      </c>
      <c r="M570" s="10">
        <v>104.09</v>
      </c>
      <c r="N570" s="10">
        <v>20.91</v>
      </c>
      <c r="O570" s="11">
        <f t="shared" si="30"/>
        <v>0.16728000000000001</v>
      </c>
      <c r="P570" s="10">
        <v>11.9</v>
      </c>
      <c r="Q570" s="10">
        <v>9.01</v>
      </c>
      <c r="R570" s="11">
        <f t="shared" si="31"/>
        <v>7.2080000000000005E-2</v>
      </c>
      <c r="S570" t="s">
        <v>59</v>
      </c>
      <c r="T570" t="s">
        <v>82</v>
      </c>
      <c r="U570" t="s">
        <v>67</v>
      </c>
    </row>
    <row r="571" spans="1:21" x14ac:dyDescent="0.35">
      <c r="A571" t="s">
        <v>693</v>
      </c>
      <c r="B571" s="5">
        <v>45848</v>
      </c>
      <c r="C571" t="s">
        <v>90</v>
      </c>
      <c r="D571" t="s">
        <v>70</v>
      </c>
      <c r="E571" s="9">
        <v>1</v>
      </c>
      <c r="F571" s="10">
        <v>38</v>
      </c>
      <c r="G571" s="11">
        <v>0.05</v>
      </c>
      <c r="H571" s="10">
        <v>36.1</v>
      </c>
      <c r="I571" s="9">
        <v>0</v>
      </c>
      <c r="J571" s="10">
        <v>0</v>
      </c>
      <c r="K571" s="9">
        <v>1</v>
      </c>
      <c r="L571" s="10">
        <v>36.1</v>
      </c>
      <c r="M571" s="10">
        <v>24.19</v>
      </c>
      <c r="N571" s="10">
        <v>11.91</v>
      </c>
      <c r="O571" s="11">
        <f t="shared" si="30"/>
        <v>0.32991689750692521</v>
      </c>
      <c r="P571" s="10">
        <v>3.65</v>
      </c>
      <c r="Q571" s="10">
        <v>8.26</v>
      </c>
      <c r="R571" s="11">
        <f t="shared" si="31"/>
        <v>0.22880886426592797</v>
      </c>
      <c r="S571" t="s">
        <v>81</v>
      </c>
      <c r="T571" t="s">
        <v>86</v>
      </c>
      <c r="U571" t="s">
        <v>67</v>
      </c>
    </row>
    <row r="572" spans="1:21" x14ac:dyDescent="0.35">
      <c r="A572" t="s">
        <v>694</v>
      </c>
      <c r="B572" s="5">
        <v>45731</v>
      </c>
      <c r="C572" t="s">
        <v>264</v>
      </c>
      <c r="D572" t="s">
        <v>85</v>
      </c>
      <c r="E572" s="9">
        <v>2</v>
      </c>
      <c r="F572" s="10">
        <v>20</v>
      </c>
      <c r="G572" s="11">
        <v>0</v>
      </c>
      <c r="H572" s="10">
        <v>40</v>
      </c>
      <c r="I572" s="9">
        <v>0</v>
      </c>
      <c r="J572" s="10">
        <v>0</v>
      </c>
      <c r="K572" s="9">
        <v>2</v>
      </c>
      <c r="L572" s="10">
        <v>40</v>
      </c>
      <c r="M572" s="10">
        <v>33.049999999999997</v>
      </c>
      <c r="N572" s="10">
        <v>6.95</v>
      </c>
      <c r="O572" s="11">
        <f t="shared" si="30"/>
        <v>0.17375000000000002</v>
      </c>
      <c r="P572" s="10">
        <v>4.16</v>
      </c>
      <c r="Q572" s="10">
        <v>2.79</v>
      </c>
      <c r="R572" s="11">
        <f t="shared" si="31"/>
        <v>6.9750000000000006E-2</v>
      </c>
      <c r="S572" t="s">
        <v>65</v>
      </c>
      <c r="T572" t="s">
        <v>86</v>
      </c>
      <c r="U572" t="s">
        <v>67</v>
      </c>
    </row>
    <row r="573" spans="1:21" x14ac:dyDescent="0.35">
      <c r="A573" t="s">
        <v>695</v>
      </c>
      <c r="B573" s="5">
        <v>45998</v>
      </c>
      <c r="C573" t="s">
        <v>104</v>
      </c>
      <c r="D573" t="s">
        <v>105</v>
      </c>
      <c r="E573" s="9">
        <v>3</v>
      </c>
      <c r="F573" s="10">
        <v>65</v>
      </c>
      <c r="G573" s="11">
        <v>0.02</v>
      </c>
      <c r="H573" s="10">
        <v>191.1</v>
      </c>
      <c r="I573" s="9">
        <v>0</v>
      </c>
      <c r="J573" s="10">
        <v>0</v>
      </c>
      <c r="K573" s="9">
        <v>3</v>
      </c>
      <c r="L573" s="10">
        <v>191.1</v>
      </c>
      <c r="M573" s="10">
        <v>161.21</v>
      </c>
      <c r="N573" s="10">
        <v>29.89</v>
      </c>
      <c r="O573" s="11">
        <f t="shared" ref="O573:O604" si="32">N573/L573</f>
        <v>0.15641025641025641</v>
      </c>
      <c r="P573" s="10">
        <v>21.84</v>
      </c>
      <c r="Q573" s="10">
        <v>8.0500000000000007</v>
      </c>
      <c r="R573" s="11">
        <f t="shared" ref="R573:R604" si="33">Q573/L573</f>
        <v>4.2124542124542128E-2</v>
      </c>
      <c r="S573" t="s">
        <v>59</v>
      </c>
      <c r="T573" t="s">
        <v>66</v>
      </c>
      <c r="U573" t="s">
        <v>71</v>
      </c>
    </row>
    <row r="574" spans="1:21" x14ac:dyDescent="0.35">
      <c r="A574" t="s">
        <v>696</v>
      </c>
      <c r="B574" s="5">
        <v>45787</v>
      </c>
      <c r="C574" t="s">
        <v>92</v>
      </c>
      <c r="D574" t="s">
        <v>79</v>
      </c>
      <c r="E574" s="9">
        <v>6</v>
      </c>
      <c r="F574" s="10">
        <v>85</v>
      </c>
      <c r="G574" s="11">
        <v>0</v>
      </c>
      <c r="H574" s="10">
        <v>510</v>
      </c>
      <c r="I574" s="9">
        <v>0</v>
      </c>
      <c r="J574" s="10">
        <v>0</v>
      </c>
      <c r="K574" s="9">
        <v>6</v>
      </c>
      <c r="L574" s="10">
        <v>510</v>
      </c>
      <c r="M574" s="10">
        <v>334.79</v>
      </c>
      <c r="N574" s="10">
        <v>175.21</v>
      </c>
      <c r="O574" s="11">
        <f t="shared" si="32"/>
        <v>0.34354901960784318</v>
      </c>
      <c r="P574" s="10">
        <v>27.72</v>
      </c>
      <c r="Q574" s="10">
        <v>147.49</v>
      </c>
      <c r="R574" s="11">
        <f t="shared" si="33"/>
        <v>0.28919607843137257</v>
      </c>
      <c r="S574" t="s">
        <v>75</v>
      </c>
      <c r="T574" t="s">
        <v>66</v>
      </c>
      <c r="U574" t="s">
        <v>71</v>
      </c>
    </row>
    <row r="575" spans="1:21" x14ac:dyDescent="0.35">
      <c r="A575" t="s">
        <v>697</v>
      </c>
      <c r="B575" s="5">
        <v>45997</v>
      </c>
      <c r="C575" t="s">
        <v>56</v>
      </c>
      <c r="D575" t="s">
        <v>57</v>
      </c>
      <c r="E575" s="9">
        <v>4</v>
      </c>
      <c r="F575" s="10">
        <v>40</v>
      </c>
      <c r="G575" s="11">
        <v>0.05</v>
      </c>
      <c r="H575" s="10">
        <v>152</v>
      </c>
      <c r="I575" s="9">
        <v>0</v>
      </c>
      <c r="J575" s="10">
        <v>0</v>
      </c>
      <c r="K575" s="9">
        <v>4</v>
      </c>
      <c r="L575" s="10">
        <v>152</v>
      </c>
      <c r="M575" s="10">
        <v>107.63</v>
      </c>
      <c r="N575" s="10">
        <v>44.37</v>
      </c>
      <c r="O575" s="11">
        <f t="shared" si="32"/>
        <v>0.29190789473684209</v>
      </c>
      <c r="P575" s="10">
        <v>10.11</v>
      </c>
      <c r="Q575" s="10">
        <v>34.26</v>
      </c>
      <c r="R575" s="11">
        <f t="shared" si="33"/>
        <v>0.22539473684210526</v>
      </c>
      <c r="S575" t="s">
        <v>65</v>
      </c>
      <c r="T575" t="s">
        <v>66</v>
      </c>
      <c r="U575" t="s">
        <v>76</v>
      </c>
    </row>
    <row r="576" spans="1:21" x14ac:dyDescent="0.35">
      <c r="A576" t="s">
        <v>698</v>
      </c>
      <c r="B576" s="5">
        <v>45692</v>
      </c>
      <c r="C576" t="s">
        <v>92</v>
      </c>
      <c r="D576" t="s">
        <v>79</v>
      </c>
      <c r="E576" s="9">
        <v>3</v>
      </c>
      <c r="F576" s="10">
        <v>85</v>
      </c>
      <c r="G576" s="11">
        <v>0.1</v>
      </c>
      <c r="H576" s="10">
        <v>229.5</v>
      </c>
      <c r="I576" s="9">
        <v>0</v>
      </c>
      <c r="J576" s="10">
        <v>0</v>
      </c>
      <c r="K576" s="9">
        <v>3</v>
      </c>
      <c r="L576" s="10">
        <v>229.5</v>
      </c>
      <c r="M576" s="10">
        <v>187.02</v>
      </c>
      <c r="N576" s="10">
        <v>42.48</v>
      </c>
      <c r="O576" s="11">
        <f t="shared" si="32"/>
        <v>0.18509803921568627</v>
      </c>
      <c r="P576" s="10">
        <v>26.07</v>
      </c>
      <c r="Q576" s="10">
        <v>16.41</v>
      </c>
      <c r="R576" s="11">
        <f t="shared" si="33"/>
        <v>7.1503267973856213E-2</v>
      </c>
      <c r="S576" t="s">
        <v>59</v>
      </c>
      <c r="T576" t="s">
        <v>82</v>
      </c>
      <c r="U576" t="s">
        <v>67</v>
      </c>
    </row>
    <row r="577" spans="1:21" x14ac:dyDescent="0.35">
      <c r="A577" t="s">
        <v>699</v>
      </c>
      <c r="B577" s="5">
        <v>45889</v>
      </c>
      <c r="C577" t="s">
        <v>92</v>
      </c>
      <c r="D577" t="s">
        <v>79</v>
      </c>
      <c r="E577" s="9">
        <v>8</v>
      </c>
      <c r="F577" s="10">
        <v>85</v>
      </c>
      <c r="G577" s="11">
        <v>0</v>
      </c>
      <c r="H577" s="10">
        <v>680</v>
      </c>
      <c r="I577" s="9">
        <v>0</v>
      </c>
      <c r="J577" s="10">
        <v>0</v>
      </c>
      <c r="K577" s="9">
        <v>8</v>
      </c>
      <c r="L577" s="10">
        <v>680</v>
      </c>
      <c r="M577" s="10">
        <v>476.96</v>
      </c>
      <c r="N577" s="10">
        <v>203.04</v>
      </c>
      <c r="O577" s="11">
        <f t="shared" si="32"/>
        <v>0.29858823529411765</v>
      </c>
      <c r="P577" s="10">
        <v>60.45</v>
      </c>
      <c r="Q577" s="10">
        <v>142.59</v>
      </c>
      <c r="R577" s="11">
        <f t="shared" si="33"/>
        <v>0.20969117647058824</v>
      </c>
      <c r="S577" t="s">
        <v>59</v>
      </c>
      <c r="T577" t="s">
        <v>86</v>
      </c>
      <c r="U577" t="s">
        <v>71</v>
      </c>
    </row>
    <row r="578" spans="1:21" x14ac:dyDescent="0.35">
      <c r="A578" t="s">
        <v>700</v>
      </c>
      <c r="B578" s="5">
        <v>45691</v>
      </c>
      <c r="C578" t="s">
        <v>117</v>
      </c>
      <c r="D578" t="s">
        <v>74</v>
      </c>
      <c r="E578" s="9">
        <v>5</v>
      </c>
      <c r="F578" s="10">
        <v>95</v>
      </c>
      <c r="G578" s="11">
        <v>0.1</v>
      </c>
      <c r="H578" s="10">
        <v>427.5</v>
      </c>
      <c r="I578" s="9">
        <v>0</v>
      </c>
      <c r="J578" s="10">
        <v>0</v>
      </c>
      <c r="K578" s="9">
        <v>5</v>
      </c>
      <c r="L578" s="10">
        <v>427.5</v>
      </c>
      <c r="M578" s="10">
        <v>296.08</v>
      </c>
      <c r="N578" s="10">
        <v>131.41999999999999</v>
      </c>
      <c r="O578" s="11">
        <f t="shared" si="32"/>
        <v>0.30741520467836253</v>
      </c>
      <c r="P578" s="10">
        <v>50.69</v>
      </c>
      <c r="Q578" s="10">
        <v>80.73</v>
      </c>
      <c r="R578" s="11">
        <f t="shared" si="33"/>
        <v>0.18884210526315789</v>
      </c>
      <c r="S578" t="s">
        <v>65</v>
      </c>
      <c r="T578" t="s">
        <v>66</v>
      </c>
      <c r="U578" t="s">
        <v>71</v>
      </c>
    </row>
    <row r="579" spans="1:21" x14ac:dyDescent="0.35">
      <c r="A579" t="s">
        <v>701</v>
      </c>
      <c r="B579" s="5">
        <v>45683</v>
      </c>
      <c r="C579" t="s">
        <v>78</v>
      </c>
      <c r="D579" t="s">
        <v>79</v>
      </c>
      <c r="E579" s="9">
        <v>8</v>
      </c>
      <c r="F579" s="10">
        <v>120</v>
      </c>
      <c r="G579" s="11">
        <v>0.02</v>
      </c>
      <c r="H579" s="10">
        <v>940.8</v>
      </c>
      <c r="I579" s="9">
        <v>0</v>
      </c>
      <c r="J579" s="10">
        <v>0</v>
      </c>
      <c r="K579" s="9">
        <v>8</v>
      </c>
      <c r="L579" s="10">
        <v>940.8</v>
      </c>
      <c r="M579" s="10">
        <v>658.17</v>
      </c>
      <c r="N579" s="10">
        <v>282.63</v>
      </c>
      <c r="O579" s="11">
        <f t="shared" si="32"/>
        <v>0.30041454081632651</v>
      </c>
      <c r="P579" s="10">
        <v>95.64</v>
      </c>
      <c r="Q579" s="10">
        <v>186.99</v>
      </c>
      <c r="R579" s="11">
        <f t="shared" si="33"/>
        <v>0.19875637755102044</v>
      </c>
      <c r="S579" t="s">
        <v>59</v>
      </c>
      <c r="T579" t="s">
        <v>60</v>
      </c>
      <c r="U579" t="s">
        <v>71</v>
      </c>
    </row>
    <row r="580" spans="1:21" x14ac:dyDescent="0.35">
      <c r="A580" t="s">
        <v>702</v>
      </c>
      <c r="B580" s="5">
        <v>45711</v>
      </c>
      <c r="C580" t="s">
        <v>100</v>
      </c>
      <c r="D580" t="s">
        <v>64</v>
      </c>
      <c r="E580" s="9">
        <v>1</v>
      </c>
      <c r="F580" s="10">
        <v>310</v>
      </c>
      <c r="G580" s="11">
        <v>0</v>
      </c>
      <c r="H580" s="10">
        <v>310</v>
      </c>
      <c r="I580" s="9">
        <v>0</v>
      </c>
      <c r="J580" s="10">
        <v>0</v>
      </c>
      <c r="K580" s="9">
        <v>1</v>
      </c>
      <c r="L580" s="10">
        <v>310</v>
      </c>
      <c r="M580" s="10">
        <v>192.58</v>
      </c>
      <c r="N580" s="10">
        <v>117.42</v>
      </c>
      <c r="O580" s="11">
        <f t="shared" si="32"/>
        <v>0.37877419354838709</v>
      </c>
      <c r="P580" s="10">
        <v>17.59</v>
      </c>
      <c r="Q580" s="10">
        <v>99.83</v>
      </c>
      <c r="R580" s="11">
        <f t="shared" si="33"/>
        <v>0.32203225806451613</v>
      </c>
      <c r="S580" t="s">
        <v>65</v>
      </c>
      <c r="T580" t="s">
        <v>60</v>
      </c>
      <c r="U580" t="s">
        <v>71</v>
      </c>
    </row>
    <row r="581" spans="1:21" x14ac:dyDescent="0.35">
      <c r="A581" t="s">
        <v>703</v>
      </c>
      <c r="B581" s="5">
        <v>45814</v>
      </c>
      <c r="C581" t="s">
        <v>88</v>
      </c>
      <c r="D581" t="s">
        <v>57</v>
      </c>
      <c r="E581" s="9">
        <v>6</v>
      </c>
      <c r="F581" s="10">
        <v>30</v>
      </c>
      <c r="G581" s="11">
        <v>0</v>
      </c>
      <c r="H581" s="10">
        <v>180</v>
      </c>
      <c r="I581" s="9">
        <v>0</v>
      </c>
      <c r="J581" s="10">
        <v>0</v>
      </c>
      <c r="K581" s="9">
        <v>6</v>
      </c>
      <c r="L581" s="10">
        <v>180</v>
      </c>
      <c r="M581" s="10">
        <v>145.43</v>
      </c>
      <c r="N581" s="10">
        <v>34.57</v>
      </c>
      <c r="O581" s="11">
        <f t="shared" si="32"/>
        <v>0.19205555555555556</v>
      </c>
      <c r="P581" s="10">
        <v>23.21</v>
      </c>
      <c r="Q581" s="10">
        <v>11.36</v>
      </c>
      <c r="R581" s="11">
        <f t="shared" si="33"/>
        <v>6.3111111111111104E-2</v>
      </c>
      <c r="S581" t="s">
        <v>59</v>
      </c>
      <c r="T581" t="s">
        <v>86</v>
      </c>
      <c r="U581" t="s">
        <v>61</v>
      </c>
    </row>
    <row r="582" spans="1:21" x14ac:dyDescent="0.35">
      <c r="A582" t="s">
        <v>704</v>
      </c>
      <c r="B582" s="5">
        <v>45887</v>
      </c>
      <c r="C582" t="s">
        <v>63</v>
      </c>
      <c r="D582" t="s">
        <v>64</v>
      </c>
      <c r="E582" s="9">
        <v>4</v>
      </c>
      <c r="F582" s="10">
        <v>145</v>
      </c>
      <c r="G582" s="11">
        <v>0.02</v>
      </c>
      <c r="H582" s="10">
        <v>568.4</v>
      </c>
      <c r="I582" s="9">
        <v>0</v>
      </c>
      <c r="J582" s="10">
        <v>0</v>
      </c>
      <c r="K582" s="9">
        <v>4</v>
      </c>
      <c r="L582" s="10">
        <v>568.4</v>
      </c>
      <c r="M582" s="10">
        <v>394.31</v>
      </c>
      <c r="N582" s="10">
        <v>174.09</v>
      </c>
      <c r="O582" s="11">
        <f t="shared" si="32"/>
        <v>0.30628078817733995</v>
      </c>
      <c r="P582" s="10">
        <v>72.05</v>
      </c>
      <c r="Q582" s="10">
        <v>102.04</v>
      </c>
      <c r="R582" s="11">
        <f t="shared" si="33"/>
        <v>0.17952146375791697</v>
      </c>
      <c r="S582" t="s">
        <v>59</v>
      </c>
      <c r="T582" t="s">
        <v>86</v>
      </c>
      <c r="U582" t="s">
        <v>76</v>
      </c>
    </row>
    <row r="583" spans="1:21" x14ac:dyDescent="0.35">
      <c r="A583" t="s">
        <v>705</v>
      </c>
      <c r="B583" s="5">
        <v>45844</v>
      </c>
      <c r="C583" t="s">
        <v>97</v>
      </c>
      <c r="D583" t="s">
        <v>57</v>
      </c>
      <c r="E583" s="9">
        <v>5</v>
      </c>
      <c r="F583" s="10">
        <v>55</v>
      </c>
      <c r="G583" s="11">
        <v>0.02</v>
      </c>
      <c r="H583" s="10">
        <v>269.5</v>
      </c>
      <c r="I583" s="9">
        <v>0</v>
      </c>
      <c r="J583" s="10">
        <v>0</v>
      </c>
      <c r="K583" s="9">
        <v>5</v>
      </c>
      <c r="L583" s="10">
        <v>269.5</v>
      </c>
      <c r="M583" s="10">
        <v>208.23</v>
      </c>
      <c r="N583" s="10">
        <v>61.27</v>
      </c>
      <c r="O583" s="11">
        <f t="shared" si="32"/>
        <v>0.22734693877551021</v>
      </c>
      <c r="P583" s="10">
        <v>25.93</v>
      </c>
      <c r="Q583" s="10">
        <v>35.340000000000003</v>
      </c>
      <c r="R583" s="11">
        <f t="shared" si="33"/>
        <v>0.13113172541743973</v>
      </c>
      <c r="S583" t="s">
        <v>59</v>
      </c>
      <c r="T583" t="s">
        <v>66</v>
      </c>
      <c r="U583" t="s">
        <v>76</v>
      </c>
    </row>
    <row r="584" spans="1:21" x14ac:dyDescent="0.35">
      <c r="A584" t="s">
        <v>706</v>
      </c>
      <c r="B584" s="5">
        <v>45910</v>
      </c>
      <c r="C584" t="s">
        <v>117</v>
      </c>
      <c r="D584" t="s">
        <v>74</v>
      </c>
      <c r="E584" s="9">
        <v>5</v>
      </c>
      <c r="F584" s="10">
        <v>95</v>
      </c>
      <c r="G584" s="11">
        <v>0.05</v>
      </c>
      <c r="H584" s="10">
        <v>451.25</v>
      </c>
      <c r="I584" s="9">
        <v>0</v>
      </c>
      <c r="J584" s="10">
        <v>0</v>
      </c>
      <c r="K584" s="9">
        <v>5</v>
      </c>
      <c r="L584" s="10">
        <v>451.25</v>
      </c>
      <c r="M584" s="10">
        <v>356.6</v>
      </c>
      <c r="N584" s="10">
        <v>94.65</v>
      </c>
      <c r="O584" s="11">
        <f t="shared" si="32"/>
        <v>0.20975069252077563</v>
      </c>
      <c r="P584" s="10">
        <v>52.85</v>
      </c>
      <c r="Q584" s="10">
        <v>41.8</v>
      </c>
      <c r="R584" s="11">
        <f t="shared" si="33"/>
        <v>9.2631578947368412E-2</v>
      </c>
      <c r="S584" t="s">
        <v>75</v>
      </c>
      <c r="T584" t="s">
        <v>60</v>
      </c>
      <c r="U584" t="s">
        <v>76</v>
      </c>
    </row>
    <row r="585" spans="1:21" x14ac:dyDescent="0.35">
      <c r="A585" t="s">
        <v>707</v>
      </c>
      <c r="B585" s="5">
        <v>45736</v>
      </c>
      <c r="C585" t="s">
        <v>107</v>
      </c>
      <c r="D585" t="s">
        <v>74</v>
      </c>
      <c r="E585" s="9">
        <v>2</v>
      </c>
      <c r="F585" s="10">
        <v>125</v>
      </c>
      <c r="G585" s="11">
        <v>0</v>
      </c>
      <c r="H585" s="10">
        <v>250</v>
      </c>
      <c r="I585" s="9">
        <v>0</v>
      </c>
      <c r="J585" s="10">
        <v>0</v>
      </c>
      <c r="K585" s="9">
        <v>2</v>
      </c>
      <c r="L585" s="10">
        <v>250</v>
      </c>
      <c r="M585" s="10">
        <v>191.72</v>
      </c>
      <c r="N585" s="10">
        <v>58.28</v>
      </c>
      <c r="O585" s="11">
        <f t="shared" si="32"/>
        <v>0.23311999999999999</v>
      </c>
      <c r="P585" s="10">
        <v>19.02</v>
      </c>
      <c r="Q585" s="10">
        <v>39.26</v>
      </c>
      <c r="R585" s="11">
        <f t="shared" si="33"/>
        <v>0.15703999999999999</v>
      </c>
      <c r="S585" t="s">
        <v>81</v>
      </c>
      <c r="T585" t="s">
        <v>60</v>
      </c>
      <c r="U585" t="s">
        <v>76</v>
      </c>
    </row>
    <row r="586" spans="1:21" x14ac:dyDescent="0.35">
      <c r="A586" t="s">
        <v>708</v>
      </c>
      <c r="B586" s="5">
        <v>46009</v>
      </c>
      <c r="C586" t="s">
        <v>78</v>
      </c>
      <c r="D586" t="s">
        <v>79</v>
      </c>
      <c r="E586" s="9">
        <v>4</v>
      </c>
      <c r="F586" s="10">
        <v>120</v>
      </c>
      <c r="G586" s="11">
        <v>0</v>
      </c>
      <c r="H586" s="10">
        <v>480</v>
      </c>
      <c r="I586" s="9">
        <v>0</v>
      </c>
      <c r="J586" s="10">
        <v>0</v>
      </c>
      <c r="K586" s="9">
        <v>4</v>
      </c>
      <c r="L586" s="10">
        <v>480</v>
      </c>
      <c r="M586" s="10">
        <v>326.26</v>
      </c>
      <c r="N586" s="10">
        <v>153.74</v>
      </c>
      <c r="O586" s="11">
        <f t="shared" si="32"/>
        <v>0.3202916666666667</v>
      </c>
      <c r="P586" s="10">
        <v>35.450000000000003</v>
      </c>
      <c r="Q586" s="10">
        <v>118.29</v>
      </c>
      <c r="R586" s="11">
        <f t="shared" si="33"/>
        <v>0.2464375</v>
      </c>
      <c r="S586" t="s">
        <v>75</v>
      </c>
      <c r="T586" t="s">
        <v>86</v>
      </c>
      <c r="U586" t="s">
        <v>61</v>
      </c>
    </row>
    <row r="587" spans="1:21" x14ac:dyDescent="0.35">
      <c r="A587" t="s">
        <v>709</v>
      </c>
      <c r="B587" s="5">
        <v>45755</v>
      </c>
      <c r="C587" t="s">
        <v>104</v>
      </c>
      <c r="D587" t="s">
        <v>105</v>
      </c>
      <c r="E587" s="9">
        <v>3</v>
      </c>
      <c r="F587" s="10">
        <v>65</v>
      </c>
      <c r="G587" s="11">
        <v>0.15</v>
      </c>
      <c r="H587" s="10">
        <v>165.75</v>
      </c>
      <c r="I587" s="9">
        <v>0</v>
      </c>
      <c r="J587" s="10">
        <v>0</v>
      </c>
      <c r="K587" s="9">
        <v>3</v>
      </c>
      <c r="L587" s="10">
        <v>165.75</v>
      </c>
      <c r="M587" s="10">
        <v>117.45</v>
      </c>
      <c r="N587" s="10">
        <v>48.3</v>
      </c>
      <c r="O587" s="11">
        <f t="shared" si="32"/>
        <v>0.29140271493212666</v>
      </c>
      <c r="P587" s="10">
        <v>12.85</v>
      </c>
      <c r="Q587" s="10">
        <v>35.450000000000003</v>
      </c>
      <c r="R587" s="11">
        <f t="shared" si="33"/>
        <v>0.21387631975867272</v>
      </c>
      <c r="S587" t="s">
        <v>81</v>
      </c>
      <c r="T587" t="s">
        <v>82</v>
      </c>
      <c r="U587" t="s">
        <v>76</v>
      </c>
    </row>
    <row r="588" spans="1:21" x14ac:dyDescent="0.35">
      <c r="A588" t="s">
        <v>710</v>
      </c>
      <c r="B588" s="5">
        <v>45751</v>
      </c>
      <c r="C588" t="s">
        <v>109</v>
      </c>
      <c r="D588" t="s">
        <v>85</v>
      </c>
      <c r="E588" s="9">
        <v>1</v>
      </c>
      <c r="F588" s="10">
        <v>180</v>
      </c>
      <c r="G588" s="11">
        <v>0</v>
      </c>
      <c r="H588" s="10">
        <v>180</v>
      </c>
      <c r="I588" s="9">
        <v>0</v>
      </c>
      <c r="J588" s="10">
        <v>0</v>
      </c>
      <c r="K588" s="9">
        <v>1</v>
      </c>
      <c r="L588" s="10">
        <v>180</v>
      </c>
      <c r="M588" s="10">
        <v>132.08000000000001</v>
      </c>
      <c r="N588" s="10">
        <v>47.92</v>
      </c>
      <c r="O588" s="11">
        <f t="shared" si="32"/>
        <v>0.26622222222222225</v>
      </c>
      <c r="P588" s="10">
        <v>21.52</v>
      </c>
      <c r="Q588" s="10">
        <v>26.4</v>
      </c>
      <c r="R588" s="11">
        <f t="shared" si="33"/>
        <v>0.14666666666666667</v>
      </c>
      <c r="S588" t="s">
        <v>75</v>
      </c>
      <c r="T588" t="s">
        <v>86</v>
      </c>
      <c r="U588" t="s">
        <v>67</v>
      </c>
    </row>
    <row r="589" spans="1:21" x14ac:dyDescent="0.35">
      <c r="A589" t="s">
        <v>711</v>
      </c>
      <c r="B589" s="5">
        <v>45787</v>
      </c>
      <c r="C589" t="s">
        <v>95</v>
      </c>
      <c r="D589" t="s">
        <v>64</v>
      </c>
      <c r="E589" s="9">
        <v>6</v>
      </c>
      <c r="F589" s="10">
        <v>52</v>
      </c>
      <c r="G589" s="11">
        <v>0.1</v>
      </c>
      <c r="H589" s="10">
        <v>280.8</v>
      </c>
      <c r="I589" s="9">
        <v>0</v>
      </c>
      <c r="J589" s="10">
        <v>0</v>
      </c>
      <c r="K589" s="9">
        <v>6</v>
      </c>
      <c r="L589" s="10">
        <v>280.8</v>
      </c>
      <c r="M589" s="10">
        <v>219.49</v>
      </c>
      <c r="N589" s="10">
        <v>61.31</v>
      </c>
      <c r="O589" s="11">
        <f t="shared" si="32"/>
        <v>0.21834045584045583</v>
      </c>
      <c r="P589" s="10">
        <v>20.260000000000002</v>
      </c>
      <c r="Q589" s="10">
        <v>41.05</v>
      </c>
      <c r="R589" s="11">
        <f t="shared" si="33"/>
        <v>0.14618945868945868</v>
      </c>
      <c r="S589" t="s">
        <v>65</v>
      </c>
      <c r="T589" t="s">
        <v>66</v>
      </c>
      <c r="U589" t="s">
        <v>76</v>
      </c>
    </row>
    <row r="590" spans="1:21" x14ac:dyDescent="0.35">
      <c r="A590" t="s">
        <v>712</v>
      </c>
      <c r="B590" s="5">
        <v>45964</v>
      </c>
      <c r="C590" t="s">
        <v>100</v>
      </c>
      <c r="D590" t="s">
        <v>64</v>
      </c>
      <c r="E590" s="9">
        <v>4</v>
      </c>
      <c r="F590" s="10">
        <v>310</v>
      </c>
      <c r="G590" s="11">
        <v>0</v>
      </c>
      <c r="H590" s="10">
        <v>1240</v>
      </c>
      <c r="I590" s="9">
        <v>0</v>
      </c>
      <c r="J590" s="10">
        <v>0</v>
      </c>
      <c r="K590" s="9">
        <v>4</v>
      </c>
      <c r="L590" s="10">
        <v>1240</v>
      </c>
      <c r="M590" s="10">
        <v>1020.47</v>
      </c>
      <c r="N590" s="10">
        <v>219.53</v>
      </c>
      <c r="O590" s="11">
        <f t="shared" si="32"/>
        <v>0.17704032258064517</v>
      </c>
      <c r="P590" s="10">
        <v>62.16</v>
      </c>
      <c r="Q590" s="10">
        <v>157.37</v>
      </c>
      <c r="R590" s="11">
        <f t="shared" si="33"/>
        <v>0.12691129032258064</v>
      </c>
      <c r="S590" t="s">
        <v>75</v>
      </c>
      <c r="T590" t="s">
        <v>66</v>
      </c>
      <c r="U590" t="s">
        <v>61</v>
      </c>
    </row>
    <row r="591" spans="1:21" x14ac:dyDescent="0.35">
      <c r="A591" t="s">
        <v>713</v>
      </c>
      <c r="B591" s="5">
        <v>45935</v>
      </c>
      <c r="C591" t="s">
        <v>97</v>
      </c>
      <c r="D591" t="s">
        <v>57</v>
      </c>
      <c r="E591" s="9">
        <v>2</v>
      </c>
      <c r="F591" s="10">
        <v>55</v>
      </c>
      <c r="G591" s="11">
        <v>0</v>
      </c>
      <c r="H591" s="10">
        <v>110</v>
      </c>
      <c r="I591" s="9">
        <v>0</v>
      </c>
      <c r="J591" s="10">
        <v>0</v>
      </c>
      <c r="K591" s="9">
        <v>2</v>
      </c>
      <c r="L591" s="10">
        <v>110</v>
      </c>
      <c r="M591" s="10">
        <v>68.209999999999994</v>
      </c>
      <c r="N591" s="10">
        <v>41.79</v>
      </c>
      <c r="O591" s="11">
        <f t="shared" si="32"/>
        <v>0.37990909090909092</v>
      </c>
      <c r="P591" s="10">
        <v>12.93</v>
      </c>
      <c r="Q591" s="10">
        <v>28.86</v>
      </c>
      <c r="R591" s="11">
        <f t="shared" si="33"/>
        <v>0.26236363636363635</v>
      </c>
      <c r="S591" t="s">
        <v>81</v>
      </c>
      <c r="T591" t="s">
        <v>60</v>
      </c>
      <c r="U591" t="s">
        <v>67</v>
      </c>
    </row>
    <row r="592" spans="1:21" x14ac:dyDescent="0.35">
      <c r="A592" t="s">
        <v>714</v>
      </c>
      <c r="B592" s="5">
        <v>45789</v>
      </c>
      <c r="C592" t="s">
        <v>109</v>
      </c>
      <c r="D592" t="s">
        <v>85</v>
      </c>
      <c r="E592" s="9">
        <v>4</v>
      </c>
      <c r="F592" s="10">
        <v>180</v>
      </c>
      <c r="G592" s="11">
        <v>0.1</v>
      </c>
      <c r="H592" s="10">
        <v>648</v>
      </c>
      <c r="I592" s="9">
        <v>0</v>
      </c>
      <c r="J592" s="10">
        <v>0</v>
      </c>
      <c r="K592" s="9">
        <v>4</v>
      </c>
      <c r="L592" s="10">
        <v>648</v>
      </c>
      <c r="M592" s="10">
        <v>514.16999999999996</v>
      </c>
      <c r="N592" s="10">
        <v>133.83000000000001</v>
      </c>
      <c r="O592" s="11">
        <f t="shared" si="32"/>
        <v>0.20652777777777781</v>
      </c>
      <c r="P592" s="10">
        <v>68.98</v>
      </c>
      <c r="Q592" s="10">
        <v>64.849999999999994</v>
      </c>
      <c r="R592" s="11">
        <f t="shared" si="33"/>
        <v>0.10007716049382716</v>
      </c>
      <c r="S592" t="s">
        <v>65</v>
      </c>
      <c r="T592" t="s">
        <v>66</v>
      </c>
      <c r="U592" t="s">
        <v>71</v>
      </c>
    </row>
    <row r="593" spans="1:21" x14ac:dyDescent="0.35">
      <c r="A593" t="s">
        <v>715</v>
      </c>
      <c r="B593" s="5">
        <v>45975</v>
      </c>
      <c r="C593" t="s">
        <v>264</v>
      </c>
      <c r="D593" t="s">
        <v>85</v>
      </c>
      <c r="E593" s="9">
        <v>4</v>
      </c>
      <c r="F593" s="10">
        <v>20</v>
      </c>
      <c r="G593" s="11">
        <v>0.05</v>
      </c>
      <c r="H593" s="10">
        <v>76</v>
      </c>
      <c r="I593" s="9">
        <v>0</v>
      </c>
      <c r="J593" s="10">
        <v>0</v>
      </c>
      <c r="K593" s="9">
        <v>4</v>
      </c>
      <c r="L593" s="10">
        <v>76</v>
      </c>
      <c r="M593" s="10">
        <v>51.4</v>
      </c>
      <c r="N593" s="10">
        <v>24.6</v>
      </c>
      <c r="O593" s="11">
        <f t="shared" si="32"/>
        <v>0.3236842105263158</v>
      </c>
      <c r="P593" s="10">
        <v>9.3800000000000008</v>
      </c>
      <c r="Q593" s="10">
        <v>15.22</v>
      </c>
      <c r="R593" s="11">
        <f t="shared" si="33"/>
        <v>0.20026315789473684</v>
      </c>
      <c r="S593" t="s">
        <v>65</v>
      </c>
      <c r="T593" t="s">
        <v>82</v>
      </c>
      <c r="U593" t="s">
        <v>76</v>
      </c>
    </row>
    <row r="594" spans="1:21" x14ac:dyDescent="0.35">
      <c r="A594" t="s">
        <v>716</v>
      </c>
      <c r="B594" s="5">
        <v>45886</v>
      </c>
      <c r="C594" t="s">
        <v>78</v>
      </c>
      <c r="D594" t="s">
        <v>79</v>
      </c>
      <c r="E594" s="9">
        <v>1</v>
      </c>
      <c r="F594" s="10">
        <v>120</v>
      </c>
      <c r="G594" s="11">
        <v>0</v>
      </c>
      <c r="H594" s="10">
        <v>120</v>
      </c>
      <c r="I594" s="9">
        <v>0</v>
      </c>
      <c r="J594" s="10">
        <v>0</v>
      </c>
      <c r="K594" s="9">
        <v>1</v>
      </c>
      <c r="L594" s="10">
        <v>120</v>
      </c>
      <c r="M594" s="10">
        <v>85.68</v>
      </c>
      <c r="N594" s="10">
        <v>34.32</v>
      </c>
      <c r="O594" s="11">
        <f t="shared" si="32"/>
        <v>0.28599999999999998</v>
      </c>
      <c r="P594" s="10">
        <v>9.2799999999999994</v>
      </c>
      <c r="Q594" s="10">
        <v>25.04</v>
      </c>
      <c r="R594" s="11">
        <f t="shared" si="33"/>
        <v>0.20866666666666667</v>
      </c>
      <c r="S594" t="s">
        <v>59</v>
      </c>
      <c r="T594" t="s">
        <v>60</v>
      </c>
      <c r="U594" t="s">
        <v>67</v>
      </c>
    </row>
    <row r="595" spans="1:21" x14ac:dyDescent="0.35">
      <c r="A595" t="s">
        <v>717</v>
      </c>
      <c r="B595" s="5">
        <v>45853</v>
      </c>
      <c r="C595" t="s">
        <v>84</v>
      </c>
      <c r="D595" t="s">
        <v>85</v>
      </c>
      <c r="E595" s="9">
        <v>6</v>
      </c>
      <c r="F595" s="10">
        <v>48</v>
      </c>
      <c r="G595" s="11">
        <v>0.05</v>
      </c>
      <c r="H595" s="10">
        <v>273.60000000000002</v>
      </c>
      <c r="I595" s="9">
        <v>0</v>
      </c>
      <c r="J595" s="10">
        <v>0</v>
      </c>
      <c r="K595" s="9">
        <v>6</v>
      </c>
      <c r="L595" s="10">
        <v>273.60000000000002</v>
      </c>
      <c r="M595" s="10">
        <v>213.73</v>
      </c>
      <c r="N595" s="10">
        <v>59.87</v>
      </c>
      <c r="O595" s="11">
        <f t="shared" si="32"/>
        <v>0.21882309941520464</v>
      </c>
      <c r="P595" s="10">
        <v>25.39</v>
      </c>
      <c r="Q595" s="10">
        <v>34.479999999999997</v>
      </c>
      <c r="R595" s="11">
        <f t="shared" si="33"/>
        <v>0.12602339181286548</v>
      </c>
      <c r="S595" t="s">
        <v>59</v>
      </c>
      <c r="T595" t="s">
        <v>60</v>
      </c>
      <c r="U595" t="s">
        <v>61</v>
      </c>
    </row>
    <row r="596" spans="1:21" x14ac:dyDescent="0.35">
      <c r="A596" t="s">
        <v>718</v>
      </c>
      <c r="B596" s="5">
        <v>45709</v>
      </c>
      <c r="C596" t="s">
        <v>78</v>
      </c>
      <c r="D596" t="s">
        <v>79</v>
      </c>
      <c r="E596" s="9">
        <v>10</v>
      </c>
      <c r="F596" s="10">
        <v>120</v>
      </c>
      <c r="G596" s="11">
        <v>0.05</v>
      </c>
      <c r="H596" s="10">
        <v>1140</v>
      </c>
      <c r="I596" s="9">
        <v>0</v>
      </c>
      <c r="J596" s="10">
        <v>0</v>
      </c>
      <c r="K596" s="9">
        <v>10</v>
      </c>
      <c r="L596" s="10">
        <v>1140</v>
      </c>
      <c r="M596" s="10">
        <v>774.82</v>
      </c>
      <c r="N596" s="10">
        <v>365.18</v>
      </c>
      <c r="O596" s="11">
        <f t="shared" si="32"/>
        <v>0.32033333333333336</v>
      </c>
      <c r="P596" s="10">
        <v>147.47999999999999</v>
      </c>
      <c r="Q596" s="10">
        <v>217.7</v>
      </c>
      <c r="R596" s="11">
        <f t="shared" si="33"/>
        <v>0.19096491228070175</v>
      </c>
      <c r="S596" t="s">
        <v>81</v>
      </c>
      <c r="T596" t="s">
        <v>60</v>
      </c>
      <c r="U596" t="s">
        <v>67</v>
      </c>
    </row>
    <row r="597" spans="1:21" x14ac:dyDescent="0.35">
      <c r="A597" t="s">
        <v>719</v>
      </c>
      <c r="B597" s="5">
        <v>45677</v>
      </c>
      <c r="C597" t="s">
        <v>121</v>
      </c>
      <c r="D597" t="s">
        <v>70</v>
      </c>
      <c r="E597" s="9">
        <v>6</v>
      </c>
      <c r="F597" s="10">
        <v>110</v>
      </c>
      <c r="G597" s="11">
        <v>0</v>
      </c>
      <c r="H597" s="10">
        <v>660</v>
      </c>
      <c r="I597" s="9">
        <v>0</v>
      </c>
      <c r="J597" s="10">
        <v>0</v>
      </c>
      <c r="K597" s="9">
        <v>6</v>
      </c>
      <c r="L597" s="10">
        <v>660</v>
      </c>
      <c r="M597" s="10">
        <v>560.32000000000005</v>
      </c>
      <c r="N597" s="10">
        <v>99.68</v>
      </c>
      <c r="O597" s="11">
        <f t="shared" si="32"/>
        <v>0.15103030303030304</v>
      </c>
      <c r="P597" s="10">
        <v>33.96</v>
      </c>
      <c r="Q597" s="10">
        <v>65.72</v>
      </c>
      <c r="R597" s="11">
        <f t="shared" si="33"/>
        <v>9.9575757575757567E-2</v>
      </c>
      <c r="S597" t="s">
        <v>65</v>
      </c>
      <c r="T597" t="s">
        <v>60</v>
      </c>
      <c r="U597" t="s">
        <v>71</v>
      </c>
    </row>
    <row r="598" spans="1:21" x14ac:dyDescent="0.35">
      <c r="A598" t="s">
        <v>720</v>
      </c>
      <c r="B598" s="5">
        <v>45976</v>
      </c>
      <c r="C598" t="s">
        <v>88</v>
      </c>
      <c r="D598" t="s">
        <v>57</v>
      </c>
      <c r="E598" s="9">
        <v>2</v>
      </c>
      <c r="F598" s="10">
        <v>30</v>
      </c>
      <c r="G598" s="11">
        <v>0</v>
      </c>
      <c r="H598" s="10">
        <v>60</v>
      </c>
      <c r="I598" s="9">
        <v>0</v>
      </c>
      <c r="J598" s="10">
        <v>0</v>
      </c>
      <c r="K598" s="9">
        <v>2</v>
      </c>
      <c r="L598" s="10">
        <v>60</v>
      </c>
      <c r="M598" s="10">
        <v>40.56</v>
      </c>
      <c r="N598" s="10">
        <v>19.440000000000001</v>
      </c>
      <c r="O598" s="11">
        <f t="shared" si="32"/>
        <v>0.32400000000000001</v>
      </c>
      <c r="P598" s="10">
        <v>3.9</v>
      </c>
      <c r="Q598" s="10">
        <v>15.54</v>
      </c>
      <c r="R598" s="11">
        <f t="shared" si="33"/>
        <v>0.25900000000000001</v>
      </c>
      <c r="S598" t="s">
        <v>75</v>
      </c>
      <c r="T598" t="s">
        <v>60</v>
      </c>
      <c r="U598" t="s">
        <v>61</v>
      </c>
    </row>
    <row r="599" spans="1:21" x14ac:dyDescent="0.35">
      <c r="A599" t="s">
        <v>721</v>
      </c>
      <c r="B599" s="5">
        <v>45699</v>
      </c>
      <c r="C599" t="s">
        <v>95</v>
      </c>
      <c r="D599" t="s">
        <v>64</v>
      </c>
      <c r="E599" s="9">
        <v>2</v>
      </c>
      <c r="F599" s="10">
        <v>52</v>
      </c>
      <c r="G599" s="11">
        <v>0</v>
      </c>
      <c r="H599" s="10">
        <v>104</v>
      </c>
      <c r="I599" s="9">
        <v>0</v>
      </c>
      <c r="J599" s="10">
        <v>0</v>
      </c>
      <c r="K599" s="9">
        <v>2</v>
      </c>
      <c r="L599" s="10">
        <v>104</v>
      </c>
      <c r="M599" s="10">
        <v>88.88</v>
      </c>
      <c r="N599" s="10">
        <v>15.12</v>
      </c>
      <c r="O599" s="11">
        <f t="shared" si="32"/>
        <v>0.14538461538461539</v>
      </c>
      <c r="P599" s="10">
        <v>11.34</v>
      </c>
      <c r="Q599" s="10">
        <v>3.78</v>
      </c>
      <c r="R599" s="11">
        <f t="shared" si="33"/>
        <v>3.6346153846153847E-2</v>
      </c>
      <c r="S599" t="s">
        <v>81</v>
      </c>
      <c r="T599" t="s">
        <v>66</v>
      </c>
      <c r="U599" t="s">
        <v>76</v>
      </c>
    </row>
    <row r="600" spans="1:21" x14ac:dyDescent="0.35">
      <c r="A600" t="s">
        <v>722</v>
      </c>
      <c r="B600" s="5">
        <v>45935</v>
      </c>
      <c r="C600" t="s">
        <v>117</v>
      </c>
      <c r="D600" t="s">
        <v>74</v>
      </c>
      <c r="E600" s="9">
        <v>4</v>
      </c>
      <c r="F600" s="10">
        <v>95</v>
      </c>
      <c r="G600" s="11">
        <v>0.15</v>
      </c>
      <c r="H600" s="10">
        <v>323</v>
      </c>
      <c r="I600" s="9">
        <v>0</v>
      </c>
      <c r="J600" s="10">
        <v>0</v>
      </c>
      <c r="K600" s="9">
        <v>4</v>
      </c>
      <c r="L600" s="10">
        <v>323</v>
      </c>
      <c r="M600" s="10">
        <v>224.65</v>
      </c>
      <c r="N600" s="10">
        <v>98.35</v>
      </c>
      <c r="O600" s="11">
        <f t="shared" si="32"/>
        <v>0.3044891640866873</v>
      </c>
      <c r="P600" s="10">
        <v>37.97</v>
      </c>
      <c r="Q600" s="10">
        <v>60.38</v>
      </c>
      <c r="R600" s="11">
        <f t="shared" si="33"/>
        <v>0.18693498452012386</v>
      </c>
      <c r="S600" t="s">
        <v>59</v>
      </c>
      <c r="T600" t="s">
        <v>86</v>
      </c>
      <c r="U600" t="s">
        <v>76</v>
      </c>
    </row>
    <row r="601" spans="1:21" x14ac:dyDescent="0.35">
      <c r="A601" t="s">
        <v>723</v>
      </c>
      <c r="B601" s="5">
        <v>45855</v>
      </c>
      <c r="C601" t="s">
        <v>92</v>
      </c>
      <c r="D601" t="s">
        <v>79</v>
      </c>
      <c r="E601" s="9">
        <v>2</v>
      </c>
      <c r="F601" s="10">
        <v>85</v>
      </c>
      <c r="G601" s="11">
        <v>0</v>
      </c>
      <c r="H601" s="10">
        <v>170</v>
      </c>
      <c r="I601" s="9">
        <v>0</v>
      </c>
      <c r="J601" s="10">
        <v>0</v>
      </c>
      <c r="K601" s="9">
        <v>2</v>
      </c>
      <c r="L601" s="10">
        <v>170</v>
      </c>
      <c r="M601" s="10">
        <v>136.44</v>
      </c>
      <c r="N601" s="10">
        <v>33.56</v>
      </c>
      <c r="O601" s="11">
        <f t="shared" si="32"/>
        <v>0.19741176470588237</v>
      </c>
      <c r="P601" s="10">
        <v>20.260000000000002</v>
      </c>
      <c r="Q601" s="10">
        <v>13.3</v>
      </c>
      <c r="R601" s="11">
        <f t="shared" si="33"/>
        <v>7.823529411764707E-2</v>
      </c>
      <c r="S601" t="s">
        <v>75</v>
      </c>
      <c r="T601" t="s">
        <v>66</v>
      </c>
      <c r="U601" t="s">
        <v>76</v>
      </c>
    </row>
    <row r="602" spans="1:21" x14ac:dyDescent="0.35">
      <c r="A602" t="s">
        <v>724</v>
      </c>
      <c r="B602" s="5">
        <v>45993</v>
      </c>
      <c r="C602" t="s">
        <v>114</v>
      </c>
      <c r="D602" t="s">
        <v>64</v>
      </c>
      <c r="E602" s="9">
        <v>2</v>
      </c>
      <c r="F602" s="10">
        <v>420</v>
      </c>
      <c r="G602" s="11">
        <v>0.1</v>
      </c>
      <c r="H602" s="10">
        <v>756</v>
      </c>
      <c r="I602" s="9">
        <v>0</v>
      </c>
      <c r="J602" s="10">
        <v>0</v>
      </c>
      <c r="K602" s="9">
        <v>2</v>
      </c>
      <c r="L602" s="10">
        <v>756</v>
      </c>
      <c r="M602" s="10">
        <v>499.35</v>
      </c>
      <c r="N602" s="10">
        <v>256.64999999999998</v>
      </c>
      <c r="O602" s="11">
        <f t="shared" si="32"/>
        <v>0.33948412698412694</v>
      </c>
      <c r="P602" s="10">
        <v>38.6</v>
      </c>
      <c r="Q602" s="10">
        <v>218.05</v>
      </c>
      <c r="R602" s="11">
        <f t="shared" si="33"/>
        <v>0.28842592592592592</v>
      </c>
      <c r="S602" t="s">
        <v>65</v>
      </c>
      <c r="T602" t="s">
        <v>66</v>
      </c>
      <c r="U602" t="s">
        <v>61</v>
      </c>
    </row>
    <row r="603" spans="1:21" x14ac:dyDescent="0.35">
      <c r="A603" t="s">
        <v>725</v>
      </c>
      <c r="B603" s="5">
        <v>45765</v>
      </c>
      <c r="C603" t="s">
        <v>84</v>
      </c>
      <c r="D603" t="s">
        <v>85</v>
      </c>
      <c r="E603" s="9">
        <v>3</v>
      </c>
      <c r="F603" s="10">
        <v>48</v>
      </c>
      <c r="G603" s="11">
        <v>0</v>
      </c>
      <c r="H603" s="10">
        <v>144</v>
      </c>
      <c r="I603" s="9">
        <v>0</v>
      </c>
      <c r="J603" s="10">
        <v>0</v>
      </c>
      <c r="K603" s="9">
        <v>3</v>
      </c>
      <c r="L603" s="10">
        <v>144</v>
      </c>
      <c r="M603" s="10">
        <v>117.03</v>
      </c>
      <c r="N603" s="10">
        <v>26.97</v>
      </c>
      <c r="O603" s="11">
        <f t="shared" si="32"/>
        <v>0.18729166666666666</v>
      </c>
      <c r="P603" s="10">
        <v>14.18</v>
      </c>
      <c r="Q603" s="10">
        <v>12.79</v>
      </c>
      <c r="R603" s="11">
        <f t="shared" si="33"/>
        <v>8.8819444444444437E-2</v>
      </c>
      <c r="S603" t="s">
        <v>59</v>
      </c>
      <c r="T603" t="s">
        <v>82</v>
      </c>
      <c r="U603" t="s">
        <v>71</v>
      </c>
    </row>
    <row r="604" spans="1:21" x14ac:dyDescent="0.35">
      <c r="A604" t="s">
        <v>726</v>
      </c>
      <c r="B604" s="5">
        <v>45782</v>
      </c>
      <c r="C604" t="s">
        <v>90</v>
      </c>
      <c r="D604" t="s">
        <v>70</v>
      </c>
      <c r="E604" s="9">
        <v>2</v>
      </c>
      <c r="F604" s="10">
        <v>38</v>
      </c>
      <c r="G604" s="11">
        <v>0</v>
      </c>
      <c r="H604" s="10">
        <v>76</v>
      </c>
      <c r="I604" s="9">
        <v>0</v>
      </c>
      <c r="J604" s="10">
        <v>0</v>
      </c>
      <c r="K604" s="9">
        <v>2</v>
      </c>
      <c r="L604" s="10">
        <v>76</v>
      </c>
      <c r="M604" s="10">
        <v>50.04</v>
      </c>
      <c r="N604" s="10">
        <v>25.96</v>
      </c>
      <c r="O604" s="11">
        <f t="shared" si="32"/>
        <v>0.34157894736842104</v>
      </c>
      <c r="P604" s="10">
        <v>4.82</v>
      </c>
      <c r="Q604" s="10">
        <v>21.14</v>
      </c>
      <c r="R604" s="11">
        <f t="shared" si="33"/>
        <v>0.2781578947368421</v>
      </c>
      <c r="S604" t="s">
        <v>75</v>
      </c>
      <c r="T604" t="s">
        <v>66</v>
      </c>
      <c r="U604" t="s">
        <v>61</v>
      </c>
    </row>
    <row r="605" spans="1:21" x14ac:dyDescent="0.35">
      <c r="A605" t="s">
        <v>727</v>
      </c>
      <c r="B605" s="5">
        <v>45868</v>
      </c>
      <c r="C605" t="s">
        <v>109</v>
      </c>
      <c r="D605" t="s">
        <v>85</v>
      </c>
      <c r="E605" s="9">
        <v>4</v>
      </c>
      <c r="F605" s="10">
        <v>180</v>
      </c>
      <c r="G605" s="11">
        <v>0</v>
      </c>
      <c r="H605" s="10">
        <v>720</v>
      </c>
      <c r="I605" s="9">
        <v>0</v>
      </c>
      <c r="J605" s="10">
        <v>0</v>
      </c>
      <c r="K605" s="9">
        <v>4</v>
      </c>
      <c r="L605" s="10">
        <v>720</v>
      </c>
      <c r="M605" s="10">
        <v>561.03</v>
      </c>
      <c r="N605" s="10">
        <v>158.97</v>
      </c>
      <c r="O605" s="11">
        <f t="shared" ref="O605:O619" si="34">N605/L605</f>
        <v>0.22079166666666666</v>
      </c>
      <c r="P605" s="10">
        <v>59.13</v>
      </c>
      <c r="Q605" s="10">
        <v>99.84</v>
      </c>
      <c r="R605" s="11">
        <f t="shared" ref="R605:R619" si="35">Q605/L605</f>
        <v>0.13866666666666666</v>
      </c>
      <c r="S605" t="s">
        <v>81</v>
      </c>
      <c r="T605" t="s">
        <v>82</v>
      </c>
      <c r="U605" t="s">
        <v>67</v>
      </c>
    </row>
    <row r="606" spans="1:21" x14ac:dyDescent="0.35">
      <c r="A606" t="s">
        <v>728</v>
      </c>
      <c r="B606" s="5">
        <v>45693</v>
      </c>
      <c r="C606" t="s">
        <v>114</v>
      </c>
      <c r="D606" t="s">
        <v>64</v>
      </c>
      <c r="E606" s="9">
        <v>1</v>
      </c>
      <c r="F606" s="10">
        <v>420</v>
      </c>
      <c r="G606" s="11">
        <v>0</v>
      </c>
      <c r="H606" s="10">
        <v>420</v>
      </c>
      <c r="I606" s="9">
        <v>0</v>
      </c>
      <c r="J606" s="10">
        <v>0</v>
      </c>
      <c r="K606" s="9">
        <v>1</v>
      </c>
      <c r="L606" s="10">
        <v>420</v>
      </c>
      <c r="M606" s="10">
        <v>356.73</v>
      </c>
      <c r="N606" s="10">
        <v>63.27</v>
      </c>
      <c r="O606" s="11">
        <f t="shared" si="34"/>
        <v>0.15064285714285716</v>
      </c>
      <c r="P606" s="10">
        <v>32.840000000000003</v>
      </c>
      <c r="Q606" s="10">
        <v>30.43</v>
      </c>
      <c r="R606" s="11">
        <f t="shared" si="35"/>
        <v>7.2452380952380949E-2</v>
      </c>
      <c r="S606" t="s">
        <v>75</v>
      </c>
      <c r="T606" t="s">
        <v>60</v>
      </c>
      <c r="U606" t="s">
        <v>61</v>
      </c>
    </row>
    <row r="607" spans="1:21" x14ac:dyDescent="0.35">
      <c r="A607" t="s">
        <v>729</v>
      </c>
      <c r="B607" s="5">
        <v>45991</v>
      </c>
      <c r="C607" t="s">
        <v>125</v>
      </c>
      <c r="D607" t="s">
        <v>85</v>
      </c>
      <c r="E607" s="9">
        <v>1</v>
      </c>
      <c r="F607" s="10">
        <v>125</v>
      </c>
      <c r="G607" s="11">
        <v>0.05</v>
      </c>
      <c r="H607" s="10">
        <v>118.75</v>
      </c>
      <c r="I607" s="9">
        <v>0</v>
      </c>
      <c r="J607" s="10">
        <v>0</v>
      </c>
      <c r="K607" s="9">
        <v>1</v>
      </c>
      <c r="L607" s="10">
        <v>118.75</v>
      </c>
      <c r="M607" s="10">
        <v>76.72</v>
      </c>
      <c r="N607" s="10">
        <v>42.03</v>
      </c>
      <c r="O607" s="11">
        <f t="shared" si="34"/>
        <v>0.35393684210526316</v>
      </c>
      <c r="P607" s="10">
        <v>9.56</v>
      </c>
      <c r="Q607" s="10">
        <v>32.47</v>
      </c>
      <c r="R607" s="11">
        <f t="shared" si="35"/>
        <v>0.27343157894736841</v>
      </c>
      <c r="S607" t="s">
        <v>75</v>
      </c>
      <c r="T607" t="s">
        <v>82</v>
      </c>
      <c r="U607" t="s">
        <v>76</v>
      </c>
    </row>
    <row r="608" spans="1:21" x14ac:dyDescent="0.35">
      <c r="A608" t="s">
        <v>730</v>
      </c>
      <c r="B608" s="5">
        <v>45971</v>
      </c>
      <c r="C608" t="s">
        <v>73</v>
      </c>
      <c r="D608" t="s">
        <v>74</v>
      </c>
      <c r="E608" s="9">
        <v>4</v>
      </c>
      <c r="F608" s="10">
        <v>280</v>
      </c>
      <c r="G608" s="11">
        <v>0.02</v>
      </c>
      <c r="H608" s="10">
        <v>1097.5999999999999</v>
      </c>
      <c r="I608" s="9">
        <v>0</v>
      </c>
      <c r="J608" s="10">
        <v>0</v>
      </c>
      <c r="K608" s="9">
        <v>4</v>
      </c>
      <c r="L608" s="10">
        <v>1097.5999999999999</v>
      </c>
      <c r="M608" s="10">
        <v>799.13</v>
      </c>
      <c r="N608" s="10">
        <v>298.47000000000003</v>
      </c>
      <c r="O608" s="11">
        <f t="shared" si="34"/>
        <v>0.27192966472303209</v>
      </c>
      <c r="P608" s="10">
        <v>120.36</v>
      </c>
      <c r="Q608" s="10">
        <v>178.11</v>
      </c>
      <c r="R608" s="11">
        <f t="shared" si="35"/>
        <v>0.16227223032069973</v>
      </c>
      <c r="S608" t="s">
        <v>65</v>
      </c>
      <c r="T608" t="s">
        <v>60</v>
      </c>
      <c r="U608" t="s">
        <v>71</v>
      </c>
    </row>
    <row r="609" spans="1:21" x14ac:dyDescent="0.35">
      <c r="A609" t="s">
        <v>731</v>
      </c>
      <c r="B609" s="5">
        <v>45728</v>
      </c>
      <c r="C609" t="s">
        <v>264</v>
      </c>
      <c r="D609" t="s">
        <v>85</v>
      </c>
      <c r="E609" s="9">
        <v>1</v>
      </c>
      <c r="F609" s="10">
        <v>20</v>
      </c>
      <c r="G609" s="11">
        <v>0</v>
      </c>
      <c r="H609" s="10">
        <v>20</v>
      </c>
      <c r="I609" s="9">
        <v>0</v>
      </c>
      <c r="J609" s="10">
        <v>0</v>
      </c>
      <c r="K609" s="9">
        <v>1</v>
      </c>
      <c r="L609" s="10">
        <v>20</v>
      </c>
      <c r="M609" s="10">
        <v>13.91</v>
      </c>
      <c r="N609" s="10">
        <v>6.09</v>
      </c>
      <c r="O609" s="11">
        <f t="shared" si="34"/>
        <v>0.30449999999999999</v>
      </c>
      <c r="P609" s="10">
        <v>1.57</v>
      </c>
      <c r="Q609" s="10">
        <v>4.5199999999999996</v>
      </c>
      <c r="R609" s="11">
        <f t="shared" si="35"/>
        <v>0.22599999999999998</v>
      </c>
      <c r="S609" t="s">
        <v>81</v>
      </c>
      <c r="T609" t="s">
        <v>82</v>
      </c>
      <c r="U609" t="s">
        <v>71</v>
      </c>
    </row>
    <row r="610" spans="1:21" x14ac:dyDescent="0.35">
      <c r="A610" t="s">
        <v>732</v>
      </c>
      <c r="B610" s="5">
        <v>45964</v>
      </c>
      <c r="C610" t="s">
        <v>63</v>
      </c>
      <c r="D610" t="s">
        <v>64</v>
      </c>
      <c r="E610" s="9">
        <v>3</v>
      </c>
      <c r="F610" s="10">
        <v>145</v>
      </c>
      <c r="G610" s="11">
        <v>0</v>
      </c>
      <c r="H610" s="10">
        <v>435</v>
      </c>
      <c r="I610" s="9">
        <v>0</v>
      </c>
      <c r="J610" s="10">
        <v>0</v>
      </c>
      <c r="K610" s="9">
        <v>3</v>
      </c>
      <c r="L610" s="10">
        <v>435</v>
      </c>
      <c r="M610" s="10">
        <v>314.17</v>
      </c>
      <c r="N610" s="10">
        <v>120.83</v>
      </c>
      <c r="O610" s="11">
        <f t="shared" si="34"/>
        <v>0.27777011494252873</v>
      </c>
      <c r="P610" s="10">
        <v>44.64</v>
      </c>
      <c r="Q610" s="10">
        <v>76.19</v>
      </c>
      <c r="R610" s="11">
        <f t="shared" si="35"/>
        <v>0.1751494252873563</v>
      </c>
      <c r="S610" t="s">
        <v>65</v>
      </c>
      <c r="T610" t="s">
        <v>86</v>
      </c>
      <c r="U610" t="s">
        <v>61</v>
      </c>
    </row>
    <row r="611" spans="1:21" x14ac:dyDescent="0.35">
      <c r="A611" t="s">
        <v>733</v>
      </c>
      <c r="B611" s="5">
        <v>45787</v>
      </c>
      <c r="C611" t="s">
        <v>117</v>
      </c>
      <c r="D611" t="s">
        <v>74</v>
      </c>
      <c r="E611" s="9">
        <v>4</v>
      </c>
      <c r="F611" s="10">
        <v>95</v>
      </c>
      <c r="G611" s="11">
        <v>0</v>
      </c>
      <c r="H611" s="10">
        <v>380</v>
      </c>
      <c r="I611" s="9">
        <v>0</v>
      </c>
      <c r="J611" s="10">
        <v>0</v>
      </c>
      <c r="K611" s="9">
        <v>4</v>
      </c>
      <c r="L611" s="10">
        <v>380</v>
      </c>
      <c r="M611" s="10">
        <v>310.75</v>
      </c>
      <c r="N611" s="10">
        <v>69.25</v>
      </c>
      <c r="O611" s="11">
        <f t="shared" si="34"/>
        <v>0.18223684210526317</v>
      </c>
      <c r="P611" s="10">
        <v>33.26</v>
      </c>
      <c r="Q611" s="10">
        <v>35.99</v>
      </c>
      <c r="R611" s="11">
        <f t="shared" si="35"/>
        <v>9.4710526315789481E-2</v>
      </c>
      <c r="S611" t="s">
        <v>59</v>
      </c>
      <c r="T611" t="s">
        <v>86</v>
      </c>
      <c r="U611" t="s">
        <v>71</v>
      </c>
    </row>
    <row r="612" spans="1:21" x14ac:dyDescent="0.35">
      <c r="A612" t="s">
        <v>734</v>
      </c>
      <c r="B612" s="5">
        <v>45860</v>
      </c>
      <c r="C612" t="s">
        <v>56</v>
      </c>
      <c r="D612" t="s">
        <v>57</v>
      </c>
      <c r="E612" s="9">
        <v>2</v>
      </c>
      <c r="F612" s="10">
        <v>40</v>
      </c>
      <c r="G612" s="11">
        <v>0</v>
      </c>
      <c r="H612" s="10">
        <v>80</v>
      </c>
      <c r="I612" s="9">
        <v>0</v>
      </c>
      <c r="J612" s="10">
        <v>0</v>
      </c>
      <c r="K612" s="9">
        <v>2</v>
      </c>
      <c r="L612" s="10">
        <v>80</v>
      </c>
      <c r="M612" s="10">
        <v>57.52</v>
      </c>
      <c r="N612" s="10">
        <v>22.48</v>
      </c>
      <c r="O612" s="11">
        <f t="shared" si="34"/>
        <v>0.28100000000000003</v>
      </c>
      <c r="P612" s="10">
        <v>7.69</v>
      </c>
      <c r="Q612" s="10">
        <v>14.79</v>
      </c>
      <c r="R612" s="11">
        <f t="shared" si="35"/>
        <v>0.18487499999999998</v>
      </c>
      <c r="S612" t="s">
        <v>81</v>
      </c>
      <c r="T612" t="s">
        <v>66</v>
      </c>
      <c r="U612" t="s">
        <v>67</v>
      </c>
    </row>
    <row r="613" spans="1:21" x14ac:dyDescent="0.35">
      <c r="A613" t="s">
        <v>735</v>
      </c>
      <c r="B613" s="5">
        <v>45802</v>
      </c>
      <c r="C613" t="s">
        <v>117</v>
      </c>
      <c r="D613" t="s">
        <v>74</v>
      </c>
      <c r="E613" s="9">
        <v>2</v>
      </c>
      <c r="F613" s="10">
        <v>95</v>
      </c>
      <c r="G613" s="11">
        <v>0</v>
      </c>
      <c r="H613" s="10">
        <v>190</v>
      </c>
      <c r="I613" s="9">
        <v>0</v>
      </c>
      <c r="J613" s="10">
        <v>0</v>
      </c>
      <c r="K613" s="9">
        <v>2</v>
      </c>
      <c r="L613" s="10">
        <v>190</v>
      </c>
      <c r="M613" s="10">
        <v>121.47</v>
      </c>
      <c r="N613" s="10">
        <v>68.53</v>
      </c>
      <c r="O613" s="11">
        <f t="shared" si="34"/>
        <v>0.36068421052631577</v>
      </c>
      <c r="P613" s="10">
        <v>14.03</v>
      </c>
      <c r="Q613" s="10">
        <v>54.5</v>
      </c>
      <c r="R613" s="11">
        <f t="shared" si="35"/>
        <v>0.2868421052631579</v>
      </c>
      <c r="S613" t="s">
        <v>65</v>
      </c>
      <c r="T613" t="s">
        <v>66</v>
      </c>
      <c r="U613" t="s">
        <v>67</v>
      </c>
    </row>
    <row r="614" spans="1:21" x14ac:dyDescent="0.35">
      <c r="A614" t="s">
        <v>736</v>
      </c>
      <c r="B614" s="5">
        <v>45963</v>
      </c>
      <c r="C614" t="s">
        <v>100</v>
      </c>
      <c r="D614" t="s">
        <v>64</v>
      </c>
      <c r="E614" s="9">
        <v>2</v>
      </c>
      <c r="F614" s="10">
        <v>310</v>
      </c>
      <c r="G614" s="11">
        <v>0</v>
      </c>
      <c r="H614" s="10">
        <v>620</v>
      </c>
      <c r="I614" s="9">
        <v>0</v>
      </c>
      <c r="J614" s="10">
        <v>0</v>
      </c>
      <c r="K614" s="9">
        <v>2</v>
      </c>
      <c r="L614" s="10">
        <v>620</v>
      </c>
      <c r="M614" s="10">
        <v>505.27</v>
      </c>
      <c r="N614" s="10">
        <v>114.73</v>
      </c>
      <c r="O614" s="11">
        <f t="shared" si="34"/>
        <v>0.18504838709677421</v>
      </c>
      <c r="P614" s="10">
        <v>36.53</v>
      </c>
      <c r="Q614" s="10">
        <v>78.2</v>
      </c>
      <c r="R614" s="11">
        <f t="shared" si="35"/>
        <v>0.12612903225806452</v>
      </c>
      <c r="S614" t="s">
        <v>65</v>
      </c>
      <c r="T614" t="s">
        <v>82</v>
      </c>
      <c r="U614" t="s">
        <v>61</v>
      </c>
    </row>
    <row r="615" spans="1:21" x14ac:dyDescent="0.35">
      <c r="A615" t="s">
        <v>737</v>
      </c>
      <c r="B615" s="5">
        <v>45699</v>
      </c>
      <c r="C615" t="s">
        <v>264</v>
      </c>
      <c r="D615" t="s">
        <v>85</v>
      </c>
      <c r="E615" s="9">
        <v>2</v>
      </c>
      <c r="F615" s="10">
        <v>20</v>
      </c>
      <c r="G615" s="11">
        <v>0</v>
      </c>
      <c r="H615" s="10">
        <v>40</v>
      </c>
      <c r="I615" s="9">
        <v>0</v>
      </c>
      <c r="J615" s="10">
        <v>0</v>
      </c>
      <c r="K615" s="9">
        <v>2</v>
      </c>
      <c r="L615" s="10">
        <v>40</v>
      </c>
      <c r="M615" s="10">
        <v>27.51</v>
      </c>
      <c r="N615" s="10">
        <v>12.49</v>
      </c>
      <c r="O615" s="11">
        <f t="shared" si="34"/>
        <v>0.31225000000000003</v>
      </c>
      <c r="P615" s="10">
        <v>4.8099999999999996</v>
      </c>
      <c r="Q615" s="10">
        <v>7.68</v>
      </c>
      <c r="R615" s="11">
        <f t="shared" si="35"/>
        <v>0.192</v>
      </c>
      <c r="S615" t="s">
        <v>65</v>
      </c>
      <c r="T615" t="s">
        <v>86</v>
      </c>
      <c r="U615" t="s">
        <v>67</v>
      </c>
    </row>
    <row r="616" spans="1:21" x14ac:dyDescent="0.35">
      <c r="A616" t="s">
        <v>738</v>
      </c>
      <c r="B616" s="5">
        <v>45704</v>
      </c>
      <c r="C616" t="s">
        <v>90</v>
      </c>
      <c r="D616" t="s">
        <v>70</v>
      </c>
      <c r="E616" s="9">
        <v>2</v>
      </c>
      <c r="F616" s="10">
        <v>38</v>
      </c>
      <c r="G616" s="11">
        <v>0</v>
      </c>
      <c r="H616" s="10">
        <v>76</v>
      </c>
      <c r="I616" s="9">
        <v>0</v>
      </c>
      <c r="J616" s="10">
        <v>0</v>
      </c>
      <c r="K616" s="9">
        <v>2</v>
      </c>
      <c r="L616" s="10">
        <v>76</v>
      </c>
      <c r="M616" s="10">
        <v>60.98</v>
      </c>
      <c r="N616" s="10">
        <v>15.02</v>
      </c>
      <c r="O616" s="11">
        <f t="shared" si="34"/>
        <v>0.19763157894736841</v>
      </c>
      <c r="P616" s="10">
        <v>9.59</v>
      </c>
      <c r="Q616" s="10">
        <v>5.43</v>
      </c>
      <c r="R616" s="11">
        <f t="shared" si="35"/>
        <v>7.1447368421052634E-2</v>
      </c>
      <c r="S616" t="s">
        <v>59</v>
      </c>
      <c r="T616" t="s">
        <v>86</v>
      </c>
      <c r="U616" t="s">
        <v>67</v>
      </c>
    </row>
    <row r="617" spans="1:21" x14ac:dyDescent="0.35">
      <c r="A617" t="s">
        <v>739</v>
      </c>
      <c r="B617" s="5">
        <v>45874</v>
      </c>
      <c r="C617" t="s">
        <v>90</v>
      </c>
      <c r="D617" t="s">
        <v>70</v>
      </c>
      <c r="E617" s="9">
        <v>2</v>
      </c>
      <c r="F617" s="10">
        <v>38</v>
      </c>
      <c r="G617" s="11">
        <v>0</v>
      </c>
      <c r="H617" s="10">
        <v>76</v>
      </c>
      <c r="I617" s="9">
        <v>0</v>
      </c>
      <c r="J617" s="10">
        <v>0</v>
      </c>
      <c r="K617" s="9">
        <v>2</v>
      </c>
      <c r="L617" s="10">
        <v>76</v>
      </c>
      <c r="M617" s="10">
        <v>51.26</v>
      </c>
      <c r="N617" s="10">
        <v>24.74</v>
      </c>
      <c r="O617" s="11">
        <f t="shared" si="34"/>
        <v>0.32552631578947366</v>
      </c>
      <c r="P617" s="10">
        <v>9.39</v>
      </c>
      <c r="Q617" s="10">
        <v>15.35</v>
      </c>
      <c r="R617" s="11">
        <f t="shared" si="35"/>
        <v>0.20197368421052631</v>
      </c>
      <c r="S617" t="s">
        <v>81</v>
      </c>
      <c r="T617" t="s">
        <v>82</v>
      </c>
      <c r="U617" t="s">
        <v>71</v>
      </c>
    </row>
    <row r="618" spans="1:21" x14ac:dyDescent="0.35">
      <c r="A618" t="s">
        <v>740</v>
      </c>
      <c r="B618" s="5">
        <v>45733</v>
      </c>
      <c r="C618" t="s">
        <v>107</v>
      </c>
      <c r="D618" t="s">
        <v>74</v>
      </c>
      <c r="E618" s="9">
        <v>3</v>
      </c>
      <c r="F618" s="10">
        <v>125</v>
      </c>
      <c r="G618" s="11">
        <v>0</v>
      </c>
      <c r="H618" s="10">
        <v>375</v>
      </c>
      <c r="I618" s="9">
        <v>0</v>
      </c>
      <c r="J618" s="10">
        <v>0</v>
      </c>
      <c r="K618" s="9">
        <v>3</v>
      </c>
      <c r="L618" s="10">
        <v>375</v>
      </c>
      <c r="M618" s="10">
        <v>264.14999999999998</v>
      </c>
      <c r="N618" s="10">
        <v>110.85</v>
      </c>
      <c r="O618" s="11">
        <f t="shared" si="34"/>
        <v>0.29559999999999997</v>
      </c>
      <c r="P618" s="10">
        <v>35.82</v>
      </c>
      <c r="Q618" s="10">
        <v>75.03</v>
      </c>
      <c r="R618" s="11">
        <f t="shared" si="35"/>
        <v>0.20008000000000001</v>
      </c>
      <c r="S618" t="s">
        <v>75</v>
      </c>
      <c r="T618" t="s">
        <v>86</v>
      </c>
      <c r="U618" t="s">
        <v>76</v>
      </c>
    </row>
    <row r="619" spans="1:21" x14ac:dyDescent="0.35">
      <c r="A619" t="s">
        <v>741</v>
      </c>
      <c r="B619" s="5">
        <v>45920</v>
      </c>
      <c r="C619" t="s">
        <v>95</v>
      </c>
      <c r="D619" t="s">
        <v>64</v>
      </c>
      <c r="E619" s="9">
        <v>2</v>
      </c>
      <c r="F619" s="10">
        <v>52</v>
      </c>
      <c r="G619" s="11">
        <v>0.05</v>
      </c>
      <c r="H619" s="10">
        <v>98.8</v>
      </c>
      <c r="I619" s="9">
        <v>0</v>
      </c>
      <c r="J619" s="10">
        <v>0</v>
      </c>
      <c r="K619" s="9">
        <v>2</v>
      </c>
      <c r="L619" s="10">
        <v>98.8</v>
      </c>
      <c r="M619" s="10">
        <v>69.87</v>
      </c>
      <c r="N619" s="10">
        <v>28.93</v>
      </c>
      <c r="O619" s="11">
        <f t="shared" si="34"/>
        <v>0.29281376518218621</v>
      </c>
      <c r="P619" s="10">
        <v>12.38</v>
      </c>
      <c r="Q619" s="10">
        <v>16.55</v>
      </c>
      <c r="R619" s="11">
        <f t="shared" si="35"/>
        <v>0.16751012145748989</v>
      </c>
      <c r="S619" t="s">
        <v>81</v>
      </c>
      <c r="T619" t="s">
        <v>82</v>
      </c>
      <c r="U619" t="s">
        <v>61</v>
      </c>
    </row>
    <row r="620" spans="1:21" x14ac:dyDescent="0.35">
      <c r="A620" t="s">
        <v>742</v>
      </c>
      <c r="B620" s="5">
        <v>45857</v>
      </c>
      <c r="C620" t="s">
        <v>117</v>
      </c>
      <c r="D620" t="s">
        <v>74</v>
      </c>
      <c r="E620" s="9">
        <v>1</v>
      </c>
      <c r="F620" s="10">
        <v>95</v>
      </c>
      <c r="G620" s="11">
        <v>0.05</v>
      </c>
      <c r="H620" s="10">
        <v>90.25</v>
      </c>
      <c r="I620" s="9">
        <v>1</v>
      </c>
      <c r="J620" s="10">
        <v>90.25</v>
      </c>
      <c r="K620" s="9">
        <v>0</v>
      </c>
      <c r="L620" s="10">
        <v>0</v>
      </c>
      <c r="M620" s="10">
        <v>0</v>
      </c>
      <c r="N620" s="10">
        <v>0</v>
      </c>
      <c r="O620" s="11">
        <v>0</v>
      </c>
      <c r="P620" s="10">
        <v>0</v>
      </c>
      <c r="Q620" s="10">
        <v>0</v>
      </c>
      <c r="R620" s="11">
        <v>0</v>
      </c>
      <c r="S620" t="s">
        <v>75</v>
      </c>
      <c r="T620" t="s">
        <v>60</v>
      </c>
      <c r="U620" t="s">
        <v>61</v>
      </c>
    </row>
    <row r="621" spans="1:21" x14ac:dyDescent="0.35">
      <c r="A621" t="s">
        <v>743</v>
      </c>
      <c r="B621" s="5">
        <v>45856</v>
      </c>
      <c r="C621" t="s">
        <v>109</v>
      </c>
      <c r="D621" t="s">
        <v>85</v>
      </c>
      <c r="E621" s="9">
        <v>4</v>
      </c>
      <c r="F621" s="10">
        <v>180</v>
      </c>
      <c r="G621" s="11">
        <v>0</v>
      </c>
      <c r="H621" s="10">
        <v>720</v>
      </c>
      <c r="I621" s="9">
        <v>0</v>
      </c>
      <c r="J621" s="10">
        <v>0</v>
      </c>
      <c r="K621" s="9">
        <v>4</v>
      </c>
      <c r="L621" s="10">
        <v>720</v>
      </c>
      <c r="M621" s="10">
        <v>575.89</v>
      </c>
      <c r="N621" s="10">
        <v>144.11000000000001</v>
      </c>
      <c r="O621" s="11">
        <f t="shared" ref="O621:O631" si="36">N621/L621</f>
        <v>0.20015277777777779</v>
      </c>
      <c r="P621" s="10">
        <v>47.75</v>
      </c>
      <c r="Q621" s="10">
        <v>96.36</v>
      </c>
      <c r="R621" s="11">
        <f t="shared" ref="R621:R631" si="37">Q621/L621</f>
        <v>0.13383333333333333</v>
      </c>
      <c r="S621" t="s">
        <v>75</v>
      </c>
      <c r="T621" t="s">
        <v>82</v>
      </c>
      <c r="U621" t="s">
        <v>67</v>
      </c>
    </row>
    <row r="622" spans="1:21" x14ac:dyDescent="0.35">
      <c r="A622" t="s">
        <v>744</v>
      </c>
      <c r="B622" s="5">
        <v>45765</v>
      </c>
      <c r="C622" t="s">
        <v>90</v>
      </c>
      <c r="D622" t="s">
        <v>70</v>
      </c>
      <c r="E622" s="9">
        <v>2</v>
      </c>
      <c r="F622" s="10">
        <v>38</v>
      </c>
      <c r="G622" s="11">
        <v>0</v>
      </c>
      <c r="H622" s="10">
        <v>76</v>
      </c>
      <c r="I622" s="9">
        <v>0</v>
      </c>
      <c r="J622" s="10">
        <v>0</v>
      </c>
      <c r="K622" s="9">
        <v>2</v>
      </c>
      <c r="L622" s="10">
        <v>76</v>
      </c>
      <c r="M622" s="10">
        <v>56.81</v>
      </c>
      <c r="N622" s="10">
        <v>19.190000000000001</v>
      </c>
      <c r="O622" s="11">
        <f t="shared" si="36"/>
        <v>0.2525</v>
      </c>
      <c r="P622" s="10">
        <v>7.53</v>
      </c>
      <c r="Q622" s="10">
        <v>11.66</v>
      </c>
      <c r="R622" s="11">
        <f t="shared" si="37"/>
        <v>0.15342105263157896</v>
      </c>
      <c r="S622" t="s">
        <v>81</v>
      </c>
      <c r="T622" t="s">
        <v>66</v>
      </c>
      <c r="U622" t="s">
        <v>61</v>
      </c>
    </row>
    <row r="623" spans="1:21" x14ac:dyDescent="0.35">
      <c r="A623" t="s">
        <v>745</v>
      </c>
      <c r="B623" s="5">
        <v>45961</v>
      </c>
      <c r="C623" t="s">
        <v>69</v>
      </c>
      <c r="D623" t="s">
        <v>70</v>
      </c>
      <c r="E623" s="9">
        <v>3</v>
      </c>
      <c r="F623" s="10">
        <v>210</v>
      </c>
      <c r="G623" s="11">
        <v>0.02</v>
      </c>
      <c r="H623" s="10">
        <v>617.4</v>
      </c>
      <c r="I623" s="9">
        <v>0</v>
      </c>
      <c r="J623" s="10">
        <v>0</v>
      </c>
      <c r="K623" s="9">
        <v>3</v>
      </c>
      <c r="L623" s="10">
        <v>617.4</v>
      </c>
      <c r="M623" s="10">
        <v>483.65</v>
      </c>
      <c r="N623" s="10">
        <v>133.75</v>
      </c>
      <c r="O623" s="11">
        <f t="shared" si="36"/>
        <v>0.21663427275672176</v>
      </c>
      <c r="P623" s="10">
        <v>56.11</v>
      </c>
      <c r="Q623" s="10">
        <v>77.64</v>
      </c>
      <c r="R623" s="11">
        <f t="shared" si="37"/>
        <v>0.12575315840621965</v>
      </c>
      <c r="S623" t="s">
        <v>65</v>
      </c>
      <c r="T623" t="s">
        <v>86</v>
      </c>
      <c r="U623" t="s">
        <v>71</v>
      </c>
    </row>
    <row r="624" spans="1:21" x14ac:dyDescent="0.35">
      <c r="A624" t="s">
        <v>746</v>
      </c>
      <c r="B624" s="5">
        <v>45741</v>
      </c>
      <c r="C624" t="s">
        <v>84</v>
      </c>
      <c r="D624" t="s">
        <v>85</v>
      </c>
      <c r="E624" s="9">
        <v>10</v>
      </c>
      <c r="F624" s="10">
        <v>48</v>
      </c>
      <c r="G624" s="11">
        <v>0</v>
      </c>
      <c r="H624" s="10">
        <v>480</v>
      </c>
      <c r="I624" s="9">
        <v>0</v>
      </c>
      <c r="J624" s="10">
        <v>0</v>
      </c>
      <c r="K624" s="9">
        <v>10</v>
      </c>
      <c r="L624" s="10">
        <v>480</v>
      </c>
      <c r="M624" s="10">
        <v>374.01</v>
      </c>
      <c r="N624" s="10">
        <v>105.99</v>
      </c>
      <c r="O624" s="11">
        <f t="shared" si="36"/>
        <v>0.22081249999999999</v>
      </c>
      <c r="P624" s="10">
        <v>45.15</v>
      </c>
      <c r="Q624" s="10">
        <v>60.84</v>
      </c>
      <c r="R624" s="11">
        <f t="shared" si="37"/>
        <v>0.12675</v>
      </c>
      <c r="S624" t="s">
        <v>65</v>
      </c>
      <c r="T624" t="s">
        <v>60</v>
      </c>
      <c r="U624" t="s">
        <v>71</v>
      </c>
    </row>
    <row r="625" spans="1:21" x14ac:dyDescent="0.35">
      <c r="A625" t="s">
        <v>747</v>
      </c>
      <c r="B625" s="5">
        <v>45701</v>
      </c>
      <c r="C625" t="s">
        <v>95</v>
      </c>
      <c r="D625" t="s">
        <v>64</v>
      </c>
      <c r="E625" s="9">
        <v>3</v>
      </c>
      <c r="F625" s="10">
        <v>52</v>
      </c>
      <c r="G625" s="11">
        <v>0.05</v>
      </c>
      <c r="H625" s="10">
        <v>148.19999999999999</v>
      </c>
      <c r="I625" s="9">
        <v>0</v>
      </c>
      <c r="J625" s="10">
        <v>0</v>
      </c>
      <c r="K625" s="9">
        <v>3</v>
      </c>
      <c r="L625" s="10">
        <v>148.19999999999999</v>
      </c>
      <c r="M625" s="10">
        <v>122.31</v>
      </c>
      <c r="N625" s="10">
        <v>25.89</v>
      </c>
      <c r="O625" s="11">
        <f t="shared" si="36"/>
        <v>0.17469635627530367</v>
      </c>
      <c r="P625" s="10">
        <v>11.08</v>
      </c>
      <c r="Q625" s="10">
        <v>14.81</v>
      </c>
      <c r="R625" s="11">
        <f t="shared" si="37"/>
        <v>9.9932523616734159E-2</v>
      </c>
      <c r="S625" t="s">
        <v>75</v>
      </c>
      <c r="T625" t="s">
        <v>82</v>
      </c>
      <c r="U625" t="s">
        <v>71</v>
      </c>
    </row>
    <row r="626" spans="1:21" x14ac:dyDescent="0.35">
      <c r="A626" t="s">
        <v>748</v>
      </c>
      <c r="B626" s="5">
        <v>45708</v>
      </c>
      <c r="C626" t="s">
        <v>90</v>
      </c>
      <c r="D626" t="s">
        <v>70</v>
      </c>
      <c r="E626" s="9">
        <v>6</v>
      </c>
      <c r="F626" s="10">
        <v>38</v>
      </c>
      <c r="G626" s="11">
        <v>0</v>
      </c>
      <c r="H626" s="10">
        <v>228</v>
      </c>
      <c r="I626" s="9">
        <v>0</v>
      </c>
      <c r="J626" s="10">
        <v>0</v>
      </c>
      <c r="K626" s="9">
        <v>6</v>
      </c>
      <c r="L626" s="10">
        <v>228</v>
      </c>
      <c r="M626" s="10">
        <v>159.30000000000001</v>
      </c>
      <c r="N626" s="10">
        <v>68.7</v>
      </c>
      <c r="O626" s="11">
        <f t="shared" si="36"/>
        <v>0.3013157894736842</v>
      </c>
      <c r="P626" s="10">
        <v>22.29</v>
      </c>
      <c r="Q626" s="10">
        <v>46.41</v>
      </c>
      <c r="R626" s="11">
        <f t="shared" si="37"/>
        <v>0.20355263157894735</v>
      </c>
      <c r="S626" t="s">
        <v>65</v>
      </c>
      <c r="T626" t="s">
        <v>60</v>
      </c>
      <c r="U626" t="s">
        <v>61</v>
      </c>
    </row>
    <row r="627" spans="1:21" x14ac:dyDescent="0.35">
      <c r="A627" t="s">
        <v>749</v>
      </c>
      <c r="B627" s="5">
        <v>45726</v>
      </c>
      <c r="C627" t="s">
        <v>117</v>
      </c>
      <c r="D627" t="s">
        <v>74</v>
      </c>
      <c r="E627" s="9">
        <v>3</v>
      </c>
      <c r="F627" s="10">
        <v>95</v>
      </c>
      <c r="G627" s="11">
        <v>0</v>
      </c>
      <c r="H627" s="10">
        <v>285</v>
      </c>
      <c r="I627" s="9">
        <v>0</v>
      </c>
      <c r="J627" s="10">
        <v>0</v>
      </c>
      <c r="K627" s="9">
        <v>3</v>
      </c>
      <c r="L627" s="10">
        <v>285</v>
      </c>
      <c r="M627" s="10">
        <v>234.94</v>
      </c>
      <c r="N627" s="10">
        <v>50.06</v>
      </c>
      <c r="O627" s="11">
        <f t="shared" si="36"/>
        <v>0.17564912280701755</v>
      </c>
      <c r="P627" s="10">
        <v>22.37</v>
      </c>
      <c r="Q627" s="10">
        <v>27.69</v>
      </c>
      <c r="R627" s="11">
        <f t="shared" si="37"/>
        <v>9.715789473684211E-2</v>
      </c>
      <c r="S627" t="s">
        <v>59</v>
      </c>
      <c r="T627" t="s">
        <v>60</v>
      </c>
      <c r="U627" t="s">
        <v>61</v>
      </c>
    </row>
    <row r="628" spans="1:21" x14ac:dyDescent="0.35">
      <c r="A628" t="s">
        <v>750</v>
      </c>
      <c r="B628" s="5">
        <v>45674</v>
      </c>
      <c r="C628" t="s">
        <v>95</v>
      </c>
      <c r="D628" t="s">
        <v>64</v>
      </c>
      <c r="E628" s="9">
        <v>1</v>
      </c>
      <c r="F628" s="10">
        <v>52</v>
      </c>
      <c r="G628" s="11">
        <v>0.05</v>
      </c>
      <c r="H628" s="10">
        <v>49.4</v>
      </c>
      <c r="I628" s="9">
        <v>0</v>
      </c>
      <c r="J628" s="10">
        <v>0</v>
      </c>
      <c r="K628" s="9">
        <v>1</v>
      </c>
      <c r="L628" s="10">
        <v>49.4</v>
      </c>
      <c r="M628" s="10">
        <v>36.979999999999997</v>
      </c>
      <c r="N628" s="10">
        <v>12.42</v>
      </c>
      <c r="O628" s="11">
        <f t="shared" si="36"/>
        <v>0.25141700404858303</v>
      </c>
      <c r="P628" s="10">
        <v>3.25</v>
      </c>
      <c r="Q628" s="10">
        <v>9.17</v>
      </c>
      <c r="R628" s="11">
        <f t="shared" si="37"/>
        <v>0.18562753036437246</v>
      </c>
      <c r="S628" t="s">
        <v>81</v>
      </c>
      <c r="T628" t="s">
        <v>66</v>
      </c>
      <c r="U628" t="s">
        <v>61</v>
      </c>
    </row>
    <row r="629" spans="1:21" x14ac:dyDescent="0.35">
      <c r="A629" t="s">
        <v>751</v>
      </c>
      <c r="B629" s="5">
        <v>45923</v>
      </c>
      <c r="C629" t="s">
        <v>264</v>
      </c>
      <c r="D629" t="s">
        <v>85</v>
      </c>
      <c r="E629" s="9">
        <v>4</v>
      </c>
      <c r="F629" s="10">
        <v>20</v>
      </c>
      <c r="G629" s="11">
        <v>0.1</v>
      </c>
      <c r="H629" s="10">
        <v>72</v>
      </c>
      <c r="I629" s="9">
        <v>0</v>
      </c>
      <c r="J629" s="10">
        <v>0</v>
      </c>
      <c r="K629" s="9">
        <v>4</v>
      </c>
      <c r="L629" s="10">
        <v>72</v>
      </c>
      <c r="M629" s="10">
        <v>57.41</v>
      </c>
      <c r="N629" s="10">
        <v>14.59</v>
      </c>
      <c r="O629" s="11">
        <f t="shared" si="36"/>
        <v>0.2026388888888889</v>
      </c>
      <c r="P629" s="10">
        <v>5.13</v>
      </c>
      <c r="Q629" s="10">
        <v>9.4600000000000009</v>
      </c>
      <c r="R629" s="11">
        <f t="shared" si="37"/>
        <v>0.13138888888888889</v>
      </c>
      <c r="S629" t="s">
        <v>65</v>
      </c>
      <c r="T629" t="s">
        <v>82</v>
      </c>
      <c r="U629" t="s">
        <v>61</v>
      </c>
    </row>
    <row r="630" spans="1:21" x14ac:dyDescent="0.35">
      <c r="A630" t="s">
        <v>752</v>
      </c>
      <c r="B630" s="5">
        <v>45914</v>
      </c>
      <c r="C630" t="s">
        <v>121</v>
      </c>
      <c r="D630" t="s">
        <v>70</v>
      </c>
      <c r="E630" s="9">
        <v>3</v>
      </c>
      <c r="F630" s="10">
        <v>110</v>
      </c>
      <c r="G630" s="11">
        <v>0.05</v>
      </c>
      <c r="H630" s="10">
        <v>313.5</v>
      </c>
      <c r="I630" s="9">
        <v>0</v>
      </c>
      <c r="J630" s="10">
        <v>0</v>
      </c>
      <c r="K630" s="9">
        <v>3</v>
      </c>
      <c r="L630" s="10">
        <v>313.5</v>
      </c>
      <c r="M630" s="10">
        <v>202</v>
      </c>
      <c r="N630" s="10">
        <v>111.5</v>
      </c>
      <c r="O630" s="11">
        <f t="shared" si="36"/>
        <v>0.35566188197767146</v>
      </c>
      <c r="P630" s="10">
        <v>36.03</v>
      </c>
      <c r="Q630" s="10">
        <v>75.47</v>
      </c>
      <c r="R630" s="11">
        <f t="shared" si="37"/>
        <v>0.24073365231259969</v>
      </c>
      <c r="S630" t="s">
        <v>65</v>
      </c>
      <c r="T630" t="s">
        <v>60</v>
      </c>
      <c r="U630" t="s">
        <v>61</v>
      </c>
    </row>
    <row r="631" spans="1:21" x14ac:dyDescent="0.35">
      <c r="A631" t="s">
        <v>753</v>
      </c>
      <c r="B631" s="5">
        <v>45787</v>
      </c>
      <c r="C631" t="s">
        <v>84</v>
      </c>
      <c r="D631" t="s">
        <v>85</v>
      </c>
      <c r="E631" s="9">
        <v>1</v>
      </c>
      <c r="F631" s="10">
        <v>48</v>
      </c>
      <c r="G631" s="11">
        <v>0</v>
      </c>
      <c r="H631" s="10">
        <v>48</v>
      </c>
      <c r="I631" s="9">
        <v>0</v>
      </c>
      <c r="J631" s="10">
        <v>0</v>
      </c>
      <c r="K631" s="9">
        <v>1</v>
      </c>
      <c r="L631" s="10">
        <v>48</v>
      </c>
      <c r="M631" s="10">
        <v>36.869999999999997</v>
      </c>
      <c r="N631" s="10">
        <v>11.13</v>
      </c>
      <c r="O631" s="11">
        <f t="shared" si="36"/>
        <v>0.23187500000000003</v>
      </c>
      <c r="P631" s="10">
        <v>5.19</v>
      </c>
      <c r="Q631" s="10">
        <v>5.94</v>
      </c>
      <c r="R631" s="11">
        <f t="shared" si="37"/>
        <v>0.12375000000000001</v>
      </c>
      <c r="S631" t="s">
        <v>65</v>
      </c>
      <c r="T631" t="s">
        <v>66</v>
      </c>
      <c r="U631" t="s">
        <v>71</v>
      </c>
    </row>
    <row r="632" spans="1:21" x14ac:dyDescent="0.35">
      <c r="A632" t="s">
        <v>754</v>
      </c>
      <c r="B632" s="5">
        <v>45665</v>
      </c>
      <c r="C632" t="s">
        <v>100</v>
      </c>
      <c r="D632" t="s">
        <v>64</v>
      </c>
      <c r="E632" s="9">
        <v>1</v>
      </c>
      <c r="F632" s="10">
        <v>310</v>
      </c>
      <c r="G632" s="11">
        <v>0</v>
      </c>
      <c r="H632" s="10">
        <v>310</v>
      </c>
      <c r="I632" s="9">
        <v>1</v>
      </c>
      <c r="J632" s="10">
        <v>310</v>
      </c>
      <c r="K632" s="9">
        <v>0</v>
      </c>
      <c r="L632" s="10">
        <v>0</v>
      </c>
      <c r="M632" s="10">
        <v>0</v>
      </c>
      <c r="N632" s="10">
        <v>0</v>
      </c>
      <c r="O632" s="11">
        <v>0</v>
      </c>
      <c r="P632" s="10">
        <v>0</v>
      </c>
      <c r="Q632" s="10">
        <v>0</v>
      </c>
      <c r="R632" s="11">
        <v>0</v>
      </c>
      <c r="S632" t="s">
        <v>81</v>
      </c>
      <c r="T632" t="s">
        <v>60</v>
      </c>
      <c r="U632" t="s">
        <v>61</v>
      </c>
    </row>
    <row r="633" spans="1:21" x14ac:dyDescent="0.35">
      <c r="A633" t="s">
        <v>756</v>
      </c>
      <c r="B633" s="5">
        <v>45671</v>
      </c>
      <c r="C633" t="s">
        <v>63</v>
      </c>
      <c r="D633" t="s">
        <v>64</v>
      </c>
      <c r="E633" s="9">
        <v>1</v>
      </c>
      <c r="F633" s="10">
        <v>145</v>
      </c>
      <c r="G633" s="11">
        <v>0.05</v>
      </c>
      <c r="H633" s="10">
        <v>137.75</v>
      </c>
      <c r="I633" s="9">
        <v>0</v>
      </c>
      <c r="J633" s="10">
        <v>0</v>
      </c>
      <c r="K633" s="9">
        <v>1</v>
      </c>
      <c r="L633" s="10">
        <v>137.75</v>
      </c>
      <c r="M633" s="10">
        <v>91.55</v>
      </c>
      <c r="N633" s="10">
        <v>46.2</v>
      </c>
      <c r="O633" s="11">
        <f t="shared" ref="O633:O642" si="38">N633/L633</f>
        <v>0.3353901996370236</v>
      </c>
      <c r="P633" s="10">
        <v>11.69</v>
      </c>
      <c r="Q633" s="10">
        <v>34.51</v>
      </c>
      <c r="R633" s="11">
        <f t="shared" ref="R633:R642" si="39">Q633/L633</f>
        <v>0.25052631578947365</v>
      </c>
      <c r="S633" t="s">
        <v>65</v>
      </c>
      <c r="T633" t="s">
        <v>82</v>
      </c>
      <c r="U633" t="s">
        <v>71</v>
      </c>
    </row>
    <row r="634" spans="1:21" x14ac:dyDescent="0.35">
      <c r="A634" t="s">
        <v>757</v>
      </c>
      <c r="B634" s="5">
        <v>45951</v>
      </c>
      <c r="C634" t="s">
        <v>69</v>
      </c>
      <c r="D634" t="s">
        <v>70</v>
      </c>
      <c r="E634" s="9">
        <v>2</v>
      </c>
      <c r="F634" s="10">
        <v>210</v>
      </c>
      <c r="G634" s="11">
        <v>0.1</v>
      </c>
      <c r="H634" s="10">
        <v>378</v>
      </c>
      <c r="I634" s="9">
        <v>0</v>
      </c>
      <c r="J634" s="10">
        <v>0</v>
      </c>
      <c r="K634" s="9">
        <v>2</v>
      </c>
      <c r="L634" s="10">
        <v>378</v>
      </c>
      <c r="M634" s="10">
        <v>318.06</v>
      </c>
      <c r="N634" s="10">
        <v>59.94</v>
      </c>
      <c r="O634" s="11">
        <f t="shared" si="38"/>
        <v>0.15857142857142856</v>
      </c>
      <c r="P634" s="10">
        <v>28.82</v>
      </c>
      <c r="Q634" s="10">
        <v>31.12</v>
      </c>
      <c r="R634" s="11">
        <f t="shared" si="39"/>
        <v>8.2328042328042333E-2</v>
      </c>
      <c r="S634" t="s">
        <v>81</v>
      </c>
      <c r="T634" t="s">
        <v>66</v>
      </c>
      <c r="U634" t="s">
        <v>61</v>
      </c>
    </row>
    <row r="635" spans="1:21" x14ac:dyDescent="0.35">
      <c r="A635" t="s">
        <v>758</v>
      </c>
      <c r="B635" s="5">
        <v>45708</v>
      </c>
      <c r="C635" t="s">
        <v>69</v>
      </c>
      <c r="D635" t="s">
        <v>70</v>
      </c>
      <c r="E635" s="9">
        <v>6</v>
      </c>
      <c r="F635" s="10">
        <v>210</v>
      </c>
      <c r="G635" s="11">
        <v>0</v>
      </c>
      <c r="H635" s="10">
        <v>1260</v>
      </c>
      <c r="I635" s="9">
        <v>0</v>
      </c>
      <c r="J635" s="10">
        <v>0</v>
      </c>
      <c r="K635" s="9">
        <v>6</v>
      </c>
      <c r="L635" s="10">
        <v>1260</v>
      </c>
      <c r="M635" s="10">
        <v>796.22</v>
      </c>
      <c r="N635" s="10">
        <v>463.78</v>
      </c>
      <c r="O635" s="11">
        <f t="shared" si="38"/>
        <v>0.36807936507936506</v>
      </c>
      <c r="P635" s="10">
        <v>69.36</v>
      </c>
      <c r="Q635" s="10">
        <v>394.42</v>
      </c>
      <c r="R635" s="11">
        <f t="shared" si="39"/>
        <v>0.31303174603174605</v>
      </c>
      <c r="S635" t="s">
        <v>81</v>
      </c>
      <c r="T635" t="s">
        <v>86</v>
      </c>
      <c r="U635" t="s">
        <v>61</v>
      </c>
    </row>
    <row r="636" spans="1:21" x14ac:dyDescent="0.35">
      <c r="A636" t="s">
        <v>759</v>
      </c>
      <c r="B636" s="5">
        <v>45970</v>
      </c>
      <c r="C636" t="s">
        <v>109</v>
      </c>
      <c r="D636" t="s">
        <v>85</v>
      </c>
      <c r="E636" s="9">
        <v>3</v>
      </c>
      <c r="F636" s="10">
        <v>180</v>
      </c>
      <c r="G636" s="11">
        <v>0</v>
      </c>
      <c r="H636" s="10">
        <v>540</v>
      </c>
      <c r="I636" s="9">
        <v>0</v>
      </c>
      <c r="J636" s="10">
        <v>0</v>
      </c>
      <c r="K636" s="9">
        <v>3</v>
      </c>
      <c r="L636" s="10">
        <v>540</v>
      </c>
      <c r="M636" s="10">
        <v>397.46</v>
      </c>
      <c r="N636" s="10">
        <v>142.54</v>
      </c>
      <c r="O636" s="11">
        <f t="shared" si="38"/>
        <v>0.26396296296296295</v>
      </c>
      <c r="P636" s="10">
        <v>30.24</v>
      </c>
      <c r="Q636" s="10">
        <v>112.3</v>
      </c>
      <c r="R636" s="11">
        <f t="shared" si="39"/>
        <v>0.20796296296296296</v>
      </c>
      <c r="S636" t="s">
        <v>65</v>
      </c>
      <c r="T636" t="s">
        <v>86</v>
      </c>
      <c r="U636" t="s">
        <v>61</v>
      </c>
    </row>
    <row r="637" spans="1:21" x14ac:dyDescent="0.35">
      <c r="A637" t="s">
        <v>760</v>
      </c>
      <c r="B637" s="5">
        <v>45682</v>
      </c>
      <c r="C637" t="s">
        <v>117</v>
      </c>
      <c r="D637" t="s">
        <v>74</v>
      </c>
      <c r="E637" s="9">
        <v>1</v>
      </c>
      <c r="F637" s="10">
        <v>95</v>
      </c>
      <c r="G637" s="11">
        <v>0</v>
      </c>
      <c r="H637" s="10">
        <v>95</v>
      </c>
      <c r="I637" s="9">
        <v>0</v>
      </c>
      <c r="J637" s="10">
        <v>0</v>
      </c>
      <c r="K637" s="9">
        <v>1</v>
      </c>
      <c r="L637" s="10">
        <v>95</v>
      </c>
      <c r="M637" s="10">
        <v>77.78</v>
      </c>
      <c r="N637" s="10">
        <v>17.22</v>
      </c>
      <c r="O637" s="11">
        <f t="shared" si="38"/>
        <v>0.18126315789473682</v>
      </c>
      <c r="P637" s="10">
        <v>12.21</v>
      </c>
      <c r="Q637" s="10">
        <v>5.01</v>
      </c>
      <c r="R637" s="11">
        <f t="shared" si="39"/>
        <v>5.2736842105263158E-2</v>
      </c>
      <c r="S637" t="s">
        <v>59</v>
      </c>
      <c r="T637" t="s">
        <v>60</v>
      </c>
      <c r="U637" t="s">
        <v>71</v>
      </c>
    </row>
    <row r="638" spans="1:21" x14ac:dyDescent="0.35">
      <c r="A638" t="s">
        <v>761</v>
      </c>
      <c r="B638" s="5">
        <v>45915</v>
      </c>
      <c r="C638" t="s">
        <v>104</v>
      </c>
      <c r="D638" t="s">
        <v>105</v>
      </c>
      <c r="E638" s="9">
        <v>2</v>
      </c>
      <c r="F638" s="10">
        <v>65</v>
      </c>
      <c r="G638" s="11">
        <v>0</v>
      </c>
      <c r="H638" s="10">
        <v>130</v>
      </c>
      <c r="I638" s="9">
        <v>0</v>
      </c>
      <c r="J638" s="10">
        <v>0</v>
      </c>
      <c r="K638" s="9">
        <v>2</v>
      </c>
      <c r="L638" s="10">
        <v>130</v>
      </c>
      <c r="M638" s="10">
        <v>103.04</v>
      </c>
      <c r="N638" s="10">
        <v>26.96</v>
      </c>
      <c r="O638" s="11">
        <f t="shared" si="38"/>
        <v>0.20738461538461539</v>
      </c>
      <c r="P638" s="10">
        <v>16.32</v>
      </c>
      <c r="Q638" s="10">
        <v>10.64</v>
      </c>
      <c r="R638" s="11">
        <f t="shared" si="39"/>
        <v>8.1846153846153846E-2</v>
      </c>
      <c r="S638" t="s">
        <v>81</v>
      </c>
      <c r="T638" t="s">
        <v>60</v>
      </c>
      <c r="U638" t="s">
        <v>67</v>
      </c>
    </row>
    <row r="639" spans="1:21" x14ac:dyDescent="0.35">
      <c r="A639" t="s">
        <v>762</v>
      </c>
      <c r="B639" s="5">
        <v>45745</v>
      </c>
      <c r="C639" t="s">
        <v>125</v>
      </c>
      <c r="D639" t="s">
        <v>85</v>
      </c>
      <c r="E639" s="9">
        <v>1</v>
      </c>
      <c r="F639" s="10">
        <v>125</v>
      </c>
      <c r="G639" s="11">
        <v>0</v>
      </c>
      <c r="H639" s="10">
        <v>125</v>
      </c>
      <c r="I639" s="9">
        <v>0</v>
      </c>
      <c r="J639" s="10">
        <v>0</v>
      </c>
      <c r="K639" s="9">
        <v>1</v>
      </c>
      <c r="L639" s="10">
        <v>125</v>
      </c>
      <c r="M639" s="10">
        <v>94.83</v>
      </c>
      <c r="N639" s="10">
        <v>30.17</v>
      </c>
      <c r="O639" s="11">
        <f t="shared" si="38"/>
        <v>0.24136000000000002</v>
      </c>
      <c r="P639" s="10">
        <v>9.57</v>
      </c>
      <c r="Q639" s="10">
        <v>20.6</v>
      </c>
      <c r="R639" s="11">
        <f t="shared" si="39"/>
        <v>0.1648</v>
      </c>
      <c r="S639" t="s">
        <v>65</v>
      </c>
      <c r="T639" t="s">
        <v>66</v>
      </c>
      <c r="U639" t="s">
        <v>71</v>
      </c>
    </row>
    <row r="640" spans="1:21" x14ac:dyDescent="0.35">
      <c r="A640" t="s">
        <v>763</v>
      </c>
      <c r="B640" s="5">
        <v>45818</v>
      </c>
      <c r="C640" t="s">
        <v>69</v>
      </c>
      <c r="D640" t="s">
        <v>70</v>
      </c>
      <c r="E640" s="9">
        <v>2</v>
      </c>
      <c r="F640" s="10">
        <v>210</v>
      </c>
      <c r="G640" s="11">
        <v>0</v>
      </c>
      <c r="H640" s="10">
        <v>420</v>
      </c>
      <c r="I640" s="9">
        <v>0</v>
      </c>
      <c r="J640" s="10">
        <v>0</v>
      </c>
      <c r="K640" s="9">
        <v>2</v>
      </c>
      <c r="L640" s="10">
        <v>420</v>
      </c>
      <c r="M640" s="10">
        <v>360.52</v>
      </c>
      <c r="N640" s="10">
        <v>59.48</v>
      </c>
      <c r="O640" s="11">
        <f t="shared" si="38"/>
        <v>0.14161904761904762</v>
      </c>
      <c r="P640" s="10">
        <v>39.97</v>
      </c>
      <c r="Q640" s="10">
        <v>19.510000000000002</v>
      </c>
      <c r="R640" s="11">
        <f t="shared" si="39"/>
        <v>4.6452380952380953E-2</v>
      </c>
      <c r="S640" t="s">
        <v>59</v>
      </c>
      <c r="T640" t="s">
        <v>66</v>
      </c>
      <c r="U640" t="s">
        <v>61</v>
      </c>
    </row>
    <row r="641" spans="1:21" x14ac:dyDescent="0.35">
      <c r="A641" t="s">
        <v>764</v>
      </c>
      <c r="B641" s="5">
        <v>45865</v>
      </c>
      <c r="C641" t="s">
        <v>63</v>
      </c>
      <c r="D641" t="s">
        <v>64</v>
      </c>
      <c r="E641" s="9">
        <v>5</v>
      </c>
      <c r="F641" s="10">
        <v>145</v>
      </c>
      <c r="G641" s="11">
        <v>0.02</v>
      </c>
      <c r="H641" s="10">
        <v>710.5</v>
      </c>
      <c r="I641" s="9">
        <v>0</v>
      </c>
      <c r="J641" s="10">
        <v>0</v>
      </c>
      <c r="K641" s="9">
        <v>5</v>
      </c>
      <c r="L641" s="10">
        <v>710.5</v>
      </c>
      <c r="M641" s="10">
        <v>489.97</v>
      </c>
      <c r="N641" s="10">
        <v>220.53</v>
      </c>
      <c r="O641" s="11">
        <f t="shared" si="38"/>
        <v>0.31038705137227307</v>
      </c>
      <c r="P641" s="10">
        <v>50.6</v>
      </c>
      <c r="Q641" s="10">
        <v>169.93</v>
      </c>
      <c r="R641" s="11">
        <f t="shared" si="39"/>
        <v>0.23916959887403239</v>
      </c>
      <c r="S641" t="s">
        <v>75</v>
      </c>
      <c r="T641" t="s">
        <v>86</v>
      </c>
      <c r="U641" t="s">
        <v>61</v>
      </c>
    </row>
    <row r="642" spans="1:21" x14ac:dyDescent="0.35">
      <c r="A642" t="s">
        <v>765</v>
      </c>
      <c r="B642" s="5">
        <v>45670</v>
      </c>
      <c r="C642" t="s">
        <v>100</v>
      </c>
      <c r="D642" t="s">
        <v>64</v>
      </c>
      <c r="E642" s="9">
        <v>1</v>
      </c>
      <c r="F642" s="10">
        <v>310</v>
      </c>
      <c r="G642" s="11">
        <v>0</v>
      </c>
      <c r="H642" s="10">
        <v>310</v>
      </c>
      <c r="I642" s="9">
        <v>0</v>
      </c>
      <c r="J642" s="10">
        <v>0</v>
      </c>
      <c r="K642" s="9">
        <v>1</v>
      </c>
      <c r="L642" s="10">
        <v>310</v>
      </c>
      <c r="M642" s="10">
        <v>260.11</v>
      </c>
      <c r="N642" s="10">
        <v>49.89</v>
      </c>
      <c r="O642" s="11">
        <f t="shared" si="38"/>
        <v>0.16093548387096773</v>
      </c>
      <c r="P642" s="10">
        <v>29.05</v>
      </c>
      <c r="Q642" s="10">
        <v>20.84</v>
      </c>
      <c r="R642" s="11">
        <f t="shared" si="39"/>
        <v>6.7225806451612899E-2</v>
      </c>
      <c r="S642" t="s">
        <v>59</v>
      </c>
      <c r="T642" t="s">
        <v>66</v>
      </c>
      <c r="U642" t="s">
        <v>76</v>
      </c>
    </row>
    <row r="643" spans="1:21" x14ac:dyDescent="0.35">
      <c r="A643" t="s">
        <v>766</v>
      </c>
      <c r="B643" s="5">
        <v>45915</v>
      </c>
      <c r="C643" t="s">
        <v>88</v>
      </c>
      <c r="D643" t="s">
        <v>57</v>
      </c>
      <c r="E643" s="9">
        <v>3</v>
      </c>
      <c r="F643" s="10">
        <v>30</v>
      </c>
      <c r="G643" s="11">
        <v>0</v>
      </c>
      <c r="H643" s="10">
        <v>90</v>
      </c>
      <c r="I643" s="9">
        <v>3</v>
      </c>
      <c r="J643" s="10">
        <v>90</v>
      </c>
      <c r="K643" s="9">
        <v>0</v>
      </c>
      <c r="L643" s="10">
        <v>0</v>
      </c>
      <c r="M643" s="10">
        <v>0</v>
      </c>
      <c r="N643" s="10">
        <v>0</v>
      </c>
      <c r="O643" s="11">
        <v>0</v>
      </c>
      <c r="P643" s="10">
        <v>0</v>
      </c>
      <c r="Q643" s="10">
        <v>0</v>
      </c>
      <c r="R643" s="11">
        <v>0</v>
      </c>
      <c r="S643" t="s">
        <v>59</v>
      </c>
      <c r="T643" t="s">
        <v>66</v>
      </c>
      <c r="U643" t="s">
        <v>76</v>
      </c>
    </row>
    <row r="644" spans="1:21" x14ac:dyDescent="0.35">
      <c r="A644" t="s">
        <v>767</v>
      </c>
      <c r="B644" s="5">
        <v>45662</v>
      </c>
      <c r="C644" t="s">
        <v>69</v>
      </c>
      <c r="D644" t="s">
        <v>70</v>
      </c>
      <c r="E644" s="9">
        <v>1</v>
      </c>
      <c r="F644" s="10">
        <v>210</v>
      </c>
      <c r="G644" s="11">
        <v>0.02</v>
      </c>
      <c r="H644" s="10">
        <v>205.8</v>
      </c>
      <c r="I644" s="9">
        <v>0</v>
      </c>
      <c r="J644" s="10">
        <v>0</v>
      </c>
      <c r="K644" s="9">
        <v>1</v>
      </c>
      <c r="L644" s="10">
        <v>205.8</v>
      </c>
      <c r="M644" s="10">
        <v>165.45</v>
      </c>
      <c r="N644" s="10">
        <v>40.35</v>
      </c>
      <c r="O644" s="11">
        <f t="shared" ref="O644:O686" si="40">N644/L644</f>
        <v>0.19606413994169095</v>
      </c>
      <c r="P644" s="10">
        <v>24.78</v>
      </c>
      <c r="Q644" s="10">
        <v>15.57</v>
      </c>
      <c r="R644" s="11">
        <f t="shared" ref="R644:R686" si="41">Q644/L644</f>
        <v>7.5655976676384837E-2</v>
      </c>
      <c r="S644" t="s">
        <v>59</v>
      </c>
      <c r="T644" t="s">
        <v>82</v>
      </c>
      <c r="U644" t="s">
        <v>61</v>
      </c>
    </row>
    <row r="645" spans="1:21" x14ac:dyDescent="0.35">
      <c r="A645" t="s">
        <v>768</v>
      </c>
      <c r="B645" s="5">
        <v>46012</v>
      </c>
      <c r="C645" t="s">
        <v>90</v>
      </c>
      <c r="D645" t="s">
        <v>70</v>
      </c>
      <c r="E645" s="9">
        <v>2</v>
      </c>
      <c r="F645" s="10">
        <v>38</v>
      </c>
      <c r="G645" s="11">
        <v>0</v>
      </c>
      <c r="H645" s="10">
        <v>76</v>
      </c>
      <c r="I645" s="9">
        <v>0</v>
      </c>
      <c r="J645" s="10">
        <v>0</v>
      </c>
      <c r="K645" s="9">
        <v>2</v>
      </c>
      <c r="L645" s="10">
        <v>76</v>
      </c>
      <c r="M645" s="10">
        <v>62.53</v>
      </c>
      <c r="N645" s="10">
        <v>13.47</v>
      </c>
      <c r="O645" s="11">
        <f t="shared" si="40"/>
        <v>0.17723684210526316</v>
      </c>
      <c r="P645" s="10">
        <v>7.87</v>
      </c>
      <c r="Q645" s="10">
        <v>5.6</v>
      </c>
      <c r="R645" s="11">
        <f t="shared" si="41"/>
        <v>7.3684210526315783E-2</v>
      </c>
      <c r="S645" t="s">
        <v>59</v>
      </c>
      <c r="T645" t="s">
        <v>60</v>
      </c>
      <c r="U645" t="s">
        <v>61</v>
      </c>
    </row>
    <row r="646" spans="1:21" x14ac:dyDescent="0.35">
      <c r="A646" t="s">
        <v>769</v>
      </c>
      <c r="B646" s="5">
        <v>45878</v>
      </c>
      <c r="C646" t="s">
        <v>63</v>
      </c>
      <c r="D646" t="s">
        <v>64</v>
      </c>
      <c r="E646" s="9">
        <v>5</v>
      </c>
      <c r="F646" s="10">
        <v>145</v>
      </c>
      <c r="G646" s="11">
        <v>0</v>
      </c>
      <c r="H646" s="10">
        <v>725</v>
      </c>
      <c r="I646" s="9">
        <v>0</v>
      </c>
      <c r="J646" s="10">
        <v>0</v>
      </c>
      <c r="K646" s="9">
        <v>5</v>
      </c>
      <c r="L646" s="10">
        <v>725</v>
      </c>
      <c r="M646" s="10">
        <v>488.79</v>
      </c>
      <c r="N646" s="10">
        <v>236.21</v>
      </c>
      <c r="O646" s="11">
        <f t="shared" si="40"/>
        <v>0.32580689655172412</v>
      </c>
      <c r="P646" s="10">
        <v>38.590000000000003</v>
      </c>
      <c r="Q646" s="10">
        <v>197.62</v>
      </c>
      <c r="R646" s="11">
        <f t="shared" si="41"/>
        <v>0.27257931034482757</v>
      </c>
      <c r="S646" t="s">
        <v>75</v>
      </c>
      <c r="T646" t="s">
        <v>86</v>
      </c>
      <c r="U646" t="s">
        <v>67</v>
      </c>
    </row>
    <row r="647" spans="1:21" x14ac:dyDescent="0.35">
      <c r="A647" t="s">
        <v>770</v>
      </c>
      <c r="B647" s="5">
        <v>45912</v>
      </c>
      <c r="C647" t="s">
        <v>90</v>
      </c>
      <c r="D647" t="s">
        <v>70</v>
      </c>
      <c r="E647" s="9">
        <v>3</v>
      </c>
      <c r="F647" s="10">
        <v>38</v>
      </c>
      <c r="G647" s="11">
        <v>0.05</v>
      </c>
      <c r="H647" s="10">
        <v>108.3</v>
      </c>
      <c r="I647" s="9">
        <v>0</v>
      </c>
      <c r="J647" s="10">
        <v>0</v>
      </c>
      <c r="K647" s="9">
        <v>3</v>
      </c>
      <c r="L647" s="10">
        <v>108.3</v>
      </c>
      <c r="M647" s="10">
        <v>72.5</v>
      </c>
      <c r="N647" s="10">
        <v>35.799999999999997</v>
      </c>
      <c r="O647" s="11">
        <f t="shared" si="40"/>
        <v>0.33056325023084027</v>
      </c>
      <c r="P647" s="10">
        <v>8.3800000000000008</v>
      </c>
      <c r="Q647" s="10">
        <v>27.42</v>
      </c>
      <c r="R647" s="11">
        <f t="shared" si="41"/>
        <v>0.25318559556786707</v>
      </c>
      <c r="S647" t="s">
        <v>65</v>
      </c>
      <c r="T647" t="s">
        <v>86</v>
      </c>
      <c r="U647" t="s">
        <v>61</v>
      </c>
    </row>
    <row r="648" spans="1:21" x14ac:dyDescent="0.35">
      <c r="A648" t="s">
        <v>771</v>
      </c>
      <c r="B648" s="5">
        <v>45669</v>
      </c>
      <c r="C648" t="s">
        <v>84</v>
      </c>
      <c r="D648" t="s">
        <v>85</v>
      </c>
      <c r="E648" s="9">
        <v>1</v>
      </c>
      <c r="F648" s="10">
        <v>48</v>
      </c>
      <c r="G648" s="11">
        <v>0</v>
      </c>
      <c r="H648" s="10">
        <v>48</v>
      </c>
      <c r="I648" s="9">
        <v>0</v>
      </c>
      <c r="J648" s="10">
        <v>0</v>
      </c>
      <c r="K648" s="9">
        <v>1</v>
      </c>
      <c r="L648" s="10">
        <v>48</v>
      </c>
      <c r="M648" s="10">
        <v>39.17</v>
      </c>
      <c r="N648" s="10">
        <v>8.83</v>
      </c>
      <c r="O648" s="11">
        <f t="shared" si="40"/>
        <v>0.18395833333333333</v>
      </c>
      <c r="P648" s="10">
        <v>2.73</v>
      </c>
      <c r="Q648" s="10">
        <v>6.1</v>
      </c>
      <c r="R648" s="11">
        <f t="shared" si="41"/>
        <v>0.12708333333333333</v>
      </c>
      <c r="S648" t="s">
        <v>75</v>
      </c>
      <c r="T648" t="s">
        <v>82</v>
      </c>
      <c r="U648" t="s">
        <v>61</v>
      </c>
    </row>
    <row r="649" spans="1:21" x14ac:dyDescent="0.35">
      <c r="A649" t="s">
        <v>772</v>
      </c>
      <c r="B649" s="5">
        <v>45735</v>
      </c>
      <c r="C649" t="s">
        <v>95</v>
      </c>
      <c r="D649" t="s">
        <v>64</v>
      </c>
      <c r="E649" s="9">
        <v>1</v>
      </c>
      <c r="F649" s="10">
        <v>52</v>
      </c>
      <c r="G649" s="11">
        <v>0.1</v>
      </c>
      <c r="H649" s="10">
        <v>46.8</v>
      </c>
      <c r="I649" s="9">
        <v>0</v>
      </c>
      <c r="J649" s="10">
        <v>0</v>
      </c>
      <c r="K649" s="9">
        <v>1</v>
      </c>
      <c r="L649" s="10">
        <v>46.8</v>
      </c>
      <c r="M649" s="10">
        <v>37.46</v>
      </c>
      <c r="N649" s="10">
        <v>9.34</v>
      </c>
      <c r="O649" s="11">
        <f t="shared" si="40"/>
        <v>0.19957264957264959</v>
      </c>
      <c r="P649" s="10">
        <v>4.87</v>
      </c>
      <c r="Q649" s="10">
        <v>4.47</v>
      </c>
      <c r="R649" s="11">
        <f t="shared" si="41"/>
        <v>9.5512820512820507E-2</v>
      </c>
      <c r="S649" t="s">
        <v>59</v>
      </c>
      <c r="T649" t="s">
        <v>82</v>
      </c>
      <c r="U649" t="s">
        <v>71</v>
      </c>
    </row>
    <row r="650" spans="1:21" x14ac:dyDescent="0.35">
      <c r="A650" t="s">
        <v>773</v>
      </c>
      <c r="B650" s="5">
        <v>45828</v>
      </c>
      <c r="C650" t="s">
        <v>63</v>
      </c>
      <c r="D650" t="s">
        <v>64</v>
      </c>
      <c r="E650" s="9">
        <v>4</v>
      </c>
      <c r="F650" s="10">
        <v>145</v>
      </c>
      <c r="G650" s="11">
        <v>0</v>
      </c>
      <c r="H650" s="10">
        <v>580</v>
      </c>
      <c r="I650" s="9">
        <v>0</v>
      </c>
      <c r="J650" s="10">
        <v>0</v>
      </c>
      <c r="K650" s="9">
        <v>4</v>
      </c>
      <c r="L650" s="10">
        <v>580</v>
      </c>
      <c r="M650" s="10">
        <v>446.94</v>
      </c>
      <c r="N650" s="10">
        <v>133.06</v>
      </c>
      <c r="O650" s="11">
        <f t="shared" si="40"/>
        <v>0.22941379310344828</v>
      </c>
      <c r="P650" s="10">
        <v>75.28</v>
      </c>
      <c r="Q650" s="10">
        <v>57.78</v>
      </c>
      <c r="R650" s="11">
        <f t="shared" si="41"/>
        <v>9.9620689655172415E-2</v>
      </c>
      <c r="S650" t="s">
        <v>75</v>
      </c>
      <c r="T650" t="s">
        <v>60</v>
      </c>
      <c r="U650" t="s">
        <v>71</v>
      </c>
    </row>
    <row r="651" spans="1:21" x14ac:dyDescent="0.35">
      <c r="A651" t="s">
        <v>774</v>
      </c>
      <c r="B651" s="5">
        <v>45993</v>
      </c>
      <c r="C651" t="s">
        <v>73</v>
      </c>
      <c r="D651" t="s">
        <v>74</v>
      </c>
      <c r="E651" s="9">
        <v>1</v>
      </c>
      <c r="F651" s="10">
        <v>280</v>
      </c>
      <c r="G651" s="11">
        <v>0</v>
      </c>
      <c r="H651" s="10">
        <v>280</v>
      </c>
      <c r="I651" s="9">
        <v>0</v>
      </c>
      <c r="J651" s="10">
        <v>0</v>
      </c>
      <c r="K651" s="9">
        <v>1</v>
      </c>
      <c r="L651" s="10">
        <v>280</v>
      </c>
      <c r="M651" s="10">
        <v>192.6</v>
      </c>
      <c r="N651" s="10">
        <v>87.4</v>
      </c>
      <c r="O651" s="11">
        <f t="shared" si="40"/>
        <v>0.31214285714285717</v>
      </c>
      <c r="P651" s="10">
        <v>36.020000000000003</v>
      </c>
      <c r="Q651" s="10">
        <v>51.38</v>
      </c>
      <c r="R651" s="11">
        <f t="shared" si="41"/>
        <v>0.1835</v>
      </c>
      <c r="S651" t="s">
        <v>65</v>
      </c>
      <c r="T651" t="s">
        <v>86</v>
      </c>
      <c r="U651" t="s">
        <v>67</v>
      </c>
    </row>
    <row r="652" spans="1:21" x14ac:dyDescent="0.35">
      <c r="A652" t="s">
        <v>775</v>
      </c>
      <c r="B652" s="5">
        <v>45720</v>
      </c>
      <c r="C652" t="s">
        <v>69</v>
      </c>
      <c r="D652" t="s">
        <v>70</v>
      </c>
      <c r="E652" s="9">
        <v>2</v>
      </c>
      <c r="F652" s="10">
        <v>210</v>
      </c>
      <c r="G652" s="11">
        <v>0.02</v>
      </c>
      <c r="H652" s="10">
        <v>411.6</v>
      </c>
      <c r="I652" s="9">
        <v>0</v>
      </c>
      <c r="J652" s="10">
        <v>0</v>
      </c>
      <c r="K652" s="9">
        <v>2</v>
      </c>
      <c r="L652" s="10">
        <v>411.6</v>
      </c>
      <c r="M652" s="10">
        <v>318.45</v>
      </c>
      <c r="N652" s="10">
        <v>93.15</v>
      </c>
      <c r="O652" s="11">
        <f t="shared" si="40"/>
        <v>0.22631195335276968</v>
      </c>
      <c r="P652" s="10">
        <v>44.98</v>
      </c>
      <c r="Q652" s="10">
        <v>48.17</v>
      </c>
      <c r="R652" s="11">
        <f t="shared" si="41"/>
        <v>0.11703109815354713</v>
      </c>
      <c r="S652" t="s">
        <v>75</v>
      </c>
      <c r="T652" t="s">
        <v>60</v>
      </c>
      <c r="U652" t="s">
        <v>71</v>
      </c>
    </row>
    <row r="653" spans="1:21" x14ac:dyDescent="0.35">
      <c r="A653" t="s">
        <v>776</v>
      </c>
      <c r="B653" s="5">
        <v>45993</v>
      </c>
      <c r="C653" t="s">
        <v>97</v>
      </c>
      <c r="D653" t="s">
        <v>57</v>
      </c>
      <c r="E653" s="9">
        <v>3</v>
      </c>
      <c r="F653" s="10">
        <v>55</v>
      </c>
      <c r="G653" s="11">
        <v>0</v>
      </c>
      <c r="H653" s="10">
        <v>165</v>
      </c>
      <c r="I653" s="9">
        <v>0</v>
      </c>
      <c r="J653" s="10">
        <v>0</v>
      </c>
      <c r="K653" s="9">
        <v>3</v>
      </c>
      <c r="L653" s="10">
        <v>165</v>
      </c>
      <c r="M653" s="10">
        <v>107.58</v>
      </c>
      <c r="N653" s="10">
        <v>57.42</v>
      </c>
      <c r="O653" s="11">
        <f t="shared" si="40"/>
        <v>0.34800000000000003</v>
      </c>
      <c r="P653" s="10">
        <v>12.1</v>
      </c>
      <c r="Q653" s="10">
        <v>45.32</v>
      </c>
      <c r="R653" s="11">
        <f t="shared" si="41"/>
        <v>0.27466666666666667</v>
      </c>
      <c r="S653" t="s">
        <v>65</v>
      </c>
      <c r="T653" t="s">
        <v>2133</v>
      </c>
      <c r="U653" t="s">
        <v>67</v>
      </c>
    </row>
    <row r="654" spans="1:21" x14ac:dyDescent="0.35">
      <c r="A654" t="s">
        <v>777</v>
      </c>
      <c r="B654" s="5">
        <v>45831</v>
      </c>
      <c r="C654" t="s">
        <v>100</v>
      </c>
      <c r="D654" t="s">
        <v>64</v>
      </c>
      <c r="E654" s="9">
        <v>3</v>
      </c>
      <c r="F654" s="10">
        <v>310</v>
      </c>
      <c r="G654" s="11">
        <v>0</v>
      </c>
      <c r="H654" s="10">
        <v>930</v>
      </c>
      <c r="I654" s="9">
        <v>0</v>
      </c>
      <c r="J654" s="10">
        <v>0</v>
      </c>
      <c r="K654" s="9">
        <v>3</v>
      </c>
      <c r="L654" s="10">
        <v>930</v>
      </c>
      <c r="M654" s="10">
        <v>655.79</v>
      </c>
      <c r="N654" s="10">
        <v>274.20999999999998</v>
      </c>
      <c r="O654" s="11">
        <f t="shared" si="40"/>
        <v>0.2948494623655914</v>
      </c>
      <c r="P654" s="10">
        <v>50.77</v>
      </c>
      <c r="Q654" s="10">
        <v>223.44</v>
      </c>
      <c r="R654" s="11">
        <f t="shared" si="41"/>
        <v>0.24025806451612902</v>
      </c>
      <c r="S654" t="s">
        <v>81</v>
      </c>
      <c r="T654" t="s">
        <v>82</v>
      </c>
      <c r="U654" t="s">
        <v>76</v>
      </c>
    </row>
    <row r="655" spans="1:21" x14ac:dyDescent="0.35">
      <c r="A655" t="s">
        <v>778</v>
      </c>
      <c r="B655" s="5">
        <v>45872</v>
      </c>
      <c r="C655" t="s">
        <v>107</v>
      </c>
      <c r="D655" t="s">
        <v>74</v>
      </c>
      <c r="E655" s="9">
        <v>2</v>
      </c>
      <c r="F655" s="10">
        <v>125</v>
      </c>
      <c r="G655" s="11">
        <v>0.05</v>
      </c>
      <c r="H655" s="10">
        <v>237.5</v>
      </c>
      <c r="I655" s="9">
        <v>0</v>
      </c>
      <c r="J655" s="10">
        <v>0</v>
      </c>
      <c r="K655" s="9">
        <v>2</v>
      </c>
      <c r="L655" s="10">
        <v>237.5</v>
      </c>
      <c r="M655" s="10">
        <v>151.66999999999999</v>
      </c>
      <c r="N655" s="10">
        <v>85.83</v>
      </c>
      <c r="O655" s="11">
        <f t="shared" si="40"/>
        <v>0.36138947368421054</v>
      </c>
      <c r="P655" s="10">
        <v>23</v>
      </c>
      <c r="Q655" s="10">
        <v>62.83</v>
      </c>
      <c r="R655" s="11">
        <f t="shared" si="41"/>
        <v>0.26454736842105264</v>
      </c>
      <c r="S655" t="s">
        <v>81</v>
      </c>
      <c r="T655" t="s">
        <v>66</v>
      </c>
      <c r="U655" t="s">
        <v>61</v>
      </c>
    </row>
    <row r="656" spans="1:21" x14ac:dyDescent="0.35">
      <c r="A656" t="s">
        <v>779</v>
      </c>
      <c r="B656" s="5">
        <v>45755</v>
      </c>
      <c r="C656" t="s">
        <v>88</v>
      </c>
      <c r="D656" t="s">
        <v>57</v>
      </c>
      <c r="E656" s="9">
        <v>4</v>
      </c>
      <c r="F656" s="10">
        <v>30</v>
      </c>
      <c r="G656" s="11">
        <v>0</v>
      </c>
      <c r="H656" s="10">
        <v>120</v>
      </c>
      <c r="I656" s="9">
        <v>0</v>
      </c>
      <c r="J656" s="10">
        <v>0</v>
      </c>
      <c r="K656" s="9">
        <v>4</v>
      </c>
      <c r="L656" s="10">
        <v>120</v>
      </c>
      <c r="M656" s="10">
        <v>85.01</v>
      </c>
      <c r="N656" s="10">
        <v>34.99</v>
      </c>
      <c r="O656" s="11">
        <f t="shared" si="40"/>
        <v>0.29158333333333336</v>
      </c>
      <c r="P656" s="10">
        <v>10.039999999999999</v>
      </c>
      <c r="Q656" s="10">
        <v>24.95</v>
      </c>
      <c r="R656" s="11">
        <f t="shared" si="41"/>
        <v>0.20791666666666667</v>
      </c>
      <c r="S656" t="s">
        <v>59</v>
      </c>
      <c r="T656" t="s">
        <v>86</v>
      </c>
      <c r="U656" t="s">
        <v>67</v>
      </c>
    </row>
    <row r="657" spans="1:21" x14ac:dyDescent="0.35">
      <c r="A657" t="s">
        <v>780</v>
      </c>
      <c r="B657" s="5">
        <v>45852</v>
      </c>
      <c r="C657" t="s">
        <v>117</v>
      </c>
      <c r="D657" t="s">
        <v>74</v>
      </c>
      <c r="E657" s="9">
        <v>3</v>
      </c>
      <c r="F657" s="10">
        <v>95</v>
      </c>
      <c r="G657" s="11">
        <v>0.05</v>
      </c>
      <c r="H657" s="10">
        <v>270.75</v>
      </c>
      <c r="I657" s="9">
        <v>0</v>
      </c>
      <c r="J657" s="10">
        <v>0</v>
      </c>
      <c r="K657" s="9">
        <v>3</v>
      </c>
      <c r="L657" s="10">
        <v>270.75</v>
      </c>
      <c r="M657" s="10">
        <v>196.69</v>
      </c>
      <c r="N657" s="10">
        <v>74.06</v>
      </c>
      <c r="O657" s="11">
        <f t="shared" si="40"/>
        <v>0.27353647276084952</v>
      </c>
      <c r="P657" s="10">
        <v>19.93</v>
      </c>
      <c r="Q657" s="10">
        <v>54.13</v>
      </c>
      <c r="R657" s="11">
        <f t="shared" si="41"/>
        <v>0.19992613111726687</v>
      </c>
      <c r="S657" t="s">
        <v>81</v>
      </c>
      <c r="T657" t="s">
        <v>66</v>
      </c>
      <c r="U657" t="s">
        <v>71</v>
      </c>
    </row>
    <row r="658" spans="1:21" x14ac:dyDescent="0.35">
      <c r="A658" t="s">
        <v>781</v>
      </c>
      <c r="B658" s="5">
        <v>46008</v>
      </c>
      <c r="C658" t="s">
        <v>78</v>
      </c>
      <c r="D658" t="s">
        <v>79</v>
      </c>
      <c r="E658" s="9">
        <v>6</v>
      </c>
      <c r="F658" s="10">
        <v>120</v>
      </c>
      <c r="G658" s="11">
        <v>0</v>
      </c>
      <c r="H658" s="10">
        <v>720</v>
      </c>
      <c r="I658" s="9">
        <v>0</v>
      </c>
      <c r="J658" s="10">
        <v>0</v>
      </c>
      <c r="K658" s="9">
        <v>6</v>
      </c>
      <c r="L658" s="10">
        <v>720</v>
      </c>
      <c r="M658" s="10">
        <v>458.28</v>
      </c>
      <c r="N658" s="10">
        <v>261.72000000000003</v>
      </c>
      <c r="O658" s="11">
        <f t="shared" si="40"/>
        <v>0.36350000000000005</v>
      </c>
      <c r="P658" s="10">
        <v>60.03</v>
      </c>
      <c r="Q658" s="10">
        <v>201.69</v>
      </c>
      <c r="R658" s="11">
        <f t="shared" si="41"/>
        <v>0.28012500000000001</v>
      </c>
      <c r="S658" t="s">
        <v>65</v>
      </c>
      <c r="T658" t="s">
        <v>60</v>
      </c>
      <c r="U658" t="s">
        <v>71</v>
      </c>
    </row>
    <row r="659" spans="1:21" x14ac:dyDescent="0.35">
      <c r="A659" t="s">
        <v>782</v>
      </c>
      <c r="B659" s="5">
        <v>45990</v>
      </c>
      <c r="C659" t="s">
        <v>104</v>
      </c>
      <c r="D659" t="s">
        <v>105</v>
      </c>
      <c r="E659" s="9">
        <v>1</v>
      </c>
      <c r="F659" s="10">
        <v>65</v>
      </c>
      <c r="G659" s="11">
        <v>0.15</v>
      </c>
      <c r="H659" s="10">
        <v>55.25</v>
      </c>
      <c r="I659" s="9">
        <v>0</v>
      </c>
      <c r="J659" s="10">
        <v>0</v>
      </c>
      <c r="K659" s="9">
        <v>1</v>
      </c>
      <c r="L659" s="10">
        <v>55.25</v>
      </c>
      <c r="M659" s="10">
        <v>41.05</v>
      </c>
      <c r="N659" s="10">
        <v>14.2</v>
      </c>
      <c r="O659" s="11">
        <f t="shared" si="40"/>
        <v>0.25701357466063346</v>
      </c>
      <c r="P659" s="10">
        <v>4.84</v>
      </c>
      <c r="Q659" s="10">
        <v>9.36</v>
      </c>
      <c r="R659" s="11">
        <f t="shared" si="41"/>
        <v>0.16941176470588235</v>
      </c>
      <c r="S659" t="s">
        <v>59</v>
      </c>
      <c r="T659" t="s">
        <v>82</v>
      </c>
      <c r="U659" t="s">
        <v>67</v>
      </c>
    </row>
    <row r="660" spans="1:21" x14ac:dyDescent="0.35">
      <c r="A660" t="s">
        <v>783</v>
      </c>
      <c r="B660" s="5">
        <v>45906</v>
      </c>
      <c r="C660" t="s">
        <v>78</v>
      </c>
      <c r="D660" t="s">
        <v>79</v>
      </c>
      <c r="E660" s="9">
        <v>1</v>
      </c>
      <c r="F660" s="10">
        <v>120</v>
      </c>
      <c r="G660" s="11">
        <v>0</v>
      </c>
      <c r="H660" s="10">
        <v>120</v>
      </c>
      <c r="I660" s="9">
        <v>0</v>
      </c>
      <c r="J660" s="10">
        <v>0</v>
      </c>
      <c r="K660" s="9">
        <v>1</v>
      </c>
      <c r="L660" s="10">
        <v>120</v>
      </c>
      <c r="M660" s="10">
        <v>95</v>
      </c>
      <c r="N660" s="10">
        <v>25</v>
      </c>
      <c r="O660" s="11">
        <f t="shared" si="40"/>
        <v>0.20833333333333334</v>
      </c>
      <c r="P660" s="10">
        <v>7.93</v>
      </c>
      <c r="Q660" s="10">
        <v>17.07</v>
      </c>
      <c r="R660" s="11">
        <f t="shared" si="41"/>
        <v>0.14225000000000002</v>
      </c>
      <c r="S660" t="s">
        <v>65</v>
      </c>
      <c r="T660" t="s">
        <v>66</v>
      </c>
      <c r="U660" t="s">
        <v>61</v>
      </c>
    </row>
    <row r="661" spans="1:21" x14ac:dyDescent="0.35">
      <c r="A661" t="s">
        <v>784</v>
      </c>
      <c r="B661" s="5">
        <v>45667</v>
      </c>
      <c r="C661" t="s">
        <v>100</v>
      </c>
      <c r="D661" t="s">
        <v>64</v>
      </c>
      <c r="E661" s="9">
        <v>5</v>
      </c>
      <c r="F661" s="10">
        <v>310</v>
      </c>
      <c r="G661" s="11">
        <v>0</v>
      </c>
      <c r="H661" s="10">
        <v>1550</v>
      </c>
      <c r="I661" s="9">
        <v>0</v>
      </c>
      <c r="J661" s="10">
        <v>0</v>
      </c>
      <c r="K661" s="9">
        <v>5</v>
      </c>
      <c r="L661" s="10">
        <v>1550</v>
      </c>
      <c r="M661" s="10">
        <v>1130.9000000000001</v>
      </c>
      <c r="N661" s="10">
        <v>419.1</v>
      </c>
      <c r="O661" s="11">
        <f t="shared" si="40"/>
        <v>0.27038709677419354</v>
      </c>
      <c r="P661" s="10">
        <v>84.01</v>
      </c>
      <c r="Q661" s="10">
        <v>335.09</v>
      </c>
      <c r="R661" s="11">
        <f t="shared" si="41"/>
        <v>0.21618709677419354</v>
      </c>
      <c r="S661" t="s">
        <v>81</v>
      </c>
      <c r="T661" t="s">
        <v>60</v>
      </c>
      <c r="U661" t="s">
        <v>61</v>
      </c>
    </row>
    <row r="662" spans="1:21" x14ac:dyDescent="0.35">
      <c r="A662" t="s">
        <v>785</v>
      </c>
      <c r="B662" s="5">
        <v>45706</v>
      </c>
      <c r="C662" t="s">
        <v>92</v>
      </c>
      <c r="D662" t="s">
        <v>79</v>
      </c>
      <c r="E662" s="9">
        <v>3</v>
      </c>
      <c r="F662" s="10">
        <v>85</v>
      </c>
      <c r="G662" s="11">
        <v>0</v>
      </c>
      <c r="H662" s="10">
        <v>255</v>
      </c>
      <c r="I662" s="9">
        <v>0</v>
      </c>
      <c r="J662" s="10">
        <v>0</v>
      </c>
      <c r="K662" s="9">
        <v>3</v>
      </c>
      <c r="L662" s="10">
        <v>255</v>
      </c>
      <c r="M662" s="10">
        <v>216.94</v>
      </c>
      <c r="N662" s="10">
        <v>38.06</v>
      </c>
      <c r="O662" s="11">
        <f t="shared" si="40"/>
        <v>0.14925490196078434</v>
      </c>
      <c r="P662" s="10">
        <v>28.37</v>
      </c>
      <c r="Q662" s="10">
        <v>9.69</v>
      </c>
      <c r="R662" s="11">
        <f t="shared" si="41"/>
        <v>3.7999999999999999E-2</v>
      </c>
      <c r="S662" t="s">
        <v>75</v>
      </c>
      <c r="T662" t="s">
        <v>66</v>
      </c>
      <c r="U662" t="s">
        <v>67</v>
      </c>
    </row>
    <row r="663" spans="1:21" x14ac:dyDescent="0.35">
      <c r="A663" t="s">
        <v>786</v>
      </c>
      <c r="B663" s="5">
        <v>45991</v>
      </c>
      <c r="C663" t="s">
        <v>104</v>
      </c>
      <c r="D663" t="s">
        <v>105</v>
      </c>
      <c r="E663" s="9">
        <v>3</v>
      </c>
      <c r="F663" s="10">
        <v>65</v>
      </c>
      <c r="G663" s="11">
        <v>0</v>
      </c>
      <c r="H663" s="10">
        <v>195</v>
      </c>
      <c r="I663" s="9">
        <v>0</v>
      </c>
      <c r="J663" s="10">
        <v>0</v>
      </c>
      <c r="K663" s="9">
        <v>3</v>
      </c>
      <c r="L663" s="10">
        <v>195</v>
      </c>
      <c r="M663" s="10">
        <v>122.17</v>
      </c>
      <c r="N663" s="10">
        <v>72.83</v>
      </c>
      <c r="O663" s="11">
        <f t="shared" si="40"/>
        <v>0.37348717948717947</v>
      </c>
      <c r="P663" s="10">
        <v>9.91</v>
      </c>
      <c r="Q663" s="10">
        <v>62.92</v>
      </c>
      <c r="R663" s="11">
        <f t="shared" si="41"/>
        <v>0.32266666666666666</v>
      </c>
      <c r="S663" t="s">
        <v>65</v>
      </c>
      <c r="T663" t="s">
        <v>66</v>
      </c>
      <c r="U663" t="s">
        <v>71</v>
      </c>
    </row>
    <row r="664" spans="1:21" x14ac:dyDescent="0.35">
      <c r="A664" t="s">
        <v>787</v>
      </c>
      <c r="B664" s="5">
        <v>45876</v>
      </c>
      <c r="C664" t="s">
        <v>264</v>
      </c>
      <c r="D664" t="s">
        <v>85</v>
      </c>
      <c r="E664" s="9">
        <v>3</v>
      </c>
      <c r="F664" s="10">
        <v>20</v>
      </c>
      <c r="G664" s="11">
        <v>0</v>
      </c>
      <c r="H664" s="10">
        <v>60</v>
      </c>
      <c r="I664" s="9">
        <v>0</v>
      </c>
      <c r="J664" s="10">
        <v>0</v>
      </c>
      <c r="K664" s="9">
        <v>3</v>
      </c>
      <c r="L664" s="10">
        <v>60</v>
      </c>
      <c r="M664" s="10">
        <v>42.8</v>
      </c>
      <c r="N664" s="10">
        <v>17.2</v>
      </c>
      <c r="O664" s="11">
        <f t="shared" si="40"/>
        <v>0.28666666666666668</v>
      </c>
      <c r="P664" s="10">
        <v>7.29</v>
      </c>
      <c r="Q664" s="10">
        <v>9.91</v>
      </c>
      <c r="R664" s="11">
        <f t="shared" si="41"/>
        <v>0.16516666666666666</v>
      </c>
      <c r="S664" t="s">
        <v>75</v>
      </c>
      <c r="T664" t="s">
        <v>86</v>
      </c>
      <c r="U664" t="s">
        <v>76</v>
      </c>
    </row>
    <row r="665" spans="1:21" x14ac:dyDescent="0.35">
      <c r="A665" t="s">
        <v>788</v>
      </c>
      <c r="B665" s="5">
        <v>45777</v>
      </c>
      <c r="C665" t="s">
        <v>117</v>
      </c>
      <c r="D665" t="s">
        <v>74</v>
      </c>
      <c r="E665" s="9">
        <v>8</v>
      </c>
      <c r="F665" s="10">
        <v>95</v>
      </c>
      <c r="G665" s="11">
        <v>0</v>
      </c>
      <c r="H665" s="10">
        <v>760</v>
      </c>
      <c r="I665" s="9">
        <v>0</v>
      </c>
      <c r="J665" s="10">
        <v>0</v>
      </c>
      <c r="K665" s="9">
        <v>8</v>
      </c>
      <c r="L665" s="10">
        <v>760</v>
      </c>
      <c r="M665" s="10">
        <v>553.79999999999995</v>
      </c>
      <c r="N665" s="10">
        <v>206.2</v>
      </c>
      <c r="O665" s="11">
        <f t="shared" si="40"/>
        <v>0.27131578947368418</v>
      </c>
      <c r="P665" s="10">
        <v>96.3</v>
      </c>
      <c r="Q665" s="10">
        <v>109.9</v>
      </c>
      <c r="R665" s="11">
        <f t="shared" si="41"/>
        <v>0.14460526315789474</v>
      </c>
      <c r="S665" t="s">
        <v>75</v>
      </c>
      <c r="T665" t="s">
        <v>82</v>
      </c>
      <c r="U665" t="s">
        <v>76</v>
      </c>
    </row>
    <row r="666" spans="1:21" x14ac:dyDescent="0.35">
      <c r="A666" t="s">
        <v>789</v>
      </c>
      <c r="B666" s="5">
        <v>45884</v>
      </c>
      <c r="C666" t="s">
        <v>109</v>
      </c>
      <c r="D666" t="s">
        <v>85</v>
      </c>
      <c r="E666" s="9">
        <v>8</v>
      </c>
      <c r="F666" s="10">
        <v>180</v>
      </c>
      <c r="G666" s="11">
        <v>0.05</v>
      </c>
      <c r="H666" s="10">
        <v>1368</v>
      </c>
      <c r="I666" s="9">
        <v>0</v>
      </c>
      <c r="J666" s="10">
        <v>0</v>
      </c>
      <c r="K666" s="9">
        <v>8</v>
      </c>
      <c r="L666" s="10">
        <v>1368</v>
      </c>
      <c r="M666" s="10">
        <v>1080.94</v>
      </c>
      <c r="N666" s="10">
        <v>287.06</v>
      </c>
      <c r="O666" s="11">
        <f t="shared" si="40"/>
        <v>0.20983918128654971</v>
      </c>
      <c r="P666" s="10">
        <v>158.21</v>
      </c>
      <c r="Q666" s="10">
        <v>128.85</v>
      </c>
      <c r="R666" s="11">
        <f t="shared" si="41"/>
        <v>9.4188596491228072E-2</v>
      </c>
      <c r="S666" t="s">
        <v>75</v>
      </c>
      <c r="T666" t="s">
        <v>86</v>
      </c>
      <c r="U666" t="s">
        <v>76</v>
      </c>
    </row>
    <row r="667" spans="1:21" x14ac:dyDescent="0.35">
      <c r="A667" t="s">
        <v>791</v>
      </c>
      <c r="B667" s="5">
        <v>45855</v>
      </c>
      <c r="C667" t="s">
        <v>90</v>
      </c>
      <c r="D667" t="s">
        <v>70</v>
      </c>
      <c r="E667" s="9">
        <v>3</v>
      </c>
      <c r="F667" s="10">
        <v>38</v>
      </c>
      <c r="G667" s="11">
        <v>0</v>
      </c>
      <c r="H667" s="10">
        <v>114</v>
      </c>
      <c r="I667" s="9">
        <v>0</v>
      </c>
      <c r="J667" s="10">
        <v>0</v>
      </c>
      <c r="K667" s="9">
        <v>3</v>
      </c>
      <c r="L667" s="10">
        <v>114</v>
      </c>
      <c r="M667" s="10">
        <v>79.34</v>
      </c>
      <c r="N667" s="10">
        <v>34.659999999999997</v>
      </c>
      <c r="O667" s="11">
        <f t="shared" si="40"/>
        <v>0.30403508771929821</v>
      </c>
      <c r="P667" s="10">
        <v>8.4700000000000006</v>
      </c>
      <c r="Q667" s="10">
        <v>26.19</v>
      </c>
      <c r="R667" s="11">
        <f t="shared" si="41"/>
        <v>0.22973684210526316</v>
      </c>
      <c r="S667" t="s">
        <v>59</v>
      </c>
      <c r="T667" t="s">
        <v>66</v>
      </c>
      <c r="U667" t="s">
        <v>67</v>
      </c>
    </row>
    <row r="668" spans="1:21" x14ac:dyDescent="0.35">
      <c r="A668" t="s">
        <v>792</v>
      </c>
      <c r="B668" s="5">
        <v>45848</v>
      </c>
      <c r="C668" t="s">
        <v>107</v>
      </c>
      <c r="D668" t="s">
        <v>74</v>
      </c>
      <c r="E668" s="9">
        <v>6</v>
      </c>
      <c r="F668" s="10">
        <v>125</v>
      </c>
      <c r="G668" s="11">
        <v>0</v>
      </c>
      <c r="H668" s="10">
        <v>750</v>
      </c>
      <c r="I668" s="9">
        <v>0</v>
      </c>
      <c r="J668" s="10">
        <v>0</v>
      </c>
      <c r="K668" s="9">
        <v>6</v>
      </c>
      <c r="L668" s="10">
        <v>750</v>
      </c>
      <c r="M668" s="10">
        <v>610.91999999999996</v>
      </c>
      <c r="N668" s="10">
        <v>139.08000000000001</v>
      </c>
      <c r="O668" s="11">
        <f t="shared" si="40"/>
        <v>0.18544000000000002</v>
      </c>
      <c r="P668" s="10">
        <v>42.98</v>
      </c>
      <c r="Q668" s="10">
        <v>96.1</v>
      </c>
      <c r="R668" s="11">
        <f t="shared" si="41"/>
        <v>0.12813333333333332</v>
      </c>
      <c r="S668" t="s">
        <v>81</v>
      </c>
      <c r="T668" t="s">
        <v>82</v>
      </c>
      <c r="U668" t="s">
        <v>76</v>
      </c>
    </row>
    <row r="669" spans="1:21" x14ac:dyDescent="0.35">
      <c r="A669" t="s">
        <v>793</v>
      </c>
      <c r="B669" s="5">
        <v>45982</v>
      </c>
      <c r="C669" t="s">
        <v>104</v>
      </c>
      <c r="D669" t="s">
        <v>105</v>
      </c>
      <c r="E669" s="9">
        <v>5</v>
      </c>
      <c r="F669" s="10">
        <v>65</v>
      </c>
      <c r="G669" s="11">
        <v>0</v>
      </c>
      <c r="H669" s="10">
        <v>325</v>
      </c>
      <c r="I669" s="9">
        <v>0</v>
      </c>
      <c r="J669" s="10">
        <v>0</v>
      </c>
      <c r="K669" s="9">
        <v>5</v>
      </c>
      <c r="L669" s="10">
        <v>325</v>
      </c>
      <c r="M669" s="10">
        <v>243.16</v>
      </c>
      <c r="N669" s="10">
        <v>81.84</v>
      </c>
      <c r="O669" s="11">
        <f t="shared" si="40"/>
        <v>0.25181538461538461</v>
      </c>
      <c r="P669" s="10">
        <v>35.72</v>
      </c>
      <c r="Q669" s="10">
        <v>46.12</v>
      </c>
      <c r="R669" s="11">
        <f t="shared" si="41"/>
        <v>0.14190769230769229</v>
      </c>
      <c r="S669" t="s">
        <v>59</v>
      </c>
      <c r="T669" t="s">
        <v>82</v>
      </c>
      <c r="U669" t="s">
        <v>67</v>
      </c>
    </row>
    <row r="670" spans="1:21" x14ac:dyDescent="0.35">
      <c r="A670" t="s">
        <v>794</v>
      </c>
      <c r="B670" s="5">
        <v>45861</v>
      </c>
      <c r="C670" t="s">
        <v>56</v>
      </c>
      <c r="D670" t="s">
        <v>57</v>
      </c>
      <c r="E670" s="9">
        <v>3</v>
      </c>
      <c r="F670" s="10">
        <v>40</v>
      </c>
      <c r="G670" s="11">
        <v>0</v>
      </c>
      <c r="H670" s="10">
        <v>120</v>
      </c>
      <c r="I670" s="9">
        <v>0</v>
      </c>
      <c r="J670" s="10">
        <v>0</v>
      </c>
      <c r="K670" s="9">
        <v>3</v>
      </c>
      <c r="L670" s="10">
        <v>120</v>
      </c>
      <c r="M670" s="10">
        <v>79.27</v>
      </c>
      <c r="N670" s="10">
        <v>40.729999999999997</v>
      </c>
      <c r="O670" s="11">
        <f t="shared" si="40"/>
        <v>0.33941666666666664</v>
      </c>
      <c r="P670" s="10">
        <v>14.19</v>
      </c>
      <c r="Q670" s="10">
        <v>26.54</v>
      </c>
      <c r="R670" s="11">
        <f t="shared" si="41"/>
        <v>0.22116666666666665</v>
      </c>
      <c r="S670" t="s">
        <v>65</v>
      </c>
      <c r="T670" t="s">
        <v>86</v>
      </c>
      <c r="U670" t="s">
        <v>67</v>
      </c>
    </row>
    <row r="671" spans="1:21" x14ac:dyDescent="0.35">
      <c r="A671" t="s">
        <v>795</v>
      </c>
      <c r="B671" s="5">
        <v>45867</v>
      </c>
      <c r="C671" t="s">
        <v>97</v>
      </c>
      <c r="D671" t="s">
        <v>57</v>
      </c>
      <c r="E671" s="9">
        <v>2</v>
      </c>
      <c r="F671" s="10">
        <v>55</v>
      </c>
      <c r="G671" s="11">
        <v>0</v>
      </c>
      <c r="H671" s="10">
        <v>110</v>
      </c>
      <c r="I671" s="9">
        <v>0</v>
      </c>
      <c r="J671" s="10">
        <v>0</v>
      </c>
      <c r="K671" s="9">
        <v>2</v>
      </c>
      <c r="L671" s="10">
        <v>110</v>
      </c>
      <c r="M671" s="10">
        <v>76</v>
      </c>
      <c r="N671" s="10">
        <v>34</v>
      </c>
      <c r="O671" s="11">
        <f t="shared" si="40"/>
        <v>0.30909090909090908</v>
      </c>
      <c r="P671" s="10">
        <v>11.38</v>
      </c>
      <c r="Q671" s="10">
        <v>22.62</v>
      </c>
      <c r="R671" s="11">
        <f t="shared" si="41"/>
        <v>0.20563636363636364</v>
      </c>
      <c r="S671" t="s">
        <v>75</v>
      </c>
      <c r="T671" t="s">
        <v>82</v>
      </c>
      <c r="U671" t="s">
        <v>61</v>
      </c>
    </row>
    <row r="672" spans="1:21" x14ac:dyDescent="0.35">
      <c r="A672" t="s">
        <v>796</v>
      </c>
      <c r="B672" s="5">
        <v>45845</v>
      </c>
      <c r="C672" t="s">
        <v>264</v>
      </c>
      <c r="D672" t="s">
        <v>85</v>
      </c>
      <c r="E672" s="9">
        <v>1</v>
      </c>
      <c r="F672" s="10">
        <v>20</v>
      </c>
      <c r="G672" s="11">
        <v>0</v>
      </c>
      <c r="H672" s="10">
        <v>20</v>
      </c>
      <c r="I672" s="9">
        <v>0</v>
      </c>
      <c r="J672" s="10">
        <v>0</v>
      </c>
      <c r="K672" s="9">
        <v>1</v>
      </c>
      <c r="L672" s="10">
        <v>20</v>
      </c>
      <c r="M672" s="10">
        <v>14.07</v>
      </c>
      <c r="N672" s="10">
        <v>5.93</v>
      </c>
      <c r="O672" s="11">
        <f t="shared" si="40"/>
        <v>0.29649999999999999</v>
      </c>
      <c r="P672" s="10">
        <v>2.25</v>
      </c>
      <c r="Q672" s="10">
        <v>3.68</v>
      </c>
      <c r="R672" s="11">
        <f t="shared" si="41"/>
        <v>0.184</v>
      </c>
      <c r="S672" t="s">
        <v>75</v>
      </c>
      <c r="T672" t="s">
        <v>60</v>
      </c>
      <c r="U672" t="s">
        <v>71</v>
      </c>
    </row>
    <row r="673" spans="1:21" x14ac:dyDescent="0.35">
      <c r="A673" t="s">
        <v>797</v>
      </c>
      <c r="B673" s="5">
        <v>45972</v>
      </c>
      <c r="C673" t="s">
        <v>92</v>
      </c>
      <c r="D673" t="s">
        <v>79</v>
      </c>
      <c r="E673" s="9">
        <v>2</v>
      </c>
      <c r="F673" s="10">
        <v>85</v>
      </c>
      <c r="G673" s="11">
        <v>0.05</v>
      </c>
      <c r="H673" s="10">
        <v>161.5</v>
      </c>
      <c r="I673" s="9">
        <v>0</v>
      </c>
      <c r="J673" s="10">
        <v>0</v>
      </c>
      <c r="K673" s="9">
        <v>2</v>
      </c>
      <c r="L673" s="10">
        <v>161.5</v>
      </c>
      <c r="M673" s="10">
        <v>107.4</v>
      </c>
      <c r="N673" s="10">
        <v>54.1</v>
      </c>
      <c r="O673" s="11">
        <f t="shared" si="40"/>
        <v>0.334984520123839</v>
      </c>
      <c r="P673" s="10">
        <v>11.12</v>
      </c>
      <c r="Q673" s="10">
        <v>42.98</v>
      </c>
      <c r="R673" s="11">
        <f t="shared" si="41"/>
        <v>0.2661300309597523</v>
      </c>
      <c r="S673" t="s">
        <v>65</v>
      </c>
      <c r="T673" t="s">
        <v>82</v>
      </c>
      <c r="U673" t="s">
        <v>76</v>
      </c>
    </row>
    <row r="674" spans="1:21" x14ac:dyDescent="0.35">
      <c r="A674" t="s">
        <v>798</v>
      </c>
      <c r="B674" s="5">
        <v>45739</v>
      </c>
      <c r="C674" t="s">
        <v>78</v>
      </c>
      <c r="D674" t="s">
        <v>79</v>
      </c>
      <c r="E674" s="9">
        <v>5</v>
      </c>
      <c r="F674" s="10">
        <v>120</v>
      </c>
      <c r="G674" s="11">
        <v>0</v>
      </c>
      <c r="H674" s="10">
        <v>600</v>
      </c>
      <c r="I674" s="9">
        <v>0</v>
      </c>
      <c r="J674" s="10">
        <v>0</v>
      </c>
      <c r="K674" s="9">
        <v>5</v>
      </c>
      <c r="L674" s="10">
        <v>600</v>
      </c>
      <c r="M674" s="10">
        <v>473.8</v>
      </c>
      <c r="N674" s="10">
        <v>126.2</v>
      </c>
      <c r="O674" s="11">
        <f t="shared" si="40"/>
        <v>0.21033333333333334</v>
      </c>
      <c r="P674" s="10">
        <v>71.88</v>
      </c>
      <c r="Q674" s="10">
        <v>54.32</v>
      </c>
      <c r="R674" s="11">
        <f t="shared" si="41"/>
        <v>9.0533333333333341E-2</v>
      </c>
      <c r="S674" t="s">
        <v>65</v>
      </c>
      <c r="T674" t="s">
        <v>86</v>
      </c>
      <c r="U674" t="s">
        <v>2133</v>
      </c>
    </row>
    <row r="675" spans="1:21" x14ac:dyDescent="0.35">
      <c r="A675" t="s">
        <v>799</v>
      </c>
      <c r="B675" s="5">
        <v>45857</v>
      </c>
      <c r="C675" t="s">
        <v>100</v>
      </c>
      <c r="D675" t="s">
        <v>64</v>
      </c>
      <c r="E675" s="9">
        <v>2</v>
      </c>
      <c r="F675" s="10">
        <v>310</v>
      </c>
      <c r="G675" s="11">
        <v>0</v>
      </c>
      <c r="H675" s="10">
        <v>620</v>
      </c>
      <c r="I675" s="9">
        <v>0</v>
      </c>
      <c r="J675" s="10">
        <v>0</v>
      </c>
      <c r="K675" s="9">
        <v>2</v>
      </c>
      <c r="L675" s="10">
        <v>620</v>
      </c>
      <c r="M675" s="10">
        <v>452.54</v>
      </c>
      <c r="N675" s="10">
        <v>167.46</v>
      </c>
      <c r="O675" s="11">
        <f t="shared" si="40"/>
        <v>0.27009677419354838</v>
      </c>
      <c r="P675" s="10">
        <v>74.010000000000005</v>
      </c>
      <c r="Q675" s="10">
        <v>93.45</v>
      </c>
      <c r="R675" s="11">
        <f t="shared" si="41"/>
        <v>0.1507258064516129</v>
      </c>
      <c r="S675" t="s">
        <v>59</v>
      </c>
      <c r="T675" t="s">
        <v>60</v>
      </c>
      <c r="U675" t="s">
        <v>76</v>
      </c>
    </row>
    <row r="676" spans="1:21" x14ac:dyDescent="0.35">
      <c r="A676" t="s">
        <v>800</v>
      </c>
      <c r="B676" s="5">
        <v>45861</v>
      </c>
      <c r="C676" t="s">
        <v>78</v>
      </c>
      <c r="D676" t="s">
        <v>79</v>
      </c>
      <c r="E676" s="9">
        <v>2</v>
      </c>
      <c r="F676" s="10">
        <v>120</v>
      </c>
      <c r="G676" s="11">
        <v>0</v>
      </c>
      <c r="H676" s="10">
        <v>240</v>
      </c>
      <c r="I676" s="9">
        <v>0</v>
      </c>
      <c r="J676" s="10">
        <v>0</v>
      </c>
      <c r="K676" s="9">
        <v>2</v>
      </c>
      <c r="L676" s="10">
        <v>240</v>
      </c>
      <c r="M676" s="10">
        <v>200.38</v>
      </c>
      <c r="N676" s="10">
        <v>39.619999999999997</v>
      </c>
      <c r="O676" s="11">
        <f t="shared" si="40"/>
        <v>0.16508333333333333</v>
      </c>
      <c r="P676" s="10">
        <v>20.51</v>
      </c>
      <c r="Q676" s="10">
        <v>19.11</v>
      </c>
      <c r="R676" s="11">
        <f t="shared" si="41"/>
        <v>7.9625000000000001E-2</v>
      </c>
      <c r="S676" t="s">
        <v>81</v>
      </c>
      <c r="T676" t="s">
        <v>60</v>
      </c>
      <c r="U676" t="s">
        <v>71</v>
      </c>
    </row>
    <row r="677" spans="1:21" x14ac:dyDescent="0.35">
      <c r="A677" t="s">
        <v>801</v>
      </c>
      <c r="B677" s="5">
        <v>45842</v>
      </c>
      <c r="C677" t="s">
        <v>117</v>
      </c>
      <c r="D677" t="s">
        <v>74</v>
      </c>
      <c r="E677" s="9">
        <v>4</v>
      </c>
      <c r="F677" s="10">
        <v>95</v>
      </c>
      <c r="G677" s="11">
        <v>0</v>
      </c>
      <c r="H677" s="10">
        <v>380</v>
      </c>
      <c r="I677" s="9">
        <v>0</v>
      </c>
      <c r="J677" s="10">
        <v>0</v>
      </c>
      <c r="K677" s="9">
        <v>4</v>
      </c>
      <c r="L677" s="10">
        <v>380</v>
      </c>
      <c r="M677" s="10">
        <v>240.1</v>
      </c>
      <c r="N677" s="10">
        <v>139.9</v>
      </c>
      <c r="O677" s="11">
        <f t="shared" si="40"/>
        <v>0.36815789473684213</v>
      </c>
      <c r="P677" s="10">
        <v>29.75</v>
      </c>
      <c r="Q677" s="10">
        <v>110.15</v>
      </c>
      <c r="R677" s="11">
        <f t="shared" si="41"/>
        <v>0.28986842105263161</v>
      </c>
      <c r="S677" t="s">
        <v>59</v>
      </c>
      <c r="T677" t="s">
        <v>86</v>
      </c>
      <c r="U677" t="s">
        <v>71</v>
      </c>
    </row>
    <row r="678" spans="1:21" x14ac:dyDescent="0.35">
      <c r="A678" t="s">
        <v>802</v>
      </c>
      <c r="B678" s="5">
        <v>45765</v>
      </c>
      <c r="C678" t="s">
        <v>125</v>
      </c>
      <c r="D678" t="s">
        <v>85</v>
      </c>
      <c r="E678" s="9">
        <v>4</v>
      </c>
      <c r="F678" s="10">
        <v>125</v>
      </c>
      <c r="G678" s="11">
        <v>0</v>
      </c>
      <c r="H678" s="10">
        <v>500</v>
      </c>
      <c r="I678" s="9">
        <v>0</v>
      </c>
      <c r="J678" s="10">
        <v>0</v>
      </c>
      <c r="K678" s="9">
        <v>4</v>
      </c>
      <c r="L678" s="10">
        <v>500</v>
      </c>
      <c r="M678" s="10">
        <v>401.66</v>
      </c>
      <c r="N678" s="10">
        <v>98.34</v>
      </c>
      <c r="O678" s="11">
        <f t="shared" si="40"/>
        <v>0.19667999999999999</v>
      </c>
      <c r="P678" s="10">
        <v>56.17</v>
      </c>
      <c r="Q678" s="10">
        <v>42.17</v>
      </c>
      <c r="R678" s="11">
        <f t="shared" si="41"/>
        <v>8.4339999999999998E-2</v>
      </c>
      <c r="S678" t="s">
        <v>81</v>
      </c>
      <c r="T678" t="s">
        <v>66</v>
      </c>
      <c r="U678" t="s">
        <v>61</v>
      </c>
    </row>
    <row r="679" spans="1:21" x14ac:dyDescent="0.35">
      <c r="A679" t="s">
        <v>803</v>
      </c>
      <c r="B679" s="5">
        <v>45855</v>
      </c>
      <c r="C679" t="s">
        <v>56</v>
      </c>
      <c r="D679" t="s">
        <v>57</v>
      </c>
      <c r="E679" s="9">
        <v>4</v>
      </c>
      <c r="F679" s="10">
        <v>40</v>
      </c>
      <c r="G679" s="11">
        <v>0.05</v>
      </c>
      <c r="H679" s="10">
        <v>152</v>
      </c>
      <c r="I679" s="9">
        <v>0</v>
      </c>
      <c r="J679" s="10">
        <v>0</v>
      </c>
      <c r="K679" s="9">
        <v>4</v>
      </c>
      <c r="L679" s="10">
        <v>152</v>
      </c>
      <c r="M679" s="10">
        <v>116.4</v>
      </c>
      <c r="N679" s="10">
        <v>35.6</v>
      </c>
      <c r="O679" s="11">
        <f t="shared" si="40"/>
        <v>0.23421052631578948</v>
      </c>
      <c r="P679" s="10">
        <v>15.83</v>
      </c>
      <c r="Q679" s="10">
        <v>19.77</v>
      </c>
      <c r="R679" s="11">
        <f t="shared" si="41"/>
        <v>0.13006578947368422</v>
      </c>
      <c r="S679" t="s">
        <v>81</v>
      </c>
      <c r="T679" t="s">
        <v>82</v>
      </c>
      <c r="U679" t="s">
        <v>67</v>
      </c>
    </row>
    <row r="680" spans="1:21" x14ac:dyDescent="0.35">
      <c r="A680" t="s">
        <v>804</v>
      </c>
      <c r="B680" s="5">
        <v>45660</v>
      </c>
      <c r="C680" t="s">
        <v>92</v>
      </c>
      <c r="D680" t="s">
        <v>79</v>
      </c>
      <c r="E680" s="9">
        <v>1</v>
      </c>
      <c r="F680" s="10">
        <v>85</v>
      </c>
      <c r="G680" s="11">
        <v>0.05</v>
      </c>
      <c r="H680" s="10">
        <v>80.75</v>
      </c>
      <c r="I680" s="9">
        <v>0</v>
      </c>
      <c r="J680" s="10">
        <v>0</v>
      </c>
      <c r="K680" s="9">
        <v>1</v>
      </c>
      <c r="L680" s="10">
        <v>80.75</v>
      </c>
      <c r="M680" s="10">
        <v>50.65</v>
      </c>
      <c r="N680" s="10">
        <v>30.1</v>
      </c>
      <c r="O680" s="11">
        <f t="shared" si="40"/>
        <v>0.37275541795665634</v>
      </c>
      <c r="P680" s="10">
        <v>7.01</v>
      </c>
      <c r="Q680" s="10">
        <v>23.09</v>
      </c>
      <c r="R680" s="11">
        <f t="shared" si="41"/>
        <v>0.28594427244582044</v>
      </c>
      <c r="S680" t="s">
        <v>81</v>
      </c>
      <c r="T680" t="s">
        <v>82</v>
      </c>
      <c r="U680" t="s">
        <v>71</v>
      </c>
    </row>
    <row r="681" spans="1:21" x14ac:dyDescent="0.35">
      <c r="A681" t="s">
        <v>805</v>
      </c>
      <c r="B681" s="5">
        <v>45661</v>
      </c>
      <c r="C681" t="s">
        <v>92</v>
      </c>
      <c r="D681" t="s">
        <v>79</v>
      </c>
      <c r="E681" s="9">
        <v>1</v>
      </c>
      <c r="F681" s="10">
        <v>85</v>
      </c>
      <c r="G681" s="11">
        <v>0</v>
      </c>
      <c r="H681" s="10">
        <v>85</v>
      </c>
      <c r="I681" s="9">
        <v>0</v>
      </c>
      <c r="J681" s="10">
        <v>0</v>
      </c>
      <c r="K681" s="9">
        <v>1</v>
      </c>
      <c r="L681" s="10">
        <v>85</v>
      </c>
      <c r="M681" s="10">
        <v>59.8</v>
      </c>
      <c r="N681" s="10">
        <v>25.2</v>
      </c>
      <c r="O681" s="11">
        <f t="shared" si="40"/>
        <v>0.2964705882352941</v>
      </c>
      <c r="P681" s="10">
        <v>7.95</v>
      </c>
      <c r="Q681" s="10">
        <v>17.25</v>
      </c>
      <c r="R681" s="11">
        <f t="shared" si="41"/>
        <v>0.20294117647058824</v>
      </c>
      <c r="S681" t="s">
        <v>81</v>
      </c>
      <c r="T681" t="s">
        <v>60</v>
      </c>
      <c r="U681" t="s">
        <v>61</v>
      </c>
    </row>
    <row r="682" spans="1:21" x14ac:dyDescent="0.35">
      <c r="A682" t="s">
        <v>806</v>
      </c>
      <c r="B682" s="5">
        <v>45681</v>
      </c>
      <c r="C682" t="s">
        <v>107</v>
      </c>
      <c r="D682" t="s">
        <v>74</v>
      </c>
      <c r="E682" s="9">
        <v>2</v>
      </c>
      <c r="F682" s="10">
        <v>125</v>
      </c>
      <c r="G682" s="11">
        <v>0.05</v>
      </c>
      <c r="H682" s="10">
        <v>237.5</v>
      </c>
      <c r="I682" s="9">
        <v>1</v>
      </c>
      <c r="J682" s="10">
        <v>118.75</v>
      </c>
      <c r="K682" s="9">
        <v>1</v>
      </c>
      <c r="L682" s="10">
        <v>118.75</v>
      </c>
      <c r="M682" s="10">
        <v>94.22</v>
      </c>
      <c r="N682" s="10">
        <v>24.53</v>
      </c>
      <c r="O682" s="11">
        <f t="shared" si="40"/>
        <v>0.2065684210526316</v>
      </c>
      <c r="P682" s="10">
        <v>9.42</v>
      </c>
      <c r="Q682" s="10">
        <v>15.11</v>
      </c>
      <c r="R682" s="11">
        <f t="shared" si="41"/>
        <v>0.12724210526315788</v>
      </c>
      <c r="S682" t="s">
        <v>81</v>
      </c>
      <c r="T682" t="s">
        <v>86</v>
      </c>
      <c r="U682" t="s">
        <v>61</v>
      </c>
    </row>
    <row r="683" spans="1:21" x14ac:dyDescent="0.35">
      <c r="A683" t="s">
        <v>807</v>
      </c>
      <c r="B683" s="5">
        <v>45765</v>
      </c>
      <c r="C683" t="s">
        <v>95</v>
      </c>
      <c r="D683" t="s">
        <v>64</v>
      </c>
      <c r="E683" s="9">
        <v>5</v>
      </c>
      <c r="F683" s="10">
        <v>52</v>
      </c>
      <c r="G683" s="11">
        <v>0</v>
      </c>
      <c r="H683" s="10">
        <v>260</v>
      </c>
      <c r="I683" s="9">
        <v>0</v>
      </c>
      <c r="J683" s="10">
        <v>0</v>
      </c>
      <c r="K683" s="9">
        <v>5</v>
      </c>
      <c r="L683" s="10">
        <v>260</v>
      </c>
      <c r="M683" s="10">
        <v>165.45</v>
      </c>
      <c r="N683" s="10">
        <v>94.55</v>
      </c>
      <c r="O683" s="11">
        <f t="shared" si="40"/>
        <v>0.36365384615384616</v>
      </c>
      <c r="P683" s="10">
        <v>18.55</v>
      </c>
      <c r="Q683" s="10">
        <v>76</v>
      </c>
      <c r="R683" s="11">
        <f t="shared" si="41"/>
        <v>0.29230769230769232</v>
      </c>
      <c r="S683" t="s">
        <v>75</v>
      </c>
      <c r="T683" t="s">
        <v>86</v>
      </c>
      <c r="U683" t="s">
        <v>67</v>
      </c>
    </row>
    <row r="684" spans="1:21" x14ac:dyDescent="0.35">
      <c r="A684" t="s">
        <v>808</v>
      </c>
      <c r="B684" s="5">
        <v>45994</v>
      </c>
      <c r="C684" t="s">
        <v>63</v>
      </c>
      <c r="D684" t="s">
        <v>64</v>
      </c>
      <c r="E684" s="9">
        <v>4</v>
      </c>
      <c r="F684" s="10">
        <v>145</v>
      </c>
      <c r="G684" s="11">
        <v>0</v>
      </c>
      <c r="H684" s="10">
        <v>580</v>
      </c>
      <c r="I684" s="9">
        <v>0</v>
      </c>
      <c r="J684" s="10">
        <v>0</v>
      </c>
      <c r="K684" s="9">
        <v>4</v>
      </c>
      <c r="L684" s="10">
        <v>580</v>
      </c>
      <c r="M684" s="10">
        <v>449.31</v>
      </c>
      <c r="N684" s="10">
        <v>130.69</v>
      </c>
      <c r="O684" s="11">
        <f t="shared" si="40"/>
        <v>0.22532758620689655</v>
      </c>
      <c r="P684" s="10">
        <v>39.78</v>
      </c>
      <c r="Q684" s="10">
        <v>90.91</v>
      </c>
      <c r="R684" s="11">
        <f t="shared" si="41"/>
        <v>0.15674137931034482</v>
      </c>
      <c r="S684" t="s">
        <v>75</v>
      </c>
      <c r="T684" t="s">
        <v>82</v>
      </c>
      <c r="U684" t="s">
        <v>67</v>
      </c>
    </row>
    <row r="685" spans="1:21" x14ac:dyDescent="0.35">
      <c r="A685" t="s">
        <v>809</v>
      </c>
      <c r="B685" s="5">
        <v>45980</v>
      </c>
      <c r="C685" t="s">
        <v>90</v>
      </c>
      <c r="D685" t="s">
        <v>70</v>
      </c>
      <c r="E685" s="9">
        <v>2</v>
      </c>
      <c r="F685" s="10">
        <v>38</v>
      </c>
      <c r="G685" s="11">
        <v>0</v>
      </c>
      <c r="H685" s="10">
        <v>76</v>
      </c>
      <c r="I685" s="9">
        <v>0</v>
      </c>
      <c r="J685" s="10">
        <v>0</v>
      </c>
      <c r="K685" s="9">
        <v>2</v>
      </c>
      <c r="L685" s="10">
        <v>76</v>
      </c>
      <c r="M685" s="10">
        <v>59.77</v>
      </c>
      <c r="N685" s="10">
        <v>16.23</v>
      </c>
      <c r="O685" s="11">
        <f t="shared" si="40"/>
        <v>0.21355263157894738</v>
      </c>
      <c r="P685" s="10">
        <v>5.65</v>
      </c>
      <c r="Q685" s="10">
        <v>10.58</v>
      </c>
      <c r="R685" s="11">
        <f t="shared" si="41"/>
        <v>0.13921052631578948</v>
      </c>
      <c r="S685" t="s">
        <v>59</v>
      </c>
      <c r="T685" t="s">
        <v>86</v>
      </c>
      <c r="U685" t="s">
        <v>71</v>
      </c>
    </row>
    <row r="686" spans="1:21" x14ac:dyDescent="0.35">
      <c r="A686" t="s">
        <v>810</v>
      </c>
      <c r="B686" s="5">
        <v>45925</v>
      </c>
      <c r="C686" t="s">
        <v>69</v>
      </c>
      <c r="D686" t="s">
        <v>70</v>
      </c>
      <c r="E686" s="9">
        <v>4</v>
      </c>
      <c r="F686" s="10">
        <v>210</v>
      </c>
      <c r="G686" s="11">
        <v>0.02</v>
      </c>
      <c r="H686" s="10">
        <v>823.2</v>
      </c>
      <c r="I686" s="9">
        <v>0</v>
      </c>
      <c r="J686" s="10">
        <v>0</v>
      </c>
      <c r="K686" s="9">
        <v>4</v>
      </c>
      <c r="L686" s="10">
        <v>823.2</v>
      </c>
      <c r="M686" s="10">
        <v>705.46</v>
      </c>
      <c r="N686" s="10">
        <v>117.74</v>
      </c>
      <c r="O686" s="11">
        <f t="shared" si="40"/>
        <v>0.14302721088435372</v>
      </c>
      <c r="P686" s="10">
        <v>84.78</v>
      </c>
      <c r="Q686" s="10">
        <v>32.96</v>
      </c>
      <c r="R686" s="11">
        <f t="shared" si="41"/>
        <v>4.0038872691933916E-2</v>
      </c>
      <c r="S686" t="s">
        <v>75</v>
      </c>
      <c r="T686" t="s">
        <v>86</v>
      </c>
      <c r="U686" t="s">
        <v>71</v>
      </c>
    </row>
    <row r="687" spans="1:21" x14ac:dyDescent="0.35">
      <c r="A687" t="s">
        <v>811</v>
      </c>
      <c r="B687" s="5">
        <v>45668</v>
      </c>
      <c r="C687" t="s">
        <v>114</v>
      </c>
      <c r="D687" t="s">
        <v>64</v>
      </c>
      <c r="E687" s="9">
        <v>2</v>
      </c>
      <c r="F687" s="10">
        <v>420</v>
      </c>
      <c r="G687" s="11">
        <v>0</v>
      </c>
      <c r="H687" s="10">
        <v>840</v>
      </c>
      <c r="I687" s="9">
        <v>2</v>
      </c>
      <c r="J687" s="10">
        <v>840</v>
      </c>
      <c r="K687" s="9">
        <v>0</v>
      </c>
      <c r="L687" s="10">
        <v>0</v>
      </c>
      <c r="M687" s="10">
        <v>0</v>
      </c>
      <c r="N687" s="10">
        <v>0</v>
      </c>
      <c r="O687" s="11">
        <v>0</v>
      </c>
      <c r="P687" s="10">
        <v>0</v>
      </c>
      <c r="Q687" s="10">
        <v>0</v>
      </c>
      <c r="R687" s="11">
        <v>0</v>
      </c>
      <c r="S687" t="s">
        <v>81</v>
      </c>
      <c r="T687" t="s">
        <v>60</v>
      </c>
      <c r="U687" t="s">
        <v>67</v>
      </c>
    </row>
    <row r="688" spans="1:21" x14ac:dyDescent="0.35">
      <c r="A688" t="s">
        <v>812</v>
      </c>
      <c r="B688" s="5">
        <v>45723</v>
      </c>
      <c r="C688" t="s">
        <v>84</v>
      </c>
      <c r="D688" t="s">
        <v>85</v>
      </c>
      <c r="E688" s="9">
        <v>4</v>
      </c>
      <c r="F688" s="10">
        <v>48</v>
      </c>
      <c r="G688" s="11">
        <v>0</v>
      </c>
      <c r="H688" s="10">
        <v>192</v>
      </c>
      <c r="I688" s="9">
        <v>0</v>
      </c>
      <c r="J688" s="10">
        <v>0</v>
      </c>
      <c r="K688" s="9">
        <v>4</v>
      </c>
      <c r="L688" s="10">
        <v>192</v>
      </c>
      <c r="M688" s="10">
        <v>121.4</v>
      </c>
      <c r="N688" s="10">
        <v>70.599999999999994</v>
      </c>
      <c r="O688" s="11">
        <f t="shared" ref="O688:O721" si="42">N688/L688</f>
        <v>0.3677083333333333</v>
      </c>
      <c r="P688" s="10">
        <v>17.16</v>
      </c>
      <c r="Q688" s="10">
        <v>53.44</v>
      </c>
      <c r="R688" s="11">
        <f t="shared" ref="R688:R721" si="43">Q688/L688</f>
        <v>0.27833333333333332</v>
      </c>
      <c r="S688" t="s">
        <v>81</v>
      </c>
      <c r="T688" t="s">
        <v>66</v>
      </c>
      <c r="U688" t="s">
        <v>76</v>
      </c>
    </row>
    <row r="689" spans="1:21" x14ac:dyDescent="0.35">
      <c r="A689" t="s">
        <v>813</v>
      </c>
      <c r="B689" s="5">
        <v>45983</v>
      </c>
      <c r="C689" t="s">
        <v>104</v>
      </c>
      <c r="D689" t="s">
        <v>105</v>
      </c>
      <c r="E689" s="9">
        <v>2</v>
      </c>
      <c r="F689" s="10">
        <v>65</v>
      </c>
      <c r="G689" s="11">
        <v>0</v>
      </c>
      <c r="H689" s="10">
        <v>130</v>
      </c>
      <c r="I689" s="9">
        <v>0</v>
      </c>
      <c r="J689" s="10">
        <v>0</v>
      </c>
      <c r="K689" s="9">
        <v>2</v>
      </c>
      <c r="L689" s="10">
        <v>130</v>
      </c>
      <c r="M689" s="10">
        <v>95.08</v>
      </c>
      <c r="N689" s="10">
        <v>34.92</v>
      </c>
      <c r="O689" s="11">
        <f t="shared" si="42"/>
        <v>0.26861538461538464</v>
      </c>
      <c r="P689" s="10">
        <v>16.149999999999999</v>
      </c>
      <c r="Q689" s="10">
        <v>18.77</v>
      </c>
      <c r="R689" s="11">
        <f t="shared" si="43"/>
        <v>0.14438461538461539</v>
      </c>
      <c r="S689" t="s">
        <v>75</v>
      </c>
      <c r="T689" t="s">
        <v>60</v>
      </c>
      <c r="U689" t="s">
        <v>76</v>
      </c>
    </row>
    <row r="690" spans="1:21" x14ac:dyDescent="0.35">
      <c r="A690" t="s">
        <v>814</v>
      </c>
      <c r="B690" s="5">
        <v>46006</v>
      </c>
      <c r="C690" t="s">
        <v>121</v>
      </c>
      <c r="D690" t="s">
        <v>70</v>
      </c>
      <c r="E690" s="9">
        <v>5</v>
      </c>
      <c r="F690" s="10">
        <v>110</v>
      </c>
      <c r="G690" s="11">
        <v>0.05</v>
      </c>
      <c r="H690" s="10">
        <v>522.5</v>
      </c>
      <c r="I690" s="9">
        <v>0</v>
      </c>
      <c r="J690" s="10">
        <v>0</v>
      </c>
      <c r="K690" s="9">
        <v>5</v>
      </c>
      <c r="L690" s="10">
        <v>522.5</v>
      </c>
      <c r="M690" s="10">
        <v>420.23</v>
      </c>
      <c r="N690" s="10">
        <v>102.27</v>
      </c>
      <c r="O690" s="11">
        <f t="shared" si="42"/>
        <v>0.19573205741626792</v>
      </c>
      <c r="P690" s="10">
        <v>53.04</v>
      </c>
      <c r="Q690" s="10">
        <v>49.23</v>
      </c>
      <c r="R690" s="11">
        <f t="shared" si="43"/>
        <v>9.4220095693779898E-2</v>
      </c>
      <c r="S690" t="s">
        <v>65</v>
      </c>
      <c r="T690" t="s">
        <v>66</v>
      </c>
      <c r="U690" t="s">
        <v>67</v>
      </c>
    </row>
    <row r="691" spans="1:21" x14ac:dyDescent="0.35">
      <c r="A691" t="s">
        <v>815</v>
      </c>
      <c r="B691" s="5">
        <v>45950</v>
      </c>
      <c r="C691" t="s">
        <v>104</v>
      </c>
      <c r="D691" t="s">
        <v>105</v>
      </c>
      <c r="E691" s="9">
        <v>2</v>
      </c>
      <c r="F691" s="10">
        <v>65</v>
      </c>
      <c r="G691" s="11">
        <v>0.05</v>
      </c>
      <c r="H691" s="10">
        <v>123.5</v>
      </c>
      <c r="I691" s="9">
        <v>0</v>
      </c>
      <c r="J691" s="10">
        <v>0</v>
      </c>
      <c r="K691" s="9">
        <v>2</v>
      </c>
      <c r="L691" s="10">
        <v>123.5</v>
      </c>
      <c r="M691" s="10">
        <v>84.03</v>
      </c>
      <c r="N691" s="10">
        <v>39.47</v>
      </c>
      <c r="O691" s="11">
        <f t="shared" si="42"/>
        <v>0.31959514170040487</v>
      </c>
      <c r="P691" s="10">
        <v>7.02</v>
      </c>
      <c r="Q691" s="10">
        <v>32.450000000000003</v>
      </c>
      <c r="R691" s="11">
        <f t="shared" si="43"/>
        <v>0.26275303643724701</v>
      </c>
      <c r="S691" t="s">
        <v>81</v>
      </c>
      <c r="T691" t="s">
        <v>60</v>
      </c>
      <c r="U691" t="s">
        <v>76</v>
      </c>
    </row>
    <row r="692" spans="1:21" x14ac:dyDescent="0.35">
      <c r="A692" t="s">
        <v>816</v>
      </c>
      <c r="B692" s="5">
        <v>46015</v>
      </c>
      <c r="C692" t="s">
        <v>84</v>
      </c>
      <c r="D692" t="s">
        <v>85</v>
      </c>
      <c r="E692" s="9">
        <v>2</v>
      </c>
      <c r="F692" s="10">
        <v>48</v>
      </c>
      <c r="G692" s="11">
        <v>0</v>
      </c>
      <c r="H692" s="10">
        <v>96</v>
      </c>
      <c r="I692" s="9">
        <v>0</v>
      </c>
      <c r="J692" s="10">
        <v>0</v>
      </c>
      <c r="K692" s="9">
        <v>2</v>
      </c>
      <c r="L692" s="10">
        <v>96</v>
      </c>
      <c r="M692" s="10">
        <v>82.54</v>
      </c>
      <c r="N692" s="10">
        <v>13.46</v>
      </c>
      <c r="O692" s="11">
        <f t="shared" si="42"/>
        <v>0.14020833333333335</v>
      </c>
      <c r="P692" s="10">
        <v>5.59</v>
      </c>
      <c r="Q692" s="10">
        <v>7.87</v>
      </c>
      <c r="R692" s="11">
        <f t="shared" si="43"/>
        <v>8.1979166666666672E-2</v>
      </c>
      <c r="S692" t="s">
        <v>59</v>
      </c>
      <c r="T692" t="s">
        <v>82</v>
      </c>
      <c r="U692" t="s">
        <v>61</v>
      </c>
    </row>
    <row r="693" spans="1:21" x14ac:dyDescent="0.35">
      <c r="A693" t="s">
        <v>817</v>
      </c>
      <c r="B693" s="5">
        <v>45958</v>
      </c>
      <c r="C693" t="s">
        <v>100</v>
      </c>
      <c r="D693" t="s">
        <v>64</v>
      </c>
      <c r="E693" s="9">
        <v>3</v>
      </c>
      <c r="F693" s="10">
        <v>310</v>
      </c>
      <c r="G693" s="11">
        <v>0</v>
      </c>
      <c r="H693" s="10">
        <v>930</v>
      </c>
      <c r="I693" s="9">
        <v>0</v>
      </c>
      <c r="J693" s="10">
        <v>0</v>
      </c>
      <c r="K693" s="9">
        <v>3</v>
      </c>
      <c r="L693" s="10">
        <v>930</v>
      </c>
      <c r="M693" s="10">
        <v>600.41999999999996</v>
      </c>
      <c r="N693" s="10">
        <v>329.58</v>
      </c>
      <c r="O693" s="11">
        <f t="shared" si="42"/>
        <v>0.35438709677419356</v>
      </c>
      <c r="P693" s="10">
        <v>111.08</v>
      </c>
      <c r="Q693" s="10">
        <v>218.5</v>
      </c>
      <c r="R693" s="11">
        <f t="shared" si="43"/>
        <v>0.23494623655913979</v>
      </c>
      <c r="S693" t="s">
        <v>65</v>
      </c>
      <c r="T693" t="s">
        <v>86</v>
      </c>
      <c r="U693" t="s">
        <v>67</v>
      </c>
    </row>
    <row r="694" spans="1:21" x14ac:dyDescent="0.35">
      <c r="A694" t="s">
        <v>818</v>
      </c>
      <c r="B694" s="5">
        <v>45883</v>
      </c>
      <c r="C694" t="s">
        <v>90</v>
      </c>
      <c r="D694" t="s">
        <v>70</v>
      </c>
      <c r="E694" s="9">
        <v>1</v>
      </c>
      <c r="F694" s="10">
        <v>38</v>
      </c>
      <c r="G694" s="11">
        <v>0</v>
      </c>
      <c r="H694" s="10">
        <v>38</v>
      </c>
      <c r="I694" s="9">
        <v>0</v>
      </c>
      <c r="J694" s="10">
        <v>0</v>
      </c>
      <c r="K694" s="9">
        <v>1</v>
      </c>
      <c r="L694" s="10">
        <v>38</v>
      </c>
      <c r="M694" s="10">
        <v>24.8</v>
      </c>
      <c r="N694" s="10">
        <v>13.2</v>
      </c>
      <c r="O694" s="11">
        <f t="shared" si="42"/>
        <v>0.34736842105263155</v>
      </c>
      <c r="P694" s="10">
        <v>3.07</v>
      </c>
      <c r="Q694" s="10">
        <v>10.130000000000001</v>
      </c>
      <c r="R694" s="11">
        <f t="shared" si="43"/>
        <v>0.26657894736842108</v>
      </c>
      <c r="S694" t="s">
        <v>75</v>
      </c>
      <c r="T694" t="s">
        <v>60</v>
      </c>
      <c r="U694" t="s">
        <v>61</v>
      </c>
    </row>
    <row r="695" spans="1:21" x14ac:dyDescent="0.35">
      <c r="A695" t="s">
        <v>819</v>
      </c>
      <c r="B695" s="5">
        <v>45917</v>
      </c>
      <c r="C695" t="s">
        <v>117</v>
      </c>
      <c r="D695" t="s">
        <v>74</v>
      </c>
      <c r="E695" s="9">
        <v>1</v>
      </c>
      <c r="F695" s="10">
        <v>95</v>
      </c>
      <c r="G695" s="11">
        <v>0.05</v>
      </c>
      <c r="H695" s="10">
        <v>90.25</v>
      </c>
      <c r="I695" s="9">
        <v>0</v>
      </c>
      <c r="J695" s="10">
        <v>0</v>
      </c>
      <c r="K695" s="9">
        <v>1</v>
      </c>
      <c r="L695" s="10">
        <v>90.25</v>
      </c>
      <c r="M695" s="10">
        <v>61.91</v>
      </c>
      <c r="N695" s="10">
        <v>28.34</v>
      </c>
      <c r="O695" s="11">
        <f t="shared" si="42"/>
        <v>0.31401662049861495</v>
      </c>
      <c r="P695" s="10">
        <v>6.97</v>
      </c>
      <c r="Q695" s="10">
        <v>21.37</v>
      </c>
      <c r="R695" s="11">
        <f t="shared" si="43"/>
        <v>0.23678670360110804</v>
      </c>
      <c r="S695" t="s">
        <v>81</v>
      </c>
      <c r="T695" t="s">
        <v>60</v>
      </c>
      <c r="U695" t="s">
        <v>61</v>
      </c>
    </row>
    <row r="696" spans="1:21" x14ac:dyDescent="0.35">
      <c r="A696" t="s">
        <v>820</v>
      </c>
      <c r="B696" s="5">
        <v>45759</v>
      </c>
      <c r="C696" t="s">
        <v>104</v>
      </c>
      <c r="D696" t="s">
        <v>105</v>
      </c>
      <c r="E696" s="9">
        <v>4</v>
      </c>
      <c r="F696" s="10">
        <v>65</v>
      </c>
      <c r="G696" s="11">
        <v>0.15</v>
      </c>
      <c r="H696" s="10">
        <v>221</v>
      </c>
      <c r="I696" s="9">
        <v>0</v>
      </c>
      <c r="J696" s="10">
        <v>0</v>
      </c>
      <c r="K696" s="9">
        <v>4</v>
      </c>
      <c r="L696" s="10">
        <v>221</v>
      </c>
      <c r="M696" s="10">
        <v>141</v>
      </c>
      <c r="N696" s="10">
        <v>80</v>
      </c>
      <c r="O696" s="11">
        <f t="shared" si="42"/>
        <v>0.36199095022624433</v>
      </c>
      <c r="P696" s="10">
        <v>18.260000000000002</v>
      </c>
      <c r="Q696" s="10">
        <v>61.74</v>
      </c>
      <c r="R696" s="11">
        <f t="shared" si="43"/>
        <v>0.27936651583710409</v>
      </c>
      <c r="S696" t="s">
        <v>81</v>
      </c>
      <c r="T696" t="s">
        <v>82</v>
      </c>
      <c r="U696" t="s">
        <v>76</v>
      </c>
    </row>
    <row r="697" spans="1:21" x14ac:dyDescent="0.35">
      <c r="A697" t="s">
        <v>821</v>
      </c>
      <c r="B697" s="5">
        <v>45760</v>
      </c>
      <c r="C697" t="s">
        <v>63</v>
      </c>
      <c r="D697" t="s">
        <v>64</v>
      </c>
      <c r="E697" s="9">
        <v>5</v>
      </c>
      <c r="F697" s="10">
        <v>145</v>
      </c>
      <c r="G697" s="11">
        <v>0.02</v>
      </c>
      <c r="H697" s="10">
        <v>710.5</v>
      </c>
      <c r="I697" s="9">
        <v>0</v>
      </c>
      <c r="J697" s="10">
        <v>0</v>
      </c>
      <c r="K697" s="9">
        <v>5</v>
      </c>
      <c r="L697" s="10">
        <v>710.5</v>
      </c>
      <c r="M697" s="10">
        <v>550.89</v>
      </c>
      <c r="N697" s="10">
        <v>159.61000000000001</v>
      </c>
      <c r="O697" s="11">
        <f t="shared" si="42"/>
        <v>0.2246446164672766</v>
      </c>
      <c r="P697" s="10">
        <v>72.48</v>
      </c>
      <c r="Q697" s="10">
        <v>87.13</v>
      </c>
      <c r="R697" s="11">
        <f t="shared" si="43"/>
        <v>0.12263194933145671</v>
      </c>
      <c r="S697" t="s">
        <v>75</v>
      </c>
      <c r="T697" t="s">
        <v>66</v>
      </c>
      <c r="U697" t="s">
        <v>76</v>
      </c>
    </row>
    <row r="698" spans="1:21" x14ac:dyDescent="0.35">
      <c r="A698" t="s">
        <v>822</v>
      </c>
      <c r="B698" s="5">
        <v>45726</v>
      </c>
      <c r="C698" t="s">
        <v>109</v>
      </c>
      <c r="D698" t="s">
        <v>85</v>
      </c>
      <c r="E698" s="9">
        <v>3</v>
      </c>
      <c r="F698" s="10">
        <v>180</v>
      </c>
      <c r="G698" s="11">
        <v>0</v>
      </c>
      <c r="H698" s="10">
        <v>540</v>
      </c>
      <c r="I698" s="9">
        <v>0</v>
      </c>
      <c r="J698" s="10">
        <v>0</v>
      </c>
      <c r="K698" s="9">
        <v>3</v>
      </c>
      <c r="L698" s="10">
        <v>540</v>
      </c>
      <c r="M698" s="10">
        <v>347.37</v>
      </c>
      <c r="N698" s="10">
        <v>192.63</v>
      </c>
      <c r="O698" s="11">
        <f t="shared" si="42"/>
        <v>0.35672222222222222</v>
      </c>
      <c r="P698" s="10">
        <v>52.6</v>
      </c>
      <c r="Q698" s="10">
        <v>140.03</v>
      </c>
      <c r="R698" s="11">
        <f t="shared" si="43"/>
        <v>0.25931481481481483</v>
      </c>
      <c r="S698" t="s">
        <v>75</v>
      </c>
      <c r="T698" t="s">
        <v>82</v>
      </c>
      <c r="U698" t="s">
        <v>71</v>
      </c>
    </row>
    <row r="699" spans="1:21" x14ac:dyDescent="0.35">
      <c r="A699" t="s">
        <v>823</v>
      </c>
      <c r="B699" s="5">
        <v>45983</v>
      </c>
      <c r="C699" t="s">
        <v>109</v>
      </c>
      <c r="D699" t="s">
        <v>85</v>
      </c>
      <c r="E699" s="9">
        <v>8</v>
      </c>
      <c r="F699" s="10">
        <v>180</v>
      </c>
      <c r="G699" s="11">
        <v>0.02</v>
      </c>
      <c r="H699" s="10">
        <v>1411.2</v>
      </c>
      <c r="I699" s="9">
        <v>0</v>
      </c>
      <c r="J699" s="10">
        <v>0</v>
      </c>
      <c r="K699" s="9">
        <v>8</v>
      </c>
      <c r="L699" s="10">
        <v>1411.2</v>
      </c>
      <c r="M699" s="10">
        <v>980.5</v>
      </c>
      <c r="N699" s="10">
        <v>430.7</v>
      </c>
      <c r="O699" s="11">
        <f t="shared" si="42"/>
        <v>0.30520124716553287</v>
      </c>
      <c r="P699" s="10">
        <v>78.02</v>
      </c>
      <c r="Q699" s="10">
        <v>352.68</v>
      </c>
      <c r="R699" s="11">
        <f t="shared" si="43"/>
        <v>0.24991496598639457</v>
      </c>
      <c r="S699" t="s">
        <v>65</v>
      </c>
      <c r="T699" t="s">
        <v>66</v>
      </c>
      <c r="U699" t="s">
        <v>76</v>
      </c>
    </row>
    <row r="700" spans="1:21" x14ac:dyDescent="0.35">
      <c r="A700" t="s">
        <v>824</v>
      </c>
      <c r="B700" s="5">
        <v>45683</v>
      </c>
      <c r="C700" t="s">
        <v>84</v>
      </c>
      <c r="D700" t="s">
        <v>85</v>
      </c>
      <c r="E700" s="9">
        <v>4</v>
      </c>
      <c r="F700" s="10">
        <v>48</v>
      </c>
      <c r="G700" s="11">
        <v>0.05</v>
      </c>
      <c r="H700" s="10">
        <v>182.4</v>
      </c>
      <c r="I700" s="9">
        <v>0</v>
      </c>
      <c r="J700" s="10">
        <v>0</v>
      </c>
      <c r="K700" s="9">
        <v>4</v>
      </c>
      <c r="L700" s="10">
        <v>182.4</v>
      </c>
      <c r="M700" s="10">
        <v>145.9</v>
      </c>
      <c r="N700" s="10">
        <v>36.5</v>
      </c>
      <c r="O700" s="11">
        <f t="shared" si="42"/>
        <v>0.20010964912280702</v>
      </c>
      <c r="P700" s="10">
        <v>13.6</v>
      </c>
      <c r="Q700" s="10">
        <v>22.9</v>
      </c>
      <c r="R700" s="11">
        <f t="shared" si="43"/>
        <v>0.12554824561403508</v>
      </c>
      <c r="S700" t="s">
        <v>65</v>
      </c>
      <c r="T700" t="s">
        <v>66</v>
      </c>
      <c r="U700" t="s">
        <v>71</v>
      </c>
    </row>
    <row r="701" spans="1:21" x14ac:dyDescent="0.35">
      <c r="A701" t="s">
        <v>825</v>
      </c>
      <c r="B701" s="5">
        <v>45865</v>
      </c>
      <c r="C701" t="s">
        <v>73</v>
      </c>
      <c r="D701" t="s">
        <v>74</v>
      </c>
      <c r="E701" s="9">
        <v>4</v>
      </c>
      <c r="F701" s="10">
        <v>280</v>
      </c>
      <c r="G701" s="11">
        <v>0</v>
      </c>
      <c r="H701" s="10">
        <v>1120</v>
      </c>
      <c r="I701" s="9">
        <v>0</v>
      </c>
      <c r="J701" s="10">
        <v>0</v>
      </c>
      <c r="K701" s="9">
        <v>4</v>
      </c>
      <c r="L701" s="10">
        <v>1120</v>
      </c>
      <c r="M701" s="10">
        <v>855.06</v>
      </c>
      <c r="N701" s="10">
        <v>264.94</v>
      </c>
      <c r="O701" s="11">
        <f t="shared" si="42"/>
        <v>0.23655357142857142</v>
      </c>
      <c r="P701" s="10">
        <v>135.82</v>
      </c>
      <c r="Q701" s="10">
        <v>129.12</v>
      </c>
      <c r="R701" s="11">
        <f t="shared" si="43"/>
        <v>0.11528571428571428</v>
      </c>
      <c r="S701" t="s">
        <v>59</v>
      </c>
      <c r="T701" t="s">
        <v>60</v>
      </c>
      <c r="U701" t="s">
        <v>67</v>
      </c>
    </row>
    <row r="702" spans="1:21" x14ac:dyDescent="0.35">
      <c r="A702" t="s">
        <v>826</v>
      </c>
      <c r="B702" s="5">
        <v>45921</v>
      </c>
      <c r="C702" t="s">
        <v>100</v>
      </c>
      <c r="D702" t="s">
        <v>64</v>
      </c>
      <c r="E702" s="9">
        <v>4</v>
      </c>
      <c r="F702" s="10">
        <v>310</v>
      </c>
      <c r="G702" s="11">
        <v>0.05</v>
      </c>
      <c r="H702" s="10">
        <v>1178</v>
      </c>
      <c r="I702" s="9">
        <v>0</v>
      </c>
      <c r="J702" s="10">
        <v>0</v>
      </c>
      <c r="K702" s="9">
        <v>4</v>
      </c>
      <c r="L702" s="10">
        <v>1178</v>
      </c>
      <c r="M702" s="10">
        <v>799.53</v>
      </c>
      <c r="N702" s="10">
        <v>378.47</v>
      </c>
      <c r="O702" s="11">
        <f t="shared" si="42"/>
        <v>0.32128183361629886</v>
      </c>
      <c r="P702" s="10">
        <v>137.94999999999999</v>
      </c>
      <c r="Q702" s="10">
        <v>240.52</v>
      </c>
      <c r="R702" s="11">
        <f t="shared" si="43"/>
        <v>0.20417657045840409</v>
      </c>
      <c r="S702" t="s">
        <v>75</v>
      </c>
      <c r="T702" t="s">
        <v>66</v>
      </c>
      <c r="U702" t="s">
        <v>76</v>
      </c>
    </row>
    <row r="703" spans="1:21" x14ac:dyDescent="0.35">
      <c r="A703" t="s">
        <v>827</v>
      </c>
      <c r="B703" s="5">
        <v>45715</v>
      </c>
      <c r="C703" t="s">
        <v>109</v>
      </c>
      <c r="D703" t="s">
        <v>85</v>
      </c>
      <c r="E703" s="9">
        <v>1</v>
      </c>
      <c r="F703" s="10">
        <v>180</v>
      </c>
      <c r="G703" s="11">
        <v>0.1</v>
      </c>
      <c r="H703" s="10">
        <v>162</v>
      </c>
      <c r="I703" s="9">
        <v>0</v>
      </c>
      <c r="J703" s="10">
        <v>0</v>
      </c>
      <c r="K703" s="9">
        <v>1</v>
      </c>
      <c r="L703" s="10">
        <v>162</v>
      </c>
      <c r="M703" s="10">
        <v>132.34</v>
      </c>
      <c r="N703" s="10">
        <v>29.66</v>
      </c>
      <c r="O703" s="11">
        <f t="shared" si="42"/>
        <v>0.18308641975308643</v>
      </c>
      <c r="P703" s="10">
        <v>8.73</v>
      </c>
      <c r="Q703" s="10">
        <v>20.93</v>
      </c>
      <c r="R703" s="11">
        <f t="shared" si="43"/>
        <v>0.12919753086419752</v>
      </c>
      <c r="S703" t="s">
        <v>81</v>
      </c>
      <c r="T703" t="s">
        <v>60</v>
      </c>
      <c r="U703" t="s">
        <v>71</v>
      </c>
    </row>
    <row r="704" spans="1:21" x14ac:dyDescent="0.35">
      <c r="A704" t="s">
        <v>828</v>
      </c>
      <c r="B704" s="5">
        <v>46022</v>
      </c>
      <c r="C704" t="s">
        <v>117</v>
      </c>
      <c r="D704" t="s">
        <v>74</v>
      </c>
      <c r="E704" s="9">
        <v>3</v>
      </c>
      <c r="F704" s="10">
        <v>95</v>
      </c>
      <c r="G704" s="11">
        <v>0.02</v>
      </c>
      <c r="H704" s="10">
        <v>279.3</v>
      </c>
      <c r="I704" s="9">
        <v>0</v>
      </c>
      <c r="J704" s="10">
        <v>0</v>
      </c>
      <c r="K704" s="9">
        <v>3</v>
      </c>
      <c r="L704" s="10">
        <v>279.3</v>
      </c>
      <c r="M704" s="10">
        <v>223.65</v>
      </c>
      <c r="N704" s="10">
        <v>55.65</v>
      </c>
      <c r="O704" s="11">
        <f t="shared" si="42"/>
        <v>0.19924812030075187</v>
      </c>
      <c r="P704" s="10">
        <v>33.4</v>
      </c>
      <c r="Q704" s="10">
        <v>22.25</v>
      </c>
      <c r="R704" s="11">
        <f t="shared" si="43"/>
        <v>7.9663444325098462E-2</v>
      </c>
      <c r="S704" t="s">
        <v>81</v>
      </c>
      <c r="T704" t="s">
        <v>66</v>
      </c>
      <c r="U704" t="s">
        <v>71</v>
      </c>
    </row>
    <row r="705" spans="1:21" x14ac:dyDescent="0.35">
      <c r="A705" t="s">
        <v>829</v>
      </c>
      <c r="B705" s="5">
        <v>45671</v>
      </c>
      <c r="C705" t="s">
        <v>56</v>
      </c>
      <c r="D705" t="s">
        <v>57</v>
      </c>
      <c r="E705" s="9">
        <v>3</v>
      </c>
      <c r="F705" s="10">
        <v>40</v>
      </c>
      <c r="G705" s="11">
        <v>0.05</v>
      </c>
      <c r="H705" s="10">
        <v>114</v>
      </c>
      <c r="I705" s="9">
        <v>0</v>
      </c>
      <c r="J705" s="10">
        <v>0</v>
      </c>
      <c r="K705" s="9">
        <v>3</v>
      </c>
      <c r="L705" s="10">
        <v>114</v>
      </c>
      <c r="M705" s="10">
        <v>71.16</v>
      </c>
      <c r="N705" s="10">
        <v>42.84</v>
      </c>
      <c r="O705" s="11">
        <f t="shared" si="42"/>
        <v>0.37578947368421056</v>
      </c>
      <c r="P705" s="10">
        <v>10.92</v>
      </c>
      <c r="Q705" s="10">
        <v>31.92</v>
      </c>
      <c r="R705" s="11">
        <f t="shared" si="43"/>
        <v>0.28000000000000003</v>
      </c>
      <c r="S705" t="s">
        <v>75</v>
      </c>
      <c r="T705" t="s">
        <v>66</v>
      </c>
      <c r="U705" t="s">
        <v>67</v>
      </c>
    </row>
    <row r="706" spans="1:21" x14ac:dyDescent="0.35">
      <c r="A706" t="s">
        <v>830</v>
      </c>
      <c r="B706" s="5">
        <v>45877</v>
      </c>
      <c r="C706" t="s">
        <v>97</v>
      </c>
      <c r="D706" t="s">
        <v>57</v>
      </c>
      <c r="E706" s="9">
        <v>2</v>
      </c>
      <c r="F706" s="10">
        <v>55</v>
      </c>
      <c r="G706" s="11">
        <v>0.15</v>
      </c>
      <c r="H706" s="10">
        <v>93.5</v>
      </c>
      <c r="I706" s="9">
        <v>0</v>
      </c>
      <c r="J706" s="10">
        <v>0</v>
      </c>
      <c r="K706" s="9">
        <v>2</v>
      </c>
      <c r="L706" s="10">
        <v>93.5</v>
      </c>
      <c r="M706" s="10">
        <v>79.66</v>
      </c>
      <c r="N706" s="10">
        <v>13.84</v>
      </c>
      <c r="O706" s="11">
        <f t="shared" si="42"/>
        <v>0.14802139037433154</v>
      </c>
      <c r="P706" s="10">
        <v>6.62</v>
      </c>
      <c r="Q706" s="10">
        <v>7.22</v>
      </c>
      <c r="R706" s="11">
        <f t="shared" si="43"/>
        <v>7.7219251336898387E-2</v>
      </c>
      <c r="S706" t="s">
        <v>65</v>
      </c>
      <c r="T706" t="s">
        <v>60</v>
      </c>
      <c r="U706" t="s">
        <v>67</v>
      </c>
    </row>
    <row r="707" spans="1:21" x14ac:dyDescent="0.35">
      <c r="A707" t="s">
        <v>831</v>
      </c>
      <c r="B707" s="5">
        <v>45730</v>
      </c>
      <c r="C707" t="s">
        <v>125</v>
      </c>
      <c r="D707" t="s">
        <v>85</v>
      </c>
      <c r="E707" s="9">
        <v>6</v>
      </c>
      <c r="F707" s="10">
        <v>125</v>
      </c>
      <c r="G707" s="11">
        <v>0.02</v>
      </c>
      <c r="H707" s="10">
        <v>735</v>
      </c>
      <c r="I707" s="9">
        <v>0</v>
      </c>
      <c r="J707" s="10">
        <v>0</v>
      </c>
      <c r="K707" s="9">
        <v>6</v>
      </c>
      <c r="L707" s="10">
        <v>735</v>
      </c>
      <c r="M707" s="10">
        <v>505.76</v>
      </c>
      <c r="N707" s="10">
        <v>229.24</v>
      </c>
      <c r="O707" s="11">
        <f t="shared" si="42"/>
        <v>0.31189115646258503</v>
      </c>
      <c r="P707" s="10">
        <v>54.73</v>
      </c>
      <c r="Q707" s="10">
        <v>174.51</v>
      </c>
      <c r="R707" s="11">
        <f t="shared" si="43"/>
        <v>0.23742857142857141</v>
      </c>
      <c r="S707" t="s">
        <v>75</v>
      </c>
      <c r="T707" t="s">
        <v>60</v>
      </c>
      <c r="U707" t="s">
        <v>67</v>
      </c>
    </row>
    <row r="708" spans="1:21" x14ac:dyDescent="0.35">
      <c r="A708" t="s">
        <v>832</v>
      </c>
      <c r="B708" s="5">
        <v>45710</v>
      </c>
      <c r="C708" t="s">
        <v>84</v>
      </c>
      <c r="D708" t="s">
        <v>85</v>
      </c>
      <c r="E708" s="9">
        <v>3</v>
      </c>
      <c r="F708" s="10">
        <v>48</v>
      </c>
      <c r="G708" s="11">
        <v>0</v>
      </c>
      <c r="H708" s="10">
        <v>144</v>
      </c>
      <c r="I708" s="9">
        <v>0</v>
      </c>
      <c r="J708" s="10">
        <v>0</v>
      </c>
      <c r="K708" s="9">
        <v>3</v>
      </c>
      <c r="L708" s="10">
        <v>144</v>
      </c>
      <c r="M708" s="10">
        <v>100.64</v>
      </c>
      <c r="N708" s="10">
        <v>43.36</v>
      </c>
      <c r="O708" s="11">
        <f t="shared" si="42"/>
        <v>0.30111111111111111</v>
      </c>
      <c r="P708" s="10">
        <v>10.91</v>
      </c>
      <c r="Q708" s="10">
        <v>32.450000000000003</v>
      </c>
      <c r="R708" s="11">
        <f t="shared" si="43"/>
        <v>0.22534722222222225</v>
      </c>
      <c r="S708" t="s">
        <v>2133</v>
      </c>
      <c r="T708" t="s">
        <v>82</v>
      </c>
      <c r="U708" t="s">
        <v>71</v>
      </c>
    </row>
    <row r="709" spans="1:21" x14ac:dyDescent="0.35">
      <c r="A709" t="s">
        <v>833</v>
      </c>
      <c r="B709" s="5">
        <v>45722</v>
      </c>
      <c r="C709" t="s">
        <v>78</v>
      </c>
      <c r="D709" t="s">
        <v>79</v>
      </c>
      <c r="E709" s="9">
        <v>5</v>
      </c>
      <c r="F709" s="10">
        <v>120</v>
      </c>
      <c r="G709" s="11">
        <v>0</v>
      </c>
      <c r="H709" s="10">
        <v>600</v>
      </c>
      <c r="I709" s="9">
        <v>0</v>
      </c>
      <c r="J709" s="10">
        <v>0</v>
      </c>
      <c r="K709" s="9">
        <v>5</v>
      </c>
      <c r="L709" s="10">
        <v>600</v>
      </c>
      <c r="M709" s="10">
        <v>479.64</v>
      </c>
      <c r="N709" s="10">
        <v>120.36</v>
      </c>
      <c r="O709" s="11">
        <f t="shared" si="42"/>
        <v>0.2006</v>
      </c>
      <c r="P709" s="10">
        <v>43.73</v>
      </c>
      <c r="Q709" s="10">
        <v>76.63</v>
      </c>
      <c r="R709" s="11">
        <f t="shared" si="43"/>
        <v>0.12771666666666667</v>
      </c>
      <c r="S709" t="s">
        <v>75</v>
      </c>
      <c r="T709" t="s">
        <v>66</v>
      </c>
      <c r="U709" t="s">
        <v>76</v>
      </c>
    </row>
    <row r="710" spans="1:21" x14ac:dyDescent="0.35">
      <c r="A710" t="s">
        <v>835</v>
      </c>
      <c r="B710" s="5">
        <v>45873</v>
      </c>
      <c r="C710" t="s">
        <v>114</v>
      </c>
      <c r="D710" t="s">
        <v>64</v>
      </c>
      <c r="E710" s="9">
        <v>1</v>
      </c>
      <c r="F710" s="10">
        <v>420</v>
      </c>
      <c r="G710" s="11">
        <v>0.15</v>
      </c>
      <c r="H710" s="10">
        <v>357</v>
      </c>
      <c r="I710" s="9">
        <v>0</v>
      </c>
      <c r="J710" s="10">
        <v>0</v>
      </c>
      <c r="K710" s="9">
        <v>1</v>
      </c>
      <c r="L710" s="10">
        <v>357</v>
      </c>
      <c r="M710" s="10">
        <v>239.33</v>
      </c>
      <c r="N710" s="10">
        <v>117.67</v>
      </c>
      <c r="O710" s="11">
        <f t="shared" si="42"/>
        <v>0.32960784313725489</v>
      </c>
      <c r="P710" s="10">
        <v>39.97</v>
      </c>
      <c r="Q710" s="10">
        <v>77.7</v>
      </c>
      <c r="R710" s="11">
        <f t="shared" si="43"/>
        <v>0.21764705882352942</v>
      </c>
      <c r="S710" t="s">
        <v>81</v>
      </c>
      <c r="T710" t="s">
        <v>86</v>
      </c>
      <c r="U710" t="s">
        <v>61</v>
      </c>
    </row>
    <row r="711" spans="1:21" x14ac:dyDescent="0.35">
      <c r="A711" t="s">
        <v>836</v>
      </c>
      <c r="B711" s="5">
        <v>45673</v>
      </c>
      <c r="C711" t="s">
        <v>90</v>
      </c>
      <c r="D711" t="s">
        <v>70</v>
      </c>
      <c r="E711" s="9">
        <v>6</v>
      </c>
      <c r="F711" s="10">
        <v>38</v>
      </c>
      <c r="G711" s="11">
        <v>0</v>
      </c>
      <c r="H711" s="10">
        <v>228</v>
      </c>
      <c r="I711" s="9">
        <v>0</v>
      </c>
      <c r="J711" s="10">
        <v>0</v>
      </c>
      <c r="K711" s="9">
        <v>6</v>
      </c>
      <c r="L711" s="10">
        <v>228</v>
      </c>
      <c r="M711" s="10">
        <v>149.25</v>
      </c>
      <c r="N711" s="10">
        <v>78.75</v>
      </c>
      <c r="O711" s="11">
        <f t="shared" si="42"/>
        <v>0.34539473684210525</v>
      </c>
      <c r="P711" s="10">
        <v>20.53</v>
      </c>
      <c r="Q711" s="10">
        <v>58.22</v>
      </c>
      <c r="R711" s="11">
        <f t="shared" si="43"/>
        <v>0.25535087719298244</v>
      </c>
      <c r="S711" t="s">
        <v>59</v>
      </c>
      <c r="T711" t="s">
        <v>66</v>
      </c>
      <c r="U711" t="s">
        <v>76</v>
      </c>
    </row>
    <row r="712" spans="1:21" x14ac:dyDescent="0.35">
      <c r="A712" t="s">
        <v>837</v>
      </c>
      <c r="B712" s="5">
        <v>45956</v>
      </c>
      <c r="C712" t="s">
        <v>73</v>
      </c>
      <c r="D712" t="s">
        <v>74</v>
      </c>
      <c r="E712" s="9">
        <v>1</v>
      </c>
      <c r="F712" s="10">
        <v>280</v>
      </c>
      <c r="G712" s="11">
        <v>0.02</v>
      </c>
      <c r="H712" s="10">
        <v>274.39999999999998</v>
      </c>
      <c r="I712" s="9">
        <v>0</v>
      </c>
      <c r="J712" s="10">
        <v>0</v>
      </c>
      <c r="K712" s="9">
        <v>1</v>
      </c>
      <c r="L712" s="10">
        <v>274.39999999999998</v>
      </c>
      <c r="M712" s="10">
        <v>209.23</v>
      </c>
      <c r="N712" s="10">
        <v>65.17</v>
      </c>
      <c r="O712" s="11">
        <f t="shared" si="42"/>
        <v>0.23750000000000002</v>
      </c>
      <c r="P712" s="10">
        <v>20.51</v>
      </c>
      <c r="Q712" s="10">
        <v>44.66</v>
      </c>
      <c r="R712" s="11">
        <f t="shared" si="43"/>
        <v>0.16275510204081634</v>
      </c>
      <c r="S712" t="s">
        <v>75</v>
      </c>
      <c r="T712" t="s">
        <v>60</v>
      </c>
      <c r="U712" t="s">
        <v>67</v>
      </c>
    </row>
    <row r="713" spans="1:21" x14ac:dyDescent="0.35">
      <c r="A713" t="s">
        <v>838</v>
      </c>
      <c r="B713" s="5">
        <v>45696</v>
      </c>
      <c r="C713" t="s">
        <v>84</v>
      </c>
      <c r="D713" t="s">
        <v>85</v>
      </c>
      <c r="E713" s="9">
        <v>1</v>
      </c>
      <c r="F713" s="10">
        <v>48</v>
      </c>
      <c r="G713" s="11">
        <v>0.15</v>
      </c>
      <c r="H713" s="10">
        <v>40.799999999999997</v>
      </c>
      <c r="I713" s="9">
        <v>0</v>
      </c>
      <c r="J713" s="10">
        <v>0</v>
      </c>
      <c r="K713" s="9">
        <v>1</v>
      </c>
      <c r="L713" s="10">
        <v>40.799999999999997</v>
      </c>
      <c r="M713" s="10">
        <v>34.17</v>
      </c>
      <c r="N713" s="10">
        <v>6.63</v>
      </c>
      <c r="O713" s="11">
        <f t="shared" si="42"/>
        <v>0.16250000000000001</v>
      </c>
      <c r="P713" s="10">
        <v>4.76</v>
      </c>
      <c r="Q713" s="10">
        <v>1.87</v>
      </c>
      <c r="R713" s="11">
        <f t="shared" si="43"/>
        <v>4.5833333333333337E-2</v>
      </c>
      <c r="S713" t="s">
        <v>59</v>
      </c>
      <c r="T713" t="s">
        <v>86</v>
      </c>
      <c r="U713" t="s">
        <v>76</v>
      </c>
    </row>
    <row r="714" spans="1:21" x14ac:dyDescent="0.35">
      <c r="A714" t="s">
        <v>839</v>
      </c>
      <c r="B714" s="5">
        <v>45789</v>
      </c>
      <c r="C714" t="s">
        <v>107</v>
      </c>
      <c r="D714" t="s">
        <v>74</v>
      </c>
      <c r="E714" s="9">
        <v>6</v>
      </c>
      <c r="F714" s="10">
        <v>125</v>
      </c>
      <c r="G714" s="11">
        <v>0</v>
      </c>
      <c r="H714" s="10">
        <v>750</v>
      </c>
      <c r="I714" s="9">
        <v>0</v>
      </c>
      <c r="J714" s="10">
        <v>0</v>
      </c>
      <c r="K714" s="9">
        <v>6</v>
      </c>
      <c r="L714" s="10">
        <v>750</v>
      </c>
      <c r="M714" s="10">
        <v>583.17999999999995</v>
      </c>
      <c r="N714" s="10">
        <v>166.82</v>
      </c>
      <c r="O714" s="11">
        <f t="shared" si="42"/>
        <v>0.22242666666666666</v>
      </c>
      <c r="P714" s="10">
        <v>47.62</v>
      </c>
      <c r="Q714" s="10">
        <v>119.2</v>
      </c>
      <c r="R714" s="11">
        <f t="shared" si="43"/>
        <v>0.15893333333333334</v>
      </c>
      <c r="S714" t="s">
        <v>65</v>
      </c>
      <c r="T714" t="s">
        <v>82</v>
      </c>
      <c r="U714" t="s">
        <v>67</v>
      </c>
    </row>
    <row r="715" spans="1:21" x14ac:dyDescent="0.35">
      <c r="A715" t="s">
        <v>840</v>
      </c>
      <c r="B715" s="5">
        <v>45693</v>
      </c>
      <c r="C715" t="s">
        <v>63</v>
      </c>
      <c r="D715" t="s">
        <v>64</v>
      </c>
      <c r="E715" s="9">
        <v>1</v>
      </c>
      <c r="F715" s="10">
        <v>145</v>
      </c>
      <c r="G715" s="11">
        <v>0</v>
      </c>
      <c r="H715" s="10">
        <v>145</v>
      </c>
      <c r="I715" s="9">
        <v>0</v>
      </c>
      <c r="J715" s="10">
        <v>0</v>
      </c>
      <c r="K715" s="9">
        <v>1</v>
      </c>
      <c r="L715" s="10">
        <v>145</v>
      </c>
      <c r="M715" s="10">
        <v>106.22</v>
      </c>
      <c r="N715" s="10">
        <v>38.78</v>
      </c>
      <c r="O715" s="11">
        <f t="shared" si="42"/>
        <v>0.26744827586206898</v>
      </c>
      <c r="P715" s="10">
        <v>16.739999999999998</v>
      </c>
      <c r="Q715" s="10">
        <v>22.04</v>
      </c>
      <c r="R715" s="11">
        <f t="shared" si="43"/>
        <v>0.152</v>
      </c>
      <c r="S715" t="s">
        <v>75</v>
      </c>
      <c r="T715" t="s">
        <v>60</v>
      </c>
      <c r="U715" t="s">
        <v>67</v>
      </c>
    </row>
    <row r="716" spans="1:21" x14ac:dyDescent="0.35">
      <c r="A716" t="s">
        <v>841</v>
      </c>
      <c r="B716" s="5">
        <v>46014</v>
      </c>
      <c r="C716" t="s">
        <v>117</v>
      </c>
      <c r="D716" t="s">
        <v>74</v>
      </c>
      <c r="E716" s="9">
        <v>2</v>
      </c>
      <c r="F716" s="10">
        <v>95</v>
      </c>
      <c r="G716" s="11">
        <v>0.05</v>
      </c>
      <c r="H716" s="10">
        <v>180.5</v>
      </c>
      <c r="I716" s="9">
        <v>0</v>
      </c>
      <c r="J716" s="10">
        <v>0</v>
      </c>
      <c r="K716" s="9">
        <v>2</v>
      </c>
      <c r="L716" s="10">
        <v>180.5</v>
      </c>
      <c r="M716" s="10">
        <v>118.03</v>
      </c>
      <c r="N716" s="10">
        <v>62.47</v>
      </c>
      <c r="O716" s="11">
        <f t="shared" si="42"/>
        <v>0.34609418282548476</v>
      </c>
      <c r="P716" s="10">
        <v>18.32</v>
      </c>
      <c r="Q716" s="10">
        <v>44.15</v>
      </c>
      <c r="R716" s="11">
        <f t="shared" si="43"/>
        <v>0.24459833795013849</v>
      </c>
      <c r="S716" t="s">
        <v>75</v>
      </c>
      <c r="T716" t="s">
        <v>86</v>
      </c>
      <c r="U716" t="s">
        <v>61</v>
      </c>
    </row>
    <row r="717" spans="1:21" x14ac:dyDescent="0.35">
      <c r="A717" t="s">
        <v>842</v>
      </c>
      <c r="B717" s="5">
        <v>45678</v>
      </c>
      <c r="C717" t="s">
        <v>63</v>
      </c>
      <c r="D717" t="s">
        <v>64</v>
      </c>
      <c r="E717" s="9">
        <v>8</v>
      </c>
      <c r="F717" s="10">
        <v>145</v>
      </c>
      <c r="G717" s="11">
        <v>0.05</v>
      </c>
      <c r="H717" s="10">
        <v>1102</v>
      </c>
      <c r="I717" s="9">
        <v>0</v>
      </c>
      <c r="J717" s="10">
        <v>0</v>
      </c>
      <c r="K717" s="9">
        <v>8</v>
      </c>
      <c r="L717" s="10">
        <v>1102</v>
      </c>
      <c r="M717" s="10">
        <v>776.88</v>
      </c>
      <c r="N717" s="10">
        <v>325.12</v>
      </c>
      <c r="O717" s="11">
        <f t="shared" si="42"/>
        <v>0.29502722323049002</v>
      </c>
      <c r="P717" s="10">
        <v>102.47</v>
      </c>
      <c r="Q717" s="10">
        <v>222.65</v>
      </c>
      <c r="R717" s="11">
        <f t="shared" si="43"/>
        <v>0.20204174228675137</v>
      </c>
      <c r="S717" t="s">
        <v>65</v>
      </c>
      <c r="T717" t="s">
        <v>86</v>
      </c>
      <c r="U717" t="s">
        <v>61</v>
      </c>
    </row>
    <row r="718" spans="1:21" x14ac:dyDescent="0.35">
      <c r="A718" t="s">
        <v>843</v>
      </c>
      <c r="B718" s="5">
        <v>45900</v>
      </c>
      <c r="C718" t="s">
        <v>56</v>
      </c>
      <c r="D718" t="s">
        <v>57</v>
      </c>
      <c r="E718" s="9">
        <v>1</v>
      </c>
      <c r="F718" s="10">
        <v>40</v>
      </c>
      <c r="G718" s="11">
        <v>0</v>
      </c>
      <c r="H718" s="10">
        <v>40</v>
      </c>
      <c r="I718" s="9">
        <v>0</v>
      </c>
      <c r="J718" s="10">
        <v>0</v>
      </c>
      <c r="K718" s="9">
        <v>1</v>
      </c>
      <c r="L718" s="10">
        <v>40</v>
      </c>
      <c r="M718" s="10">
        <v>26.45</v>
      </c>
      <c r="N718" s="10">
        <v>13.55</v>
      </c>
      <c r="O718" s="11">
        <f t="shared" si="42"/>
        <v>0.33875</v>
      </c>
      <c r="P718" s="10">
        <v>3.63</v>
      </c>
      <c r="Q718" s="10">
        <v>9.92</v>
      </c>
      <c r="R718" s="11">
        <f t="shared" si="43"/>
        <v>0.248</v>
      </c>
      <c r="S718" t="s">
        <v>75</v>
      </c>
      <c r="T718" t="s">
        <v>60</v>
      </c>
      <c r="U718" t="s">
        <v>71</v>
      </c>
    </row>
    <row r="719" spans="1:21" x14ac:dyDescent="0.35">
      <c r="A719" t="s">
        <v>844</v>
      </c>
      <c r="B719" s="5">
        <v>46016</v>
      </c>
      <c r="C719" t="s">
        <v>107</v>
      </c>
      <c r="D719" t="s">
        <v>74</v>
      </c>
      <c r="E719" s="9">
        <v>1</v>
      </c>
      <c r="F719" s="10">
        <v>125</v>
      </c>
      <c r="G719" s="11">
        <v>0.02</v>
      </c>
      <c r="H719" s="10">
        <v>122.5</v>
      </c>
      <c r="I719" s="9">
        <v>0</v>
      </c>
      <c r="J719" s="10">
        <v>0</v>
      </c>
      <c r="K719" s="9">
        <v>1</v>
      </c>
      <c r="L719" s="10">
        <v>122.5</v>
      </c>
      <c r="M719" s="10">
        <v>95.77</v>
      </c>
      <c r="N719" s="10">
        <v>26.73</v>
      </c>
      <c r="O719" s="11">
        <f t="shared" si="42"/>
        <v>0.21820408163265306</v>
      </c>
      <c r="P719" s="10">
        <v>15.78</v>
      </c>
      <c r="Q719" s="10">
        <v>10.95</v>
      </c>
      <c r="R719" s="11">
        <f t="shared" si="43"/>
        <v>8.9387755102040806E-2</v>
      </c>
      <c r="S719" t="s">
        <v>81</v>
      </c>
      <c r="T719" t="s">
        <v>60</v>
      </c>
      <c r="U719" t="s">
        <v>76</v>
      </c>
    </row>
    <row r="720" spans="1:21" x14ac:dyDescent="0.35">
      <c r="A720" t="s">
        <v>845</v>
      </c>
      <c r="B720" s="5">
        <v>45686</v>
      </c>
      <c r="C720" t="s">
        <v>104</v>
      </c>
      <c r="D720" t="s">
        <v>105</v>
      </c>
      <c r="E720" s="9">
        <v>2</v>
      </c>
      <c r="F720" s="10">
        <v>65</v>
      </c>
      <c r="G720" s="11">
        <v>0</v>
      </c>
      <c r="H720" s="10">
        <v>130</v>
      </c>
      <c r="I720" s="9">
        <v>0</v>
      </c>
      <c r="J720" s="10">
        <v>0</v>
      </c>
      <c r="K720" s="9">
        <v>2</v>
      </c>
      <c r="L720" s="10">
        <v>130</v>
      </c>
      <c r="M720" s="10">
        <v>107.34</v>
      </c>
      <c r="N720" s="10">
        <v>22.66</v>
      </c>
      <c r="O720" s="11">
        <f t="shared" si="42"/>
        <v>0.1743076923076923</v>
      </c>
      <c r="P720" s="10">
        <v>11.16</v>
      </c>
      <c r="Q720" s="10">
        <v>11.5</v>
      </c>
      <c r="R720" s="11">
        <f t="shared" si="43"/>
        <v>8.8461538461538466E-2</v>
      </c>
      <c r="S720" t="s">
        <v>59</v>
      </c>
      <c r="T720" t="s">
        <v>82</v>
      </c>
      <c r="U720" t="s">
        <v>76</v>
      </c>
    </row>
    <row r="721" spans="1:21" x14ac:dyDescent="0.35">
      <c r="A721" t="s">
        <v>846</v>
      </c>
      <c r="B721" s="5">
        <v>45958</v>
      </c>
      <c r="C721" t="s">
        <v>69</v>
      </c>
      <c r="D721" t="s">
        <v>70</v>
      </c>
      <c r="E721" s="9">
        <v>2</v>
      </c>
      <c r="F721" s="10">
        <v>210</v>
      </c>
      <c r="G721" s="11">
        <v>0.05</v>
      </c>
      <c r="H721" s="10">
        <v>399</v>
      </c>
      <c r="I721" s="9">
        <v>0</v>
      </c>
      <c r="J721" s="10">
        <v>0</v>
      </c>
      <c r="K721" s="9">
        <v>2</v>
      </c>
      <c r="L721" s="10">
        <v>399</v>
      </c>
      <c r="M721" s="10">
        <v>337.03</v>
      </c>
      <c r="N721" s="10">
        <v>61.97</v>
      </c>
      <c r="O721" s="11">
        <f t="shared" si="42"/>
        <v>0.15531328320802004</v>
      </c>
      <c r="P721" s="10">
        <v>25.53</v>
      </c>
      <c r="Q721" s="10">
        <v>36.44</v>
      </c>
      <c r="R721" s="11">
        <f t="shared" si="43"/>
        <v>9.1328320802005009E-2</v>
      </c>
      <c r="S721" t="s">
        <v>81</v>
      </c>
      <c r="T721" t="s">
        <v>66</v>
      </c>
      <c r="U721" t="s">
        <v>67</v>
      </c>
    </row>
    <row r="722" spans="1:21" x14ac:dyDescent="0.35">
      <c r="A722" t="s">
        <v>847</v>
      </c>
      <c r="B722" s="5">
        <v>45800</v>
      </c>
      <c r="C722" t="s">
        <v>114</v>
      </c>
      <c r="D722" t="s">
        <v>64</v>
      </c>
      <c r="E722" s="9">
        <v>3</v>
      </c>
      <c r="F722" s="10">
        <v>420</v>
      </c>
      <c r="G722" s="11">
        <v>0.1</v>
      </c>
      <c r="H722" s="10">
        <v>1134</v>
      </c>
      <c r="I722" s="9">
        <v>3</v>
      </c>
      <c r="J722" s="10">
        <v>1134</v>
      </c>
      <c r="K722" s="9">
        <v>0</v>
      </c>
      <c r="L722" s="10">
        <v>0</v>
      </c>
      <c r="M722" s="10">
        <v>0</v>
      </c>
      <c r="N722" s="10">
        <v>0</v>
      </c>
      <c r="O722" s="11">
        <v>0</v>
      </c>
      <c r="P722" s="10">
        <v>0</v>
      </c>
      <c r="Q722" s="10">
        <v>0</v>
      </c>
      <c r="R722" s="11">
        <v>0</v>
      </c>
      <c r="S722" t="s">
        <v>81</v>
      </c>
      <c r="T722" t="s">
        <v>86</v>
      </c>
      <c r="U722" t="s">
        <v>71</v>
      </c>
    </row>
    <row r="723" spans="1:21" x14ac:dyDescent="0.35">
      <c r="A723" t="s">
        <v>848</v>
      </c>
      <c r="B723" s="5">
        <v>45927</v>
      </c>
      <c r="C723" t="s">
        <v>73</v>
      </c>
      <c r="D723" t="s">
        <v>74</v>
      </c>
      <c r="E723" s="9">
        <v>2</v>
      </c>
      <c r="F723" s="10">
        <v>280</v>
      </c>
      <c r="G723" s="11">
        <v>0.02</v>
      </c>
      <c r="H723" s="10">
        <v>548.79999999999995</v>
      </c>
      <c r="I723" s="9">
        <v>0</v>
      </c>
      <c r="J723" s="10">
        <v>0</v>
      </c>
      <c r="K723" s="9">
        <v>2</v>
      </c>
      <c r="L723" s="10">
        <v>548.79999999999995</v>
      </c>
      <c r="M723" s="10">
        <v>359.5</v>
      </c>
      <c r="N723" s="10">
        <v>189.3</v>
      </c>
      <c r="O723" s="11">
        <f t="shared" ref="O723:O754" si="44">N723/L723</f>
        <v>0.34493440233236156</v>
      </c>
      <c r="P723" s="10">
        <v>37.76</v>
      </c>
      <c r="Q723" s="10">
        <v>151.54</v>
      </c>
      <c r="R723" s="11">
        <f t="shared" ref="R723:R754" si="45">Q723/L723</f>
        <v>0.27612973760932946</v>
      </c>
      <c r="S723" t="s">
        <v>59</v>
      </c>
      <c r="T723" t="s">
        <v>60</v>
      </c>
      <c r="U723" t="s">
        <v>71</v>
      </c>
    </row>
    <row r="724" spans="1:21" x14ac:dyDescent="0.35">
      <c r="A724" t="s">
        <v>849</v>
      </c>
      <c r="B724" s="5">
        <v>45970</v>
      </c>
      <c r="C724" t="s">
        <v>84</v>
      </c>
      <c r="D724" t="s">
        <v>85</v>
      </c>
      <c r="E724" s="9">
        <v>1</v>
      </c>
      <c r="F724" s="10">
        <v>48</v>
      </c>
      <c r="G724" s="11">
        <v>0</v>
      </c>
      <c r="H724" s="10">
        <v>48</v>
      </c>
      <c r="I724" s="9">
        <v>0</v>
      </c>
      <c r="J724" s="10">
        <v>0</v>
      </c>
      <c r="K724" s="9">
        <v>1</v>
      </c>
      <c r="L724" s="10">
        <v>48</v>
      </c>
      <c r="M724" s="10">
        <v>40.24</v>
      </c>
      <c r="N724" s="10">
        <v>7.76</v>
      </c>
      <c r="O724" s="11">
        <f t="shared" si="44"/>
        <v>0.16166666666666665</v>
      </c>
      <c r="P724" s="10">
        <v>5.55</v>
      </c>
      <c r="Q724" s="10">
        <v>2.21</v>
      </c>
      <c r="R724" s="11">
        <f t="shared" si="45"/>
        <v>4.6041666666666668E-2</v>
      </c>
      <c r="S724" t="s">
        <v>81</v>
      </c>
      <c r="T724" t="s">
        <v>66</v>
      </c>
      <c r="U724" t="s">
        <v>61</v>
      </c>
    </row>
    <row r="725" spans="1:21" x14ac:dyDescent="0.35">
      <c r="A725" t="s">
        <v>850</v>
      </c>
      <c r="B725" s="5">
        <v>45726</v>
      </c>
      <c r="C725" t="s">
        <v>121</v>
      </c>
      <c r="D725" t="s">
        <v>70</v>
      </c>
      <c r="E725" s="9">
        <v>4</v>
      </c>
      <c r="F725" s="10">
        <v>110</v>
      </c>
      <c r="G725" s="11">
        <v>0</v>
      </c>
      <c r="H725" s="10">
        <v>440</v>
      </c>
      <c r="I725" s="9">
        <v>0</v>
      </c>
      <c r="J725" s="10">
        <v>0</v>
      </c>
      <c r="K725" s="9">
        <v>4</v>
      </c>
      <c r="L725" s="10">
        <v>440</v>
      </c>
      <c r="M725" s="10">
        <v>281.67</v>
      </c>
      <c r="N725" s="10">
        <v>158.33000000000001</v>
      </c>
      <c r="O725" s="11">
        <f t="shared" si="44"/>
        <v>0.3598409090909091</v>
      </c>
      <c r="P725" s="10">
        <v>44.18</v>
      </c>
      <c r="Q725" s="10">
        <v>114.15</v>
      </c>
      <c r="R725" s="11">
        <f t="shared" si="45"/>
        <v>0.25943181818181821</v>
      </c>
      <c r="S725" t="s">
        <v>59</v>
      </c>
      <c r="T725" t="s">
        <v>66</v>
      </c>
      <c r="U725" t="s">
        <v>67</v>
      </c>
    </row>
    <row r="726" spans="1:21" x14ac:dyDescent="0.35">
      <c r="A726" t="s">
        <v>851</v>
      </c>
      <c r="B726" s="5">
        <v>45842</v>
      </c>
      <c r="C726" t="s">
        <v>84</v>
      </c>
      <c r="D726" t="s">
        <v>85</v>
      </c>
      <c r="E726" s="9">
        <v>1</v>
      </c>
      <c r="F726" s="10">
        <v>48</v>
      </c>
      <c r="G726" s="11">
        <v>0</v>
      </c>
      <c r="H726" s="10">
        <v>48</v>
      </c>
      <c r="I726" s="9">
        <v>0</v>
      </c>
      <c r="J726" s="10">
        <v>0</v>
      </c>
      <c r="K726" s="9">
        <v>1</v>
      </c>
      <c r="L726" s="10">
        <v>48</v>
      </c>
      <c r="M726" s="10">
        <v>30.91</v>
      </c>
      <c r="N726" s="10">
        <v>17.09</v>
      </c>
      <c r="O726" s="11">
        <f t="shared" si="44"/>
        <v>0.35604166666666665</v>
      </c>
      <c r="P726" s="10">
        <v>5.53</v>
      </c>
      <c r="Q726" s="10">
        <v>11.56</v>
      </c>
      <c r="R726" s="11">
        <f t="shared" si="45"/>
        <v>0.24083333333333334</v>
      </c>
      <c r="S726" t="s">
        <v>75</v>
      </c>
      <c r="T726" t="s">
        <v>82</v>
      </c>
      <c r="U726" t="s">
        <v>67</v>
      </c>
    </row>
    <row r="727" spans="1:21" x14ac:dyDescent="0.35">
      <c r="A727" t="s">
        <v>852</v>
      </c>
      <c r="B727" s="5">
        <v>45968</v>
      </c>
      <c r="C727" t="s">
        <v>100</v>
      </c>
      <c r="D727" t="s">
        <v>64</v>
      </c>
      <c r="E727" s="9">
        <v>10</v>
      </c>
      <c r="F727" s="10">
        <v>310</v>
      </c>
      <c r="G727" s="11">
        <v>0.02</v>
      </c>
      <c r="H727" s="10">
        <v>3038</v>
      </c>
      <c r="I727" s="9">
        <v>0</v>
      </c>
      <c r="J727" s="10">
        <v>0</v>
      </c>
      <c r="K727" s="9">
        <v>10</v>
      </c>
      <c r="L727" s="10">
        <v>3038</v>
      </c>
      <c r="M727" s="10">
        <v>2186.9899999999998</v>
      </c>
      <c r="N727" s="10">
        <v>851.01</v>
      </c>
      <c r="O727" s="11">
        <f t="shared" si="44"/>
        <v>0.28012179065174458</v>
      </c>
      <c r="P727" s="10">
        <v>391.58</v>
      </c>
      <c r="Q727" s="10">
        <v>459.43</v>
      </c>
      <c r="R727" s="11">
        <f t="shared" si="45"/>
        <v>0.1512277814351547</v>
      </c>
      <c r="S727" t="s">
        <v>59</v>
      </c>
      <c r="T727" t="s">
        <v>66</v>
      </c>
      <c r="U727" t="s">
        <v>71</v>
      </c>
    </row>
    <row r="728" spans="1:21" x14ac:dyDescent="0.35">
      <c r="A728" t="s">
        <v>853</v>
      </c>
      <c r="B728" s="5">
        <v>45726</v>
      </c>
      <c r="C728" t="s">
        <v>97</v>
      </c>
      <c r="D728" t="s">
        <v>57</v>
      </c>
      <c r="E728" s="9">
        <v>4</v>
      </c>
      <c r="F728" s="10">
        <v>55</v>
      </c>
      <c r="G728" s="11">
        <v>0.05</v>
      </c>
      <c r="H728" s="10">
        <v>209</v>
      </c>
      <c r="I728" s="9">
        <v>0</v>
      </c>
      <c r="J728" s="10">
        <v>0</v>
      </c>
      <c r="K728" s="9">
        <v>4</v>
      </c>
      <c r="L728" s="10">
        <v>209</v>
      </c>
      <c r="M728" s="10">
        <v>169.03</v>
      </c>
      <c r="N728" s="10">
        <v>39.97</v>
      </c>
      <c r="O728" s="11">
        <f t="shared" si="44"/>
        <v>0.19124401913875597</v>
      </c>
      <c r="P728" s="10">
        <v>15.56</v>
      </c>
      <c r="Q728" s="10">
        <v>24.41</v>
      </c>
      <c r="R728" s="11">
        <f t="shared" si="45"/>
        <v>0.11679425837320574</v>
      </c>
      <c r="S728" t="s">
        <v>81</v>
      </c>
      <c r="T728" t="s">
        <v>82</v>
      </c>
      <c r="U728" t="s">
        <v>61</v>
      </c>
    </row>
    <row r="729" spans="1:21" x14ac:dyDescent="0.35">
      <c r="A729" t="s">
        <v>854</v>
      </c>
      <c r="B729" s="5">
        <v>45712</v>
      </c>
      <c r="C729" t="s">
        <v>84</v>
      </c>
      <c r="D729" t="s">
        <v>85</v>
      </c>
      <c r="E729" s="9">
        <v>4</v>
      </c>
      <c r="F729" s="10">
        <v>48</v>
      </c>
      <c r="G729" s="11">
        <v>0</v>
      </c>
      <c r="H729" s="10">
        <v>192</v>
      </c>
      <c r="I729" s="9">
        <v>0</v>
      </c>
      <c r="J729" s="10">
        <v>0</v>
      </c>
      <c r="K729" s="9">
        <v>4</v>
      </c>
      <c r="L729" s="10">
        <v>192</v>
      </c>
      <c r="M729" s="10">
        <v>135.68</v>
      </c>
      <c r="N729" s="10">
        <v>56.32</v>
      </c>
      <c r="O729" s="11">
        <f t="shared" si="44"/>
        <v>0.29333333333333333</v>
      </c>
      <c r="P729" s="10">
        <v>10.69</v>
      </c>
      <c r="Q729" s="10">
        <v>45.63</v>
      </c>
      <c r="R729" s="11">
        <f t="shared" si="45"/>
        <v>0.23765625000000001</v>
      </c>
      <c r="S729" t="s">
        <v>2133</v>
      </c>
      <c r="T729" t="s">
        <v>66</v>
      </c>
      <c r="U729" t="s">
        <v>76</v>
      </c>
    </row>
    <row r="730" spans="1:21" x14ac:dyDescent="0.35">
      <c r="A730" t="s">
        <v>855</v>
      </c>
      <c r="B730" s="5">
        <v>46016</v>
      </c>
      <c r="C730" t="s">
        <v>109</v>
      </c>
      <c r="D730" t="s">
        <v>85</v>
      </c>
      <c r="E730" s="9">
        <v>5</v>
      </c>
      <c r="F730" s="10">
        <v>180</v>
      </c>
      <c r="G730" s="11">
        <v>0.02</v>
      </c>
      <c r="H730" s="10">
        <v>882</v>
      </c>
      <c r="I730" s="9">
        <v>0</v>
      </c>
      <c r="J730" s="10">
        <v>0</v>
      </c>
      <c r="K730" s="9">
        <v>5</v>
      </c>
      <c r="L730" s="10">
        <v>882</v>
      </c>
      <c r="M730" s="10">
        <v>734.51</v>
      </c>
      <c r="N730" s="10">
        <v>147.49</v>
      </c>
      <c r="O730" s="11">
        <f t="shared" si="44"/>
        <v>0.16722222222222224</v>
      </c>
      <c r="P730" s="10">
        <v>86.74</v>
      </c>
      <c r="Q730" s="10">
        <v>60.75</v>
      </c>
      <c r="R730" s="11">
        <f t="shared" si="45"/>
        <v>6.8877551020408156E-2</v>
      </c>
      <c r="S730" t="s">
        <v>81</v>
      </c>
      <c r="T730" t="s">
        <v>82</v>
      </c>
      <c r="U730" t="s">
        <v>71</v>
      </c>
    </row>
    <row r="731" spans="1:21" x14ac:dyDescent="0.35">
      <c r="A731" t="s">
        <v>856</v>
      </c>
      <c r="B731" s="5">
        <v>45912</v>
      </c>
      <c r="C731" t="s">
        <v>63</v>
      </c>
      <c r="D731" t="s">
        <v>64</v>
      </c>
      <c r="E731" s="9">
        <v>1</v>
      </c>
      <c r="F731" s="10">
        <v>145</v>
      </c>
      <c r="G731" s="11">
        <v>0</v>
      </c>
      <c r="H731" s="10">
        <v>145</v>
      </c>
      <c r="I731" s="9">
        <v>0</v>
      </c>
      <c r="J731" s="10">
        <v>0</v>
      </c>
      <c r="K731" s="9">
        <v>1</v>
      </c>
      <c r="L731" s="10">
        <v>145</v>
      </c>
      <c r="M731" s="10">
        <v>120.3</v>
      </c>
      <c r="N731" s="10">
        <v>24.7</v>
      </c>
      <c r="O731" s="11">
        <f t="shared" si="44"/>
        <v>0.17034482758620689</v>
      </c>
      <c r="P731" s="10">
        <v>9.6999999999999993</v>
      </c>
      <c r="Q731" s="10">
        <v>15</v>
      </c>
      <c r="R731" s="11">
        <f t="shared" si="45"/>
        <v>0.10344827586206896</v>
      </c>
      <c r="S731" t="s">
        <v>75</v>
      </c>
      <c r="T731" t="s">
        <v>86</v>
      </c>
      <c r="U731" t="s">
        <v>71</v>
      </c>
    </row>
    <row r="732" spans="1:21" x14ac:dyDescent="0.35">
      <c r="A732" t="s">
        <v>857</v>
      </c>
      <c r="B732" s="5">
        <v>45988</v>
      </c>
      <c r="C732" t="s">
        <v>88</v>
      </c>
      <c r="D732" t="s">
        <v>57</v>
      </c>
      <c r="E732" s="9">
        <v>6</v>
      </c>
      <c r="F732" s="10">
        <v>30</v>
      </c>
      <c r="G732" s="11">
        <v>0.15</v>
      </c>
      <c r="H732" s="10">
        <v>153</v>
      </c>
      <c r="I732" s="9">
        <v>0</v>
      </c>
      <c r="J732" s="10">
        <v>0</v>
      </c>
      <c r="K732" s="9">
        <v>6</v>
      </c>
      <c r="L732" s="10">
        <v>153</v>
      </c>
      <c r="M732" s="10">
        <v>101.92</v>
      </c>
      <c r="N732" s="10">
        <v>51.08</v>
      </c>
      <c r="O732" s="11">
        <f t="shared" si="44"/>
        <v>0.33385620915032677</v>
      </c>
      <c r="P732" s="10">
        <v>15.78</v>
      </c>
      <c r="Q732" s="10">
        <v>35.299999999999997</v>
      </c>
      <c r="R732" s="11">
        <f t="shared" si="45"/>
        <v>0.230718954248366</v>
      </c>
      <c r="S732" t="s">
        <v>59</v>
      </c>
      <c r="T732" t="s">
        <v>86</v>
      </c>
      <c r="U732" t="s">
        <v>61</v>
      </c>
    </row>
    <row r="733" spans="1:21" x14ac:dyDescent="0.35">
      <c r="A733" t="s">
        <v>858</v>
      </c>
      <c r="B733" s="5">
        <v>45827</v>
      </c>
      <c r="C733" t="s">
        <v>92</v>
      </c>
      <c r="D733" t="s">
        <v>79</v>
      </c>
      <c r="E733" s="9">
        <v>1</v>
      </c>
      <c r="F733" s="10">
        <v>85</v>
      </c>
      <c r="G733" s="11">
        <v>0</v>
      </c>
      <c r="H733" s="10">
        <v>85</v>
      </c>
      <c r="I733" s="9">
        <v>0</v>
      </c>
      <c r="J733" s="10">
        <v>0</v>
      </c>
      <c r="K733" s="9">
        <v>1</v>
      </c>
      <c r="L733" s="10">
        <v>85</v>
      </c>
      <c r="M733" s="10">
        <v>64.67</v>
      </c>
      <c r="N733" s="10">
        <v>20.329999999999998</v>
      </c>
      <c r="O733" s="11">
        <f t="shared" si="44"/>
        <v>0.23917647058823527</v>
      </c>
      <c r="P733" s="10">
        <v>7.77</v>
      </c>
      <c r="Q733" s="10">
        <v>12.56</v>
      </c>
      <c r="R733" s="11">
        <f t="shared" si="45"/>
        <v>0.14776470588235294</v>
      </c>
      <c r="S733" t="s">
        <v>75</v>
      </c>
      <c r="T733" t="s">
        <v>60</v>
      </c>
      <c r="U733" t="s">
        <v>61</v>
      </c>
    </row>
    <row r="734" spans="1:21" x14ac:dyDescent="0.35">
      <c r="A734" t="s">
        <v>859</v>
      </c>
      <c r="B734" s="5">
        <v>46009</v>
      </c>
      <c r="C734" t="s">
        <v>97</v>
      </c>
      <c r="D734" t="s">
        <v>57</v>
      </c>
      <c r="E734" s="9">
        <v>1</v>
      </c>
      <c r="F734" s="10">
        <v>55</v>
      </c>
      <c r="G734" s="11">
        <v>0.1</v>
      </c>
      <c r="H734" s="10">
        <v>49.5</v>
      </c>
      <c r="I734" s="9">
        <v>0</v>
      </c>
      <c r="J734" s="10">
        <v>0</v>
      </c>
      <c r="K734" s="9">
        <v>1</v>
      </c>
      <c r="L734" s="10">
        <v>49.5</v>
      </c>
      <c r="M734" s="10">
        <v>33.89</v>
      </c>
      <c r="N734" s="10">
        <v>15.61</v>
      </c>
      <c r="O734" s="11">
        <f t="shared" si="44"/>
        <v>0.31535353535353533</v>
      </c>
      <c r="P734" s="10">
        <v>3.99</v>
      </c>
      <c r="Q734" s="10">
        <v>11.62</v>
      </c>
      <c r="R734" s="11">
        <f t="shared" si="45"/>
        <v>0.23474747474747473</v>
      </c>
      <c r="S734" t="s">
        <v>65</v>
      </c>
      <c r="T734" t="s">
        <v>86</v>
      </c>
      <c r="U734" t="s">
        <v>67</v>
      </c>
    </row>
    <row r="735" spans="1:21" x14ac:dyDescent="0.35">
      <c r="A735" t="s">
        <v>860</v>
      </c>
      <c r="B735" s="5">
        <v>45818</v>
      </c>
      <c r="C735" t="s">
        <v>84</v>
      </c>
      <c r="D735" t="s">
        <v>85</v>
      </c>
      <c r="E735" s="9">
        <v>4</v>
      </c>
      <c r="F735" s="10">
        <v>48</v>
      </c>
      <c r="G735" s="11">
        <v>0.05</v>
      </c>
      <c r="H735" s="10">
        <v>182.4</v>
      </c>
      <c r="I735" s="9">
        <v>0</v>
      </c>
      <c r="J735" s="10">
        <v>0</v>
      </c>
      <c r="K735" s="9">
        <v>4</v>
      </c>
      <c r="L735" s="10">
        <v>182.4</v>
      </c>
      <c r="M735" s="10">
        <v>131.28</v>
      </c>
      <c r="N735" s="10">
        <v>51.12</v>
      </c>
      <c r="O735" s="11">
        <f t="shared" si="44"/>
        <v>0.28026315789473683</v>
      </c>
      <c r="P735" s="10">
        <v>21.77</v>
      </c>
      <c r="Q735" s="10">
        <v>29.35</v>
      </c>
      <c r="R735" s="11">
        <f t="shared" si="45"/>
        <v>0.16091008771929824</v>
      </c>
      <c r="S735" t="s">
        <v>2133</v>
      </c>
      <c r="T735" t="s">
        <v>60</v>
      </c>
      <c r="U735" t="s">
        <v>67</v>
      </c>
    </row>
    <row r="736" spans="1:21" x14ac:dyDescent="0.35">
      <c r="A736" t="s">
        <v>861</v>
      </c>
      <c r="B736" s="5">
        <v>45833</v>
      </c>
      <c r="C736" t="s">
        <v>264</v>
      </c>
      <c r="D736" t="s">
        <v>85</v>
      </c>
      <c r="E736" s="9">
        <v>4</v>
      </c>
      <c r="F736" s="10">
        <v>20</v>
      </c>
      <c r="G736" s="11">
        <v>0</v>
      </c>
      <c r="H736" s="10">
        <v>80</v>
      </c>
      <c r="I736" s="9">
        <v>0</v>
      </c>
      <c r="J736" s="10">
        <v>0</v>
      </c>
      <c r="K736" s="9">
        <v>4</v>
      </c>
      <c r="L736" s="10">
        <v>80</v>
      </c>
      <c r="M736" s="10">
        <v>67.11</v>
      </c>
      <c r="N736" s="10">
        <v>12.89</v>
      </c>
      <c r="O736" s="11">
        <f t="shared" si="44"/>
        <v>0.16112500000000002</v>
      </c>
      <c r="P736" s="10">
        <v>7.25</v>
      </c>
      <c r="Q736" s="10">
        <v>5.64</v>
      </c>
      <c r="R736" s="11">
        <f t="shared" si="45"/>
        <v>7.0499999999999993E-2</v>
      </c>
      <c r="S736" t="s">
        <v>75</v>
      </c>
      <c r="T736" t="s">
        <v>66</v>
      </c>
      <c r="U736" t="s">
        <v>71</v>
      </c>
    </row>
    <row r="737" spans="1:21" x14ac:dyDescent="0.35">
      <c r="A737" t="s">
        <v>862</v>
      </c>
      <c r="B737" s="5">
        <v>45729</v>
      </c>
      <c r="C737" t="s">
        <v>100</v>
      </c>
      <c r="D737" t="s">
        <v>64</v>
      </c>
      <c r="E737" s="9">
        <v>6</v>
      </c>
      <c r="F737" s="10">
        <v>310</v>
      </c>
      <c r="G737" s="11">
        <v>0.05</v>
      </c>
      <c r="H737" s="10">
        <v>1767</v>
      </c>
      <c r="I737" s="9">
        <v>0</v>
      </c>
      <c r="J737" s="10">
        <v>0</v>
      </c>
      <c r="K737" s="9">
        <v>6</v>
      </c>
      <c r="L737" s="10">
        <v>1767</v>
      </c>
      <c r="M737" s="10">
        <v>1286.8599999999999</v>
      </c>
      <c r="N737" s="10">
        <v>480.14</v>
      </c>
      <c r="O737" s="11">
        <f t="shared" si="44"/>
        <v>0.27172608941709109</v>
      </c>
      <c r="P737" s="10">
        <v>171.22</v>
      </c>
      <c r="Q737" s="10">
        <v>308.92</v>
      </c>
      <c r="R737" s="11">
        <f t="shared" si="45"/>
        <v>0.1748273910582909</v>
      </c>
      <c r="S737" t="s">
        <v>65</v>
      </c>
      <c r="T737" t="s">
        <v>82</v>
      </c>
      <c r="U737" t="s">
        <v>67</v>
      </c>
    </row>
    <row r="738" spans="1:21" x14ac:dyDescent="0.35">
      <c r="A738" t="s">
        <v>863</v>
      </c>
      <c r="B738" s="5">
        <v>45708</v>
      </c>
      <c r="C738" t="s">
        <v>109</v>
      </c>
      <c r="D738" t="s">
        <v>85</v>
      </c>
      <c r="E738" s="9">
        <v>5</v>
      </c>
      <c r="F738" s="10">
        <v>180</v>
      </c>
      <c r="G738" s="11">
        <v>0</v>
      </c>
      <c r="H738" s="10">
        <v>900</v>
      </c>
      <c r="I738" s="9">
        <v>0</v>
      </c>
      <c r="J738" s="10">
        <v>0</v>
      </c>
      <c r="K738" s="9">
        <v>5</v>
      </c>
      <c r="L738" s="10">
        <v>900</v>
      </c>
      <c r="M738" s="10">
        <v>663.15</v>
      </c>
      <c r="N738" s="10">
        <v>236.85</v>
      </c>
      <c r="O738" s="11">
        <f t="shared" si="44"/>
        <v>0.26316666666666666</v>
      </c>
      <c r="P738" s="10">
        <v>90.87</v>
      </c>
      <c r="Q738" s="10">
        <v>145.97999999999999</v>
      </c>
      <c r="R738" s="11">
        <f t="shared" si="45"/>
        <v>0.16219999999999998</v>
      </c>
      <c r="S738" t="s">
        <v>59</v>
      </c>
      <c r="T738" t="s">
        <v>86</v>
      </c>
      <c r="U738" t="s">
        <v>76</v>
      </c>
    </row>
    <row r="739" spans="1:21" x14ac:dyDescent="0.35">
      <c r="A739" t="s">
        <v>864</v>
      </c>
      <c r="B739" s="5">
        <v>45736</v>
      </c>
      <c r="C739" t="s">
        <v>88</v>
      </c>
      <c r="D739" t="s">
        <v>57</v>
      </c>
      <c r="E739" s="9">
        <v>1</v>
      </c>
      <c r="F739" s="10">
        <v>30</v>
      </c>
      <c r="G739" s="11">
        <v>0.02</v>
      </c>
      <c r="H739" s="10">
        <v>29.4</v>
      </c>
      <c r="I739" s="9">
        <v>0</v>
      </c>
      <c r="J739" s="10">
        <v>0</v>
      </c>
      <c r="K739" s="9">
        <v>1</v>
      </c>
      <c r="L739" s="10">
        <v>29.4</v>
      </c>
      <c r="M739" s="10">
        <v>21.38</v>
      </c>
      <c r="N739" s="10">
        <v>8.02</v>
      </c>
      <c r="O739" s="11">
        <f t="shared" si="44"/>
        <v>0.27278911564625852</v>
      </c>
      <c r="P739" s="10">
        <v>1.99</v>
      </c>
      <c r="Q739" s="10">
        <v>6.03</v>
      </c>
      <c r="R739" s="11">
        <f t="shared" si="45"/>
        <v>0.20510204081632655</v>
      </c>
      <c r="S739" t="s">
        <v>65</v>
      </c>
      <c r="T739" t="s">
        <v>82</v>
      </c>
      <c r="U739" t="s">
        <v>67</v>
      </c>
    </row>
    <row r="740" spans="1:21" x14ac:dyDescent="0.35">
      <c r="A740" t="s">
        <v>865</v>
      </c>
      <c r="B740" s="5">
        <v>45983</v>
      </c>
      <c r="C740" t="s">
        <v>90</v>
      </c>
      <c r="D740" t="s">
        <v>70</v>
      </c>
      <c r="E740" s="9">
        <v>8</v>
      </c>
      <c r="F740" s="10">
        <v>38</v>
      </c>
      <c r="G740" s="11">
        <v>0.1</v>
      </c>
      <c r="H740" s="10">
        <v>273.60000000000002</v>
      </c>
      <c r="I740" s="9">
        <v>0</v>
      </c>
      <c r="J740" s="10">
        <v>0</v>
      </c>
      <c r="K740" s="9">
        <v>8</v>
      </c>
      <c r="L740" s="10">
        <v>273.60000000000002</v>
      </c>
      <c r="M740" s="10">
        <v>177.86</v>
      </c>
      <c r="N740" s="10">
        <v>95.74</v>
      </c>
      <c r="O740" s="11">
        <f t="shared" si="44"/>
        <v>0.34992690058479525</v>
      </c>
      <c r="P740" s="10">
        <v>14.3</v>
      </c>
      <c r="Q740" s="10">
        <v>81.44</v>
      </c>
      <c r="R740" s="11">
        <f t="shared" si="45"/>
        <v>0.29766081871345024</v>
      </c>
      <c r="S740" t="s">
        <v>59</v>
      </c>
      <c r="T740" t="s">
        <v>86</v>
      </c>
      <c r="U740" t="s">
        <v>61</v>
      </c>
    </row>
    <row r="741" spans="1:21" x14ac:dyDescent="0.35">
      <c r="A741" t="s">
        <v>866</v>
      </c>
      <c r="B741" s="5">
        <v>45778</v>
      </c>
      <c r="C741" t="s">
        <v>107</v>
      </c>
      <c r="D741" t="s">
        <v>74</v>
      </c>
      <c r="E741" s="9">
        <v>4</v>
      </c>
      <c r="F741" s="10">
        <v>125</v>
      </c>
      <c r="G741" s="11">
        <v>0</v>
      </c>
      <c r="H741" s="10">
        <v>500</v>
      </c>
      <c r="I741" s="9">
        <v>0</v>
      </c>
      <c r="J741" s="10">
        <v>0</v>
      </c>
      <c r="K741" s="9">
        <v>4</v>
      </c>
      <c r="L741" s="10">
        <v>500</v>
      </c>
      <c r="M741" s="10">
        <v>346.77</v>
      </c>
      <c r="N741" s="10">
        <v>153.22999999999999</v>
      </c>
      <c r="O741" s="11">
        <f t="shared" si="44"/>
        <v>0.30645999999999995</v>
      </c>
      <c r="P741" s="10">
        <v>63.58</v>
      </c>
      <c r="Q741" s="10">
        <v>89.65</v>
      </c>
      <c r="R741" s="11">
        <f t="shared" si="45"/>
        <v>0.17930000000000001</v>
      </c>
      <c r="S741" t="s">
        <v>81</v>
      </c>
      <c r="T741" t="s">
        <v>86</v>
      </c>
      <c r="U741" t="s">
        <v>67</v>
      </c>
    </row>
    <row r="742" spans="1:21" x14ac:dyDescent="0.35">
      <c r="A742" t="s">
        <v>867</v>
      </c>
      <c r="B742" s="5">
        <v>45830</v>
      </c>
      <c r="C742" t="s">
        <v>114</v>
      </c>
      <c r="D742" t="s">
        <v>64</v>
      </c>
      <c r="E742" s="9">
        <v>4</v>
      </c>
      <c r="F742" s="10">
        <v>420</v>
      </c>
      <c r="G742" s="11">
        <v>0.02</v>
      </c>
      <c r="H742" s="10">
        <v>1646.4</v>
      </c>
      <c r="I742" s="9">
        <v>0</v>
      </c>
      <c r="J742" s="10">
        <v>0</v>
      </c>
      <c r="K742" s="9">
        <v>4</v>
      </c>
      <c r="L742" s="10">
        <v>1646.4</v>
      </c>
      <c r="M742" s="10">
        <v>1373.41</v>
      </c>
      <c r="N742" s="10">
        <v>272.99</v>
      </c>
      <c r="O742" s="11">
        <f t="shared" si="44"/>
        <v>0.16581025267249758</v>
      </c>
      <c r="P742" s="10">
        <v>125.91</v>
      </c>
      <c r="Q742" s="10">
        <v>147.08000000000001</v>
      </c>
      <c r="R742" s="11">
        <f t="shared" si="45"/>
        <v>8.933430515063169E-2</v>
      </c>
      <c r="S742" t="s">
        <v>65</v>
      </c>
      <c r="T742" t="s">
        <v>86</v>
      </c>
      <c r="U742" t="s">
        <v>61</v>
      </c>
    </row>
    <row r="743" spans="1:21" x14ac:dyDescent="0.35">
      <c r="A743" t="s">
        <v>868</v>
      </c>
      <c r="B743" s="5">
        <v>45800</v>
      </c>
      <c r="C743" t="s">
        <v>95</v>
      </c>
      <c r="D743" t="s">
        <v>64</v>
      </c>
      <c r="E743" s="9">
        <v>3</v>
      </c>
      <c r="F743" s="10">
        <v>52</v>
      </c>
      <c r="G743" s="11">
        <v>0.15</v>
      </c>
      <c r="H743" s="10">
        <v>132.6</v>
      </c>
      <c r="I743" s="9">
        <v>0</v>
      </c>
      <c r="J743" s="10">
        <v>0</v>
      </c>
      <c r="K743" s="9">
        <v>3</v>
      </c>
      <c r="L743" s="10">
        <v>132.6</v>
      </c>
      <c r="M743" s="10">
        <v>107.69</v>
      </c>
      <c r="N743" s="10">
        <v>24.91</v>
      </c>
      <c r="O743" s="11">
        <f t="shared" si="44"/>
        <v>0.18785822021116139</v>
      </c>
      <c r="P743" s="10">
        <v>13.37</v>
      </c>
      <c r="Q743" s="10">
        <v>11.54</v>
      </c>
      <c r="R743" s="11">
        <f t="shared" si="45"/>
        <v>8.7028657616892907E-2</v>
      </c>
      <c r="S743" t="s">
        <v>65</v>
      </c>
      <c r="T743" t="s">
        <v>60</v>
      </c>
      <c r="U743" t="s">
        <v>71</v>
      </c>
    </row>
    <row r="744" spans="1:21" x14ac:dyDescent="0.35">
      <c r="A744" t="s">
        <v>869</v>
      </c>
      <c r="B744" s="5">
        <v>45872</v>
      </c>
      <c r="C744" t="s">
        <v>97</v>
      </c>
      <c r="D744" t="s">
        <v>57</v>
      </c>
      <c r="E744" s="9">
        <v>1</v>
      </c>
      <c r="F744" s="10">
        <v>55</v>
      </c>
      <c r="G744" s="11">
        <v>0.1</v>
      </c>
      <c r="H744" s="10">
        <v>49.5</v>
      </c>
      <c r="I744" s="9">
        <v>0</v>
      </c>
      <c r="J744" s="10">
        <v>0</v>
      </c>
      <c r="K744" s="9">
        <v>1</v>
      </c>
      <c r="L744" s="10">
        <v>49.5</v>
      </c>
      <c r="M744" s="10">
        <v>42.16</v>
      </c>
      <c r="N744" s="10">
        <v>7.34</v>
      </c>
      <c r="O744" s="11">
        <f t="shared" si="44"/>
        <v>0.14828282828282827</v>
      </c>
      <c r="P744" s="10">
        <v>3.82</v>
      </c>
      <c r="Q744" s="10">
        <v>3.52</v>
      </c>
      <c r="R744" s="11">
        <f t="shared" si="45"/>
        <v>7.1111111111111111E-2</v>
      </c>
      <c r="S744" t="s">
        <v>81</v>
      </c>
      <c r="T744" t="s">
        <v>82</v>
      </c>
      <c r="U744" t="s">
        <v>76</v>
      </c>
    </row>
    <row r="745" spans="1:21" x14ac:dyDescent="0.35">
      <c r="A745" t="s">
        <v>870</v>
      </c>
      <c r="B745" s="5">
        <v>45980</v>
      </c>
      <c r="C745" t="s">
        <v>92</v>
      </c>
      <c r="D745" t="s">
        <v>79</v>
      </c>
      <c r="E745" s="9">
        <v>2</v>
      </c>
      <c r="F745" s="10">
        <v>85</v>
      </c>
      <c r="G745" s="11">
        <v>0.15</v>
      </c>
      <c r="H745" s="10">
        <v>144.5</v>
      </c>
      <c r="I745" s="9">
        <v>0</v>
      </c>
      <c r="J745" s="10">
        <v>0</v>
      </c>
      <c r="K745" s="9">
        <v>2</v>
      </c>
      <c r="L745" s="10">
        <v>144.5</v>
      </c>
      <c r="M745" s="10">
        <v>112.14</v>
      </c>
      <c r="N745" s="10">
        <v>32.36</v>
      </c>
      <c r="O745" s="11">
        <f t="shared" si="44"/>
        <v>0.22394463667820069</v>
      </c>
      <c r="P745" s="10">
        <v>7.59</v>
      </c>
      <c r="Q745" s="10">
        <v>24.77</v>
      </c>
      <c r="R745" s="11">
        <f t="shared" si="45"/>
        <v>0.17141868512110725</v>
      </c>
      <c r="S745" t="s">
        <v>81</v>
      </c>
      <c r="T745" t="s">
        <v>82</v>
      </c>
      <c r="U745" t="s">
        <v>71</v>
      </c>
    </row>
    <row r="746" spans="1:21" x14ac:dyDescent="0.35">
      <c r="A746" t="s">
        <v>871</v>
      </c>
      <c r="B746" s="5">
        <v>45701</v>
      </c>
      <c r="C746" t="s">
        <v>97</v>
      </c>
      <c r="D746" t="s">
        <v>57</v>
      </c>
      <c r="E746" s="9">
        <v>4</v>
      </c>
      <c r="F746" s="10">
        <v>55</v>
      </c>
      <c r="G746" s="11">
        <v>0</v>
      </c>
      <c r="H746" s="10">
        <v>220</v>
      </c>
      <c r="I746" s="9">
        <v>0</v>
      </c>
      <c r="J746" s="10">
        <v>0</v>
      </c>
      <c r="K746" s="9">
        <v>4</v>
      </c>
      <c r="L746" s="10">
        <v>220</v>
      </c>
      <c r="M746" s="10">
        <v>142.51</v>
      </c>
      <c r="N746" s="10">
        <v>77.489999999999995</v>
      </c>
      <c r="O746" s="11">
        <f t="shared" si="44"/>
        <v>0.35222727272727272</v>
      </c>
      <c r="P746" s="10">
        <v>13.45</v>
      </c>
      <c r="Q746" s="10">
        <v>64.040000000000006</v>
      </c>
      <c r="R746" s="11">
        <f t="shared" si="45"/>
        <v>0.29109090909090912</v>
      </c>
      <c r="S746" t="s">
        <v>65</v>
      </c>
      <c r="T746" t="s">
        <v>86</v>
      </c>
      <c r="U746" t="s">
        <v>67</v>
      </c>
    </row>
    <row r="747" spans="1:21" x14ac:dyDescent="0.35">
      <c r="A747" t="s">
        <v>872</v>
      </c>
      <c r="B747" s="5">
        <v>45905</v>
      </c>
      <c r="C747" t="s">
        <v>107</v>
      </c>
      <c r="D747" t="s">
        <v>74</v>
      </c>
      <c r="E747" s="9">
        <v>6</v>
      </c>
      <c r="F747" s="10">
        <v>125</v>
      </c>
      <c r="G747" s="11">
        <v>0</v>
      </c>
      <c r="H747" s="10">
        <v>750</v>
      </c>
      <c r="I747" s="9">
        <v>0</v>
      </c>
      <c r="J747" s="10">
        <v>0</v>
      </c>
      <c r="K747" s="9">
        <v>6</v>
      </c>
      <c r="L747" s="10">
        <v>750</v>
      </c>
      <c r="M747" s="10">
        <v>633.57000000000005</v>
      </c>
      <c r="N747" s="10">
        <v>116.43</v>
      </c>
      <c r="O747" s="11">
        <f t="shared" si="44"/>
        <v>0.15524000000000002</v>
      </c>
      <c r="P747" s="10">
        <v>84.98</v>
      </c>
      <c r="Q747" s="10">
        <v>31.45</v>
      </c>
      <c r="R747" s="11">
        <f t="shared" si="45"/>
        <v>4.1933333333333329E-2</v>
      </c>
      <c r="S747" t="s">
        <v>81</v>
      </c>
      <c r="T747" t="s">
        <v>82</v>
      </c>
      <c r="U747" t="s">
        <v>76</v>
      </c>
    </row>
    <row r="748" spans="1:21" x14ac:dyDescent="0.35">
      <c r="A748" t="s">
        <v>873</v>
      </c>
      <c r="B748" s="5">
        <v>45818</v>
      </c>
      <c r="C748" t="s">
        <v>125</v>
      </c>
      <c r="D748" t="s">
        <v>85</v>
      </c>
      <c r="E748" s="9">
        <v>2</v>
      </c>
      <c r="F748" s="10">
        <v>125</v>
      </c>
      <c r="G748" s="11">
        <v>0.15</v>
      </c>
      <c r="H748" s="10">
        <v>212.5</v>
      </c>
      <c r="I748" s="9">
        <v>0</v>
      </c>
      <c r="J748" s="10">
        <v>0</v>
      </c>
      <c r="K748" s="9">
        <v>2</v>
      </c>
      <c r="L748" s="10">
        <v>212.5</v>
      </c>
      <c r="M748" s="10">
        <v>134.29</v>
      </c>
      <c r="N748" s="10">
        <v>78.209999999999994</v>
      </c>
      <c r="O748" s="11">
        <f t="shared" si="44"/>
        <v>0.36804705882352939</v>
      </c>
      <c r="P748" s="10">
        <v>19.760000000000002</v>
      </c>
      <c r="Q748" s="10">
        <v>58.45</v>
      </c>
      <c r="R748" s="11">
        <f t="shared" si="45"/>
        <v>0.2750588235294118</v>
      </c>
      <c r="S748" t="s">
        <v>59</v>
      </c>
      <c r="T748" t="s">
        <v>82</v>
      </c>
      <c r="U748" t="s">
        <v>71</v>
      </c>
    </row>
    <row r="749" spans="1:21" x14ac:dyDescent="0.35">
      <c r="A749" t="s">
        <v>874</v>
      </c>
      <c r="B749" s="5">
        <v>45684</v>
      </c>
      <c r="C749" t="s">
        <v>125</v>
      </c>
      <c r="D749" t="s">
        <v>85</v>
      </c>
      <c r="E749" s="9">
        <v>10</v>
      </c>
      <c r="F749" s="10">
        <v>125</v>
      </c>
      <c r="G749" s="11">
        <v>0</v>
      </c>
      <c r="H749" s="10">
        <v>1250</v>
      </c>
      <c r="I749" s="9">
        <v>0</v>
      </c>
      <c r="J749" s="10">
        <v>0</v>
      </c>
      <c r="K749" s="9">
        <v>10</v>
      </c>
      <c r="L749" s="10">
        <v>1250</v>
      </c>
      <c r="M749" s="10">
        <v>925.79</v>
      </c>
      <c r="N749" s="10">
        <v>324.20999999999998</v>
      </c>
      <c r="O749" s="11">
        <f t="shared" si="44"/>
        <v>0.25936799999999999</v>
      </c>
      <c r="P749" s="10">
        <v>132.63999999999999</v>
      </c>
      <c r="Q749" s="10">
        <v>191.57</v>
      </c>
      <c r="R749" s="11">
        <f t="shared" si="45"/>
        <v>0.153256</v>
      </c>
      <c r="S749" t="s">
        <v>59</v>
      </c>
      <c r="T749" t="s">
        <v>82</v>
      </c>
      <c r="U749" t="s">
        <v>76</v>
      </c>
    </row>
    <row r="750" spans="1:21" x14ac:dyDescent="0.35">
      <c r="A750" t="s">
        <v>875</v>
      </c>
      <c r="B750" s="5">
        <v>45695</v>
      </c>
      <c r="C750" t="s">
        <v>125</v>
      </c>
      <c r="D750" t="s">
        <v>85</v>
      </c>
      <c r="E750" s="9">
        <v>5</v>
      </c>
      <c r="F750" s="10">
        <v>125</v>
      </c>
      <c r="G750" s="11">
        <v>0</v>
      </c>
      <c r="H750" s="10">
        <v>625</v>
      </c>
      <c r="I750" s="9">
        <v>0</v>
      </c>
      <c r="J750" s="10">
        <v>0</v>
      </c>
      <c r="K750" s="9">
        <v>5</v>
      </c>
      <c r="L750" s="10">
        <v>625</v>
      </c>
      <c r="M750" s="10">
        <v>468.8</v>
      </c>
      <c r="N750" s="10">
        <v>156.19999999999999</v>
      </c>
      <c r="O750" s="11">
        <f t="shared" si="44"/>
        <v>0.24991999999999998</v>
      </c>
      <c r="P750" s="10">
        <v>56.2</v>
      </c>
      <c r="Q750" s="10">
        <v>100</v>
      </c>
      <c r="R750" s="11">
        <f t="shared" si="45"/>
        <v>0.16</v>
      </c>
      <c r="S750" t="s">
        <v>65</v>
      </c>
      <c r="T750" t="s">
        <v>82</v>
      </c>
      <c r="U750" t="s">
        <v>67</v>
      </c>
    </row>
    <row r="751" spans="1:21" x14ac:dyDescent="0.35">
      <c r="A751" t="s">
        <v>876</v>
      </c>
      <c r="B751" s="5">
        <v>45918</v>
      </c>
      <c r="C751" t="s">
        <v>100</v>
      </c>
      <c r="D751" t="s">
        <v>64</v>
      </c>
      <c r="E751" s="9">
        <v>5</v>
      </c>
      <c r="F751" s="10">
        <v>310</v>
      </c>
      <c r="G751" s="11">
        <v>0</v>
      </c>
      <c r="H751" s="10">
        <v>1550</v>
      </c>
      <c r="I751" s="9">
        <v>0</v>
      </c>
      <c r="J751" s="10">
        <v>0</v>
      </c>
      <c r="K751" s="9">
        <v>5</v>
      </c>
      <c r="L751" s="10">
        <v>1550</v>
      </c>
      <c r="M751" s="10">
        <v>1081.32</v>
      </c>
      <c r="N751" s="10">
        <v>468.68</v>
      </c>
      <c r="O751" s="11">
        <f t="shared" si="44"/>
        <v>0.30237419354838713</v>
      </c>
      <c r="P751" s="10">
        <v>144.03</v>
      </c>
      <c r="Q751" s="10">
        <v>324.64999999999998</v>
      </c>
      <c r="R751" s="11">
        <f t="shared" si="45"/>
        <v>0.20945161290322578</v>
      </c>
      <c r="S751" t="s">
        <v>75</v>
      </c>
      <c r="T751" t="s">
        <v>60</v>
      </c>
      <c r="U751" t="s">
        <v>61</v>
      </c>
    </row>
    <row r="752" spans="1:21" x14ac:dyDescent="0.35">
      <c r="A752" t="s">
        <v>877</v>
      </c>
      <c r="B752" s="5">
        <v>45862</v>
      </c>
      <c r="C752" t="s">
        <v>117</v>
      </c>
      <c r="D752" t="s">
        <v>74</v>
      </c>
      <c r="E752" s="9">
        <v>1</v>
      </c>
      <c r="F752" s="10">
        <v>95</v>
      </c>
      <c r="G752" s="11">
        <v>0.15</v>
      </c>
      <c r="H752" s="10">
        <v>80.75</v>
      </c>
      <c r="I752" s="9">
        <v>0</v>
      </c>
      <c r="J752" s="10">
        <v>0</v>
      </c>
      <c r="K752" s="9">
        <v>1</v>
      </c>
      <c r="L752" s="10">
        <v>80.75</v>
      </c>
      <c r="M752" s="10">
        <v>60.11</v>
      </c>
      <c r="N752" s="10">
        <v>20.64</v>
      </c>
      <c r="O752" s="11">
        <f t="shared" si="44"/>
        <v>0.25560371517027863</v>
      </c>
      <c r="P752" s="10">
        <v>8.09</v>
      </c>
      <c r="Q752" s="10">
        <v>12.55</v>
      </c>
      <c r="R752" s="11">
        <f t="shared" si="45"/>
        <v>0.15541795665634675</v>
      </c>
      <c r="S752" t="s">
        <v>75</v>
      </c>
      <c r="T752" t="s">
        <v>60</v>
      </c>
      <c r="U752" t="s">
        <v>71</v>
      </c>
    </row>
    <row r="753" spans="1:21" x14ac:dyDescent="0.35">
      <c r="A753" t="s">
        <v>878</v>
      </c>
      <c r="B753" s="5">
        <v>45873</v>
      </c>
      <c r="C753" t="s">
        <v>95</v>
      </c>
      <c r="D753" t="s">
        <v>64</v>
      </c>
      <c r="E753" s="9">
        <v>4</v>
      </c>
      <c r="F753" s="10">
        <v>52</v>
      </c>
      <c r="G753" s="11">
        <v>0.1</v>
      </c>
      <c r="H753" s="10">
        <v>187.2</v>
      </c>
      <c r="I753" s="9">
        <v>0</v>
      </c>
      <c r="J753" s="10">
        <v>0</v>
      </c>
      <c r="K753" s="9">
        <v>4</v>
      </c>
      <c r="L753" s="10">
        <v>187.2</v>
      </c>
      <c r="M753" s="10">
        <v>125.34</v>
      </c>
      <c r="N753" s="10">
        <v>61.86</v>
      </c>
      <c r="O753" s="11">
        <f t="shared" si="44"/>
        <v>0.33044871794871794</v>
      </c>
      <c r="P753" s="10">
        <v>22.34</v>
      </c>
      <c r="Q753" s="10">
        <v>39.520000000000003</v>
      </c>
      <c r="R753" s="11">
        <f t="shared" si="45"/>
        <v>0.21111111111111114</v>
      </c>
      <c r="S753" t="s">
        <v>81</v>
      </c>
      <c r="T753" t="s">
        <v>86</v>
      </c>
      <c r="U753" t="s">
        <v>61</v>
      </c>
    </row>
    <row r="754" spans="1:21" x14ac:dyDescent="0.35">
      <c r="A754" t="s">
        <v>879</v>
      </c>
      <c r="B754" s="5">
        <v>45911</v>
      </c>
      <c r="C754" t="s">
        <v>117</v>
      </c>
      <c r="D754" t="s">
        <v>74</v>
      </c>
      <c r="E754" s="9">
        <v>1</v>
      </c>
      <c r="F754" s="10">
        <v>95</v>
      </c>
      <c r="G754" s="11">
        <v>0</v>
      </c>
      <c r="H754" s="10">
        <v>95</v>
      </c>
      <c r="I754" s="9">
        <v>0</v>
      </c>
      <c r="J754" s="10">
        <v>0</v>
      </c>
      <c r="K754" s="9">
        <v>1</v>
      </c>
      <c r="L754" s="10">
        <v>95</v>
      </c>
      <c r="M754" s="10">
        <v>78.349999999999994</v>
      </c>
      <c r="N754" s="10">
        <v>16.649999999999999</v>
      </c>
      <c r="O754" s="11">
        <f t="shared" si="44"/>
        <v>0.17526315789473682</v>
      </c>
      <c r="P754" s="10">
        <v>5.5</v>
      </c>
      <c r="Q754" s="10">
        <v>11.15</v>
      </c>
      <c r="R754" s="11">
        <f t="shared" si="45"/>
        <v>0.11736842105263158</v>
      </c>
      <c r="S754" t="s">
        <v>65</v>
      </c>
      <c r="T754" t="s">
        <v>86</v>
      </c>
      <c r="U754" t="s">
        <v>76</v>
      </c>
    </row>
    <row r="755" spans="1:21" x14ac:dyDescent="0.35">
      <c r="A755" t="s">
        <v>880</v>
      </c>
      <c r="B755" s="5">
        <v>45672</v>
      </c>
      <c r="C755" t="s">
        <v>69</v>
      </c>
      <c r="D755" t="s">
        <v>70</v>
      </c>
      <c r="E755" s="9">
        <v>1</v>
      </c>
      <c r="F755" s="10">
        <v>210</v>
      </c>
      <c r="G755" s="11">
        <v>0.05</v>
      </c>
      <c r="H755" s="10">
        <v>199.5</v>
      </c>
      <c r="I755" s="9">
        <v>0</v>
      </c>
      <c r="J755" s="10">
        <v>0</v>
      </c>
      <c r="K755" s="9">
        <v>1</v>
      </c>
      <c r="L755" s="10">
        <v>199.5</v>
      </c>
      <c r="M755" s="10">
        <v>128.53</v>
      </c>
      <c r="N755" s="10">
        <v>70.97</v>
      </c>
      <c r="O755" s="11">
        <f t="shared" ref="O755:O786" si="46">N755/L755</f>
        <v>0.3557393483709273</v>
      </c>
      <c r="P755" s="10">
        <v>15.66</v>
      </c>
      <c r="Q755" s="10">
        <v>55.31</v>
      </c>
      <c r="R755" s="11">
        <f t="shared" ref="R755:R786" si="47">Q755/L755</f>
        <v>0.27724310776942357</v>
      </c>
      <c r="S755" t="s">
        <v>65</v>
      </c>
      <c r="T755" t="s">
        <v>66</v>
      </c>
      <c r="U755" t="s">
        <v>76</v>
      </c>
    </row>
    <row r="756" spans="1:21" x14ac:dyDescent="0.35">
      <c r="A756" t="s">
        <v>881</v>
      </c>
      <c r="B756" s="5">
        <v>45747</v>
      </c>
      <c r="C756" t="s">
        <v>125</v>
      </c>
      <c r="D756" t="s">
        <v>85</v>
      </c>
      <c r="E756" s="9">
        <v>2</v>
      </c>
      <c r="F756" s="10">
        <v>125</v>
      </c>
      <c r="G756" s="11">
        <v>0.05</v>
      </c>
      <c r="H756" s="10">
        <v>237.5</v>
      </c>
      <c r="I756" s="9">
        <v>0</v>
      </c>
      <c r="J756" s="10">
        <v>0</v>
      </c>
      <c r="K756" s="9">
        <v>2</v>
      </c>
      <c r="L756" s="10">
        <v>237.5</v>
      </c>
      <c r="M756" s="10">
        <v>197.05</v>
      </c>
      <c r="N756" s="10">
        <v>40.450000000000003</v>
      </c>
      <c r="O756" s="11">
        <f t="shared" si="46"/>
        <v>0.17031578947368423</v>
      </c>
      <c r="P756" s="10">
        <v>28.34</v>
      </c>
      <c r="Q756" s="10">
        <v>12.11</v>
      </c>
      <c r="R756" s="11">
        <f t="shared" si="47"/>
        <v>5.0989473684210522E-2</v>
      </c>
      <c r="S756" t="s">
        <v>2133</v>
      </c>
      <c r="T756" t="s">
        <v>86</v>
      </c>
      <c r="U756" t="s">
        <v>76</v>
      </c>
    </row>
    <row r="757" spans="1:21" x14ac:dyDescent="0.35">
      <c r="A757" t="s">
        <v>882</v>
      </c>
      <c r="B757" s="5">
        <v>45946</v>
      </c>
      <c r="C757" t="s">
        <v>117</v>
      </c>
      <c r="D757" t="s">
        <v>74</v>
      </c>
      <c r="E757" s="9">
        <v>3</v>
      </c>
      <c r="F757" s="10">
        <v>95</v>
      </c>
      <c r="G757" s="11">
        <v>0</v>
      </c>
      <c r="H757" s="10">
        <v>285</v>
      </c>
      <c r="I757" s="9">
        <v>0</v>
      </c>
      <c r="J757" s="10">
        <v>0</v>
      </c>
      <c r="K757" s="9">
        <v>3</v>
      </c>
      <c r="L757" s="10">
        <v>285</v>
      </c>
      <c r="M757" s="10">
        <v>207.7</v>
      </c>
      <c r="N757" s="10">
        <v>77.3</v>
      </c>
      <c r="O757" s="11">
        <f t="shared" si="46"/>
        <v>0.2712280701754386</v>
      </c>
      <c r="P757" s="10">
        <v>27.5</v>
      </c>
      <c r="Q757" s="10">
        <v>49.8</v>
      </c>
      <c r="R757" s="11">
        <f t="shared" si="47"/>
        <v>0.17473684210526313</v>
      </c>
      <c r="S757" t="s">
        <v>75</v>
      </c>
      <c r="T757" t="s">
        <v>66</v>
      </c>
      <c r="U757" t="s">
        <v>67</v>
      </c>
    </row>
    <row r="758" spans="1:21" x14ac:dyDescent="0.35">
      <c r="A758" t="s">
        <v>883</v>
      </c>
      <c r="B758" s="5">
        <v>45734</v>
      </c>
      <c r="C758" t="s">
        <v>264</v>
      </c>
      <c r="D758" t="s">
        <v>85</v>
      </c>
      <c r="E758" s="9">
        <v>8</v>
      </c>
      <c r="F758" s="10">
        <v>20</v>
      </c>
      <c r="G758" s="11">
        <v>0</v>
      </c>
      <c r="H758" s="10">
        <v>160</v>
      </c>
      <c r="I758" s="9">
        <v>0</v>
      </c>
      <c r="J758" s="10">
        <v>0</v>
      </c>
      <c r="K758" s="9">
        <v>8</v>
      </c>
      <c r="L758" s="10">
        <v>160</v>
      </c>
      <c r="M758" s="10">
        <v>114.34</v>
      </c>
      <c r="N758" s="10">
        <v>45.66</v>
      </c>
      <c r="O758" s="11">
        <f t="shared" si="46"/>
        <v>0.28537499999999999</v>
      </c>
      <c r="P758" s="10">
        <v>14.31</v>
      </c>
      <c r="Q758" s="10">
        <v>31.35</v>
      </c>
      <c r="R758" s="11">
        <f t="shared" si="47"/>
        <v>0.19593750000000001</v>
      </c>
      <c r="S758" t="s">
        <v>81</v>
      </c>
      <c r="T758" t="s">
        <v>60</v>
      </c>
      <c r="U758" t="s">
        <v>71</v>
      </c>
    </row>
    <row r="759" spans="1:21" x14ac:dyDescent="0.35">
      <c r="A759" t="s">
        <v>884</v>
      </c>
      <c r="B759" s="5">
        <v>45676</v>
      </c>
      <c r="C759" t="s">
        <v>121</v>
      </c>
      <c r="D759" t="s">
        <v>70</v>
      </c>
      <c r="E759" s="9">
        <v>1</v>
      </c>
      <c r="F759" s="10">
        <v>110</v>
      </c>
      <c r="G759" s="11">
        <v>0.02</v>
      </c>
      <c r="H759" s="10">
        <v>107.8</v>
      </c>
      <c r="I759" s="9">
        <v>0</v>
      </c>
      <c r="J759" s="10">
        <v>0</v>
      </c>
      <c r="K759" s="9">
        <v>1</v>
      </c>
      <c r="L759" s="10">
        <v>107.8</v>
      </c>
      <c r="M759" s="10">
        <v>82.05</v>
      </c>
      <c r="N759" s="10">
        <v>25.75</v>
      </c>
      <c r="O759" s="11">
        <f t="shared" si="46"/>
        <v>0.2388682745825603</v>
      </c>
      <c r="P759" s="10">
        <v>11.65</v>
      </c>
      <c r="Q759" s="10">
        <v>14.1</v>
      </c>
      <c r="R759" s="11">
        <f t="shared" si="47"/>
        <v>0.13079777365491652</v>
      </c>
      <c r="S759" t="s">
        <v>59</v>
      </c>
      <c r="T759" t="s">
        <v>82</v>
      </c>
      <c r="U759" t="s">
        <v>76</v>
      </c>
    </row>
    <row r="760" spans="1:21" x14ac:dyDescent="0.35">
      <c r="A760" t="s">
        <v>885</v>
      </c>
      <c r="B760" s="5">
        <v>45875</v>
      </c>
      <c r="C760" t="s">
        <v>125</v>
      </c>
      <c r="D760" t="s">
        <v>85</v>
      </c>
      <c r="E760" s="9">
        <v>3</v>
      </c>
      <c r="F760" s="10">
        <v>125</v>
      </c>
      <c r="G760" s="11">
        <v>0.02</v>
      </c>
      <c r="H760" s="10">
        <v>367.5</v>
      </c>
      <c r="I760" s="9">
        <v>0</v>
      </c>
      <c r="J760" s="10">
        <v>0</v>
      </c>
      <c r="K760" s="9">
        <v>3</v>
      </c>
      <c r="L760" s="10">
        <v>367.5</v>
      </c>
      <c r="M760" s="10">
        <v>314.14</v>
      </c>
      <c r="N760" s="10">
        <v>53.36</v>
      </c>
      <c r="O760" s="11">
        <f t="shared" si="46"/>
        <v>0.14519727891156461</v>
      </c>
      <c r="P760" s="10">
        <v>21.5</v>
      </c>
      <c r="Q760" s="10">
        <v>31.86</v>
      </c>
      <c r="R760" s="11">
        <f t="shared" si="47"/>
        <v>8.6693877551020412E-2</v>
      </c>
      <c r="S760" t="s">
        <v>75</v>
      </c>
      <c r="T760" t="s">
        <v>66</v>
      </c>
      <c r="U760" t="s">
        <v>71</v>
      </c>
    </row>
    <row r="761" spans="1:21" x14ac:dyDescent="0.35">
      <c r="A761" t="s">
        <v>886</v>
      </c>
      <c r="B761" s="5">
        <v>45898</v>
      </c>
      <c r="C761" t="s">
        <v>107</v>
      </c>
      <c r="D761" t="s">
        <v>74</v>
      </c>
      <c r="E761" s="9">
        <v>1</v>
      </c>
      <c r="F761" s="10">
        <v>125</v>
      </c>
      <c r="G761" s="11">
        <v>0</v>
      </c>
      <c r="H761" s="10">
        <v>125</v>
      </c>
      <c r="I761" s="9">
        <v>0</v>
      </c>
      <c r="J761" s="10">
        <v>0</v>
      </c>
      <c r="K761" s="9">
        <v>1</v>
      </c>
      <c r="L761" s="10">
        <v>125</v>
      </c>
      <c r="M761" s="10">
        <v>93.82</v>
      </c>
      <c r="N761" s="10">
        <v>31.18</v>
      </c>
      <c r="O761" s="11">
        <f t="shared" si="46"/>
        <v>0.24944</v>
      </c>
      <c r="P761" s="10">
        <v>9.82</v>
      </c>
      <c r="Q761" s="10">
        <v>21.36</v>
      </c>
      <c r="R761" s="11">
        <f t="shared" si="47"/>
        <v>0.17088</v>
      </c>
      <c r="S761" t="s">
        <v>75</v>
      </c>
      <c r="T761" t="s">
        <v>82</v>
      </c>
      <c r="U761" t="s">
        <v>76</v>
      </c>
    </row>
    <row r="762" spans="1:21" x14ac:dyDescent="0.35">
      <c r="A762" t="s">
        <v>887</v>
      </c>
      <c r="B762" s="5">
        <v>45794</v>
      </c>
      <c r="C762" t="s">
        <v>63</v>
      </c>
      <c r="D762" t="s">
        <v>64</v>
      </c>
      <c r="E762" s="9">
        <v>2</v>
      </c>
      <c r="F762" s="10">
        <v>145</v>
      </c>
      <c r="G762" s="11">
        <v>0</v>
      </c>
      <c r="H762" s="10">
        <v>290</v>
      </c>
      <c r="I762" s="9">
        <v>0</v>
      </c>
      <c r="J762" s="10">
        <v>0</v>
      </c>
      <c r="K762" s="9">
        <v>2</v>
      </c>
      <c r="L762" s="10">
        <v>290</v>
      </c>
      <c r="M762" s="10">
        <v>214.43</v>
      </c>
      <c r="N762" s="10">
        <v>75.569999999999993</v>
      </c>
      <c r="O762" s="11">
        <f t="shared" si="46"/>
        <v>0.26058620689655171</v>
      </c>
      <c r="P762" s="10">
        <v>31.46</v>
      </c>
      <c r="Q762" s="10">
        <v>44.11</v>
      </c>
      <c r="R762" s="11">
        <f t="shared" si="47"/>
        <v>0.15210344827586206</v>
      </c>
      <c r="S762" t="s">
        <v>2133</v>
      </c>
      <c r="T762" t="s">
        <v>66</v>
      </c>
      <c r="U762" t="s">
        <v>67</v>
      </c>
    </row>
    <row r="763" spans="1:21" x14ac:dyDescent="0.35">
      <c r="A763" t="s">
        <v>888</v>
      </c>
      <c r="B763" s="5">
        <v>45883</v>
      </c>
      <c r="C763" t="s">
        <v>109</v>
      </c>
      <c r="D763" t="s">
        <v>85</v>
      </c>
      <c r="E763" s="9">
        <v>2</v>
      </c>
      <c r="F763" s="10">
        <v>180</v>
      </c>
      <c r="G763" s="11">
        <v>0.05</v>
      </c>
      <c r="H763" s="10">
        <v>342</v>
      </c>
      <c r="I763" s="9">
        <v>0</v>
      </c>
      <c r="J763" s="10">
        <v>0</v>
      </c>
      <c r="K763" s="9">
        <v>2</v>
      </c>
      <c r="L763" s="10">
        <v>342</v>
      </c>
      <c r="M763" s="10">
        <v>239.84</v>
      </c>
      <c r="N763" s="10">
        <v>102.16</v>
      </c>
      <c r="O763" s="11">
        <f t="shared" si="46"/>
        <v>0.29871345029239765</v>
      </c>
      <c r="P763" s="10">
        <v>22.71</v>
      </c>
      <c r="Q763" s="10">
        <v>79.45</v>
      </c>
      <c r="R763" s="11">
        <f t="shared" si="47"/>
        <v>0.23230994152046786</v>
      </c>
      <c r="S763" t="s">
        <v>59</v>
      </c>
      <c r="T763" t="s">
        <v>60</v>
      </c>
      <c r="U763" t="s">
        <v>67</v>
      </c>
    </row>
    <row r="764" spans="1:21" x14ac:dyDescent="0.35">
      <c r="A764" t="s">
        <v>889</v>
      </c>
      <c r="B764" s="5">
        <v>45942</v>
      </c>
      <c r="C764" t="s">
        <v>121</v>
      </c>
      <c r="D764" t="s">
        <v>70</v>
      </c>
      <c r="E764" s="9">
        <v>4</v>
      </c>
      <c r="F764" s="10">
        <v>110</v>
      </c>
      <c r="G764" s="11">
        <v>0</v>
      </c>
      <c r="H764" s="10">
        <v>440</v>
      </c>
      <c r="I764" s="9">
        <v>0</v>
      </c>
      <c r="J764" s="10">
        <v>0</v>
      </c>
      <c r="K764" s="9">
        <v>4</v>
      </c>
      <c r="L764" s="10">
        <v>440</v>
      </c>
      <c r="M764" s="10">
        <v>359.49</v>
      </c>
      <c r="N764" s="10">
        <v>80.510000000000005</v>
      </c>
      <c r="O764" s="11">
        <f t="shared" si="46"/>
        <v>0.18297727272727274</v>
      </c>
      <c r="P764" s="10">
        <v>28.65</v>
      </c>
      <c r="Q764" s="10">
        <v>51.86</v>
      </c>
      <c r="R764" s="11">
        <f t="shared" si="47"/>
        <v>0.11786363636363636</v>
      </c>
      <c r="S764" t="s">
        <v>81</v>
      </c>
      <c r="T764" t="s">
        <v>86</v>
      </c>
      <c r="U764" t="s">
        <v>67</v>
      </c>
    </row>
    <row r="765" spans="1:21" x14ac:dyDescent="0.35">
      <c r="A765" t="s">
        <v>890</v>
      </c>
      <c r="B765" s="5">
        <v>45682</v>
      </c>
      <c r="C765" t="s">
        <v>121</v>
      </c>
      <c r="D765" t="s">
        <v>70</v>
      </c>
      <c r="E765" s="9">
        <v>3</v>
      </c>
      <c r="F765" s="10">
        <v>110</v>
      </c>
      <c r="G765" s="11">
        <v>0</v>
      </c>
      <c r="H765" s="10">
        <v>330</v>
      </c>
      <c r="I765" s="9">
        <v>0</v>
      </c>
      <c r="J765" s="10">
        <v>0</v>
      </c>
      <c r="K765" s="9">
        <v>3</v>
      </c>
      <c r="L765" s="10">
        <v>330</v>
      </c>
      <c r="M765" s="10">
        <v>220.12</v>
      </c>
      <c r="N765" s="10">
        <v>109.88</v>
      </c>
      <c r="O765" s="11">
        <f t="shared" si="46"/>
        <v>0.33296969696969697</v>
      </c>
      <c r="P765" s="10">
        <v>42.28</v>
      </c>
      <c r="Q765" s="10">
        <v>67.599999999999994</v>
      </c>
      <c r="R765" s="11">
        <f t="shared" si="47"/>
        <v>0.20484848484848484</v>
      </c>
      <c r="S765" t="s">
        <v>59</v>
      </c>
      <c r="T765" t="s">
        <v>86</v>
      </c>
      <c r="U765" t="s">
        <v>61</v>
      </c>
    </row>
    <row r="766" spans="1:21" x14ac:dyDescent="0.35">
      <c r="A766" t="s">
        <v>891</v>
      </c>
      <c r="B766" s="5">
        <v>45839</v>
      </c>
      <c r="C766" t="s">
        <v>78</v>
      </c>
      <c r="D766" t="s">
        <v>79</v>
      </c>
      <c r="E766" s="9">
        <v>1</v>
      </c>
      <c r="F766" s="10">
        <v>120</v>
      </c>
      <c r="G766" s="11">
        <v>0.1</v>
      </c>
      <c r="H766" s="10">
        <v>108</v>
      </c>
      <c r="I766" s="9">
        <v>0</v>
      </c>
      <c r="J766" s="10">
        <v>0</v>
      </c>
      <c r="K766" s="9">
        <v>1</v>
      </c>
      <c r="L766" s="10">
        <v>108</v>
      </c>
      <c r="M766" s="10">
        <v>79.75</v>
      </c>
      <c r="N766" s="10">
        <v>28.25</v>
      </c>
      <c r="O766" s="11">
        <f t="shared" si="46"/>
        <v>0.26157407407407407</v>
      </c>
      <c r="P766" s="10">
        <v>5.73</v>
      </c>
      <c r="Q766" s="10">
        <v>22.52</v>
      </c>
      <c r="R766" s="11">
        <f t="shared" si="47"/>
        <v>0.20851851851851852</v>
      </c>
      <c r="S766" t="s">
        <v>81</v>
      </c>
      <c r="T766" t="s">
        <v>82</v>
      </c>
      <c r="U766" t="s">
        <v>76</v>
      </c>
    </row>
    <row r="767" spans="1:21" x14ac:dyDescent="0.35">
      <c r="A767" t="s">
        <v>892</v>
      </c>
      <c r="B767" s="5">
        <v>45672</v>
      </c>
      <c r="C767" t="s">
        <v>95</v>
      </c>
      <c r="D767" t="s">
        <v>64</v>
      </c>
      <c r="E767" s="9">
        <v>2</v>
      </c>
      <c r="F767" s="10">
        <v>52</v>
      </c>
      <c r="G767" s="11">
        <v>0.05</v>
      </c>
      <c r="H767" s="10">
        <v>98.8</v>
      </c>
      <c r="I767" s="9">
        <v>0</v>
      </c>
      <c r="J767" s="10">
        <v>0</v>
      </c>
      <c r="K767" s="9">
        <v>2</v>
      </c>
      <c r="L767" s="10">
        <v>98.8</v>
      </c>
      <c r="M767" s="10">
        <v>81.77</v>
      </c>
      <c r="N767" s="10">
        <v>17.03</v>
      </c>
      <c r="O767" s="11">
        <f t="shared" si="46"/>
        <v>0.17236842105263159</v>
      </c>
      <c r="P767" s="10">
        <v>10.69</v>
      </c>
      <c r="Q767" s="10">
        <v>6.34</v>
      </c>
      <c r="R767" s="11">
        <f t="shared" si="47"/>
        <v>6.4170040485829957E-2</v>
      </c>
      <c r="S767" t="s">
        <v>59</v>
      </c>
      <c r="T767" t="s">
        <v>60</v>
      </c>
      <c r="U767" t="s">
        <v>67</v>
      </c>
    </row>
    <row r="768" spans="1:21" x14ac:dyDescent="0.35">
      <c r="A768" t="s">
        <v>893</v>
      </c>
      <c r="B768" s="5">
        <v>45871</v>
      </c>
      <c r="C768" t="s">
        <v>125</v>
      </c>
      <c r="D768" t="s">
        <v>85</v>
      </c>
      <c r="E768" s="9">
        <v>5</v>
      </c>
      <c r="F768" s="10">
        <v>125</v>
      </c>
      <c r="G768" s="11">
        <v>0</v>
      </c>
      <c r="H768" s="10">
        <v>625</v>
      </c>
      <c r="I768" s="9">
        <v>1</v>
      </c>
      <c r="J768" s="10">
        <v>125</v>
      </c>
      <c r="K768" s="9">
        <v>4</v>
      </c>
      <c r="L768" s="10">
        <v>500</v>
      </c>
      <c r="M768" s="10">
        <v>319.3</v>
      </c>
      <c r="N768" s="10">
        <v>180.7</v>
      </c>
      <c r="O768" s="11">
        <f t="shared" si="46"/>
        <v>0.3614</v>
      </c>
      <c r="P768" s="10">
        <v>50.53</v>
      </c>
      <c r="Q768" s="10">
        <v>130.16999999999999</v>
      </c>
      <c r="R768" s="11">
        <f t="shared" si="47"/>
        <v>0.26033999999999996</v>
      </c>
      <c r="S768" t="s">
        <v>81</v>
      </c>
      <c r="T768" t="s">
        <v>82</v>
      </c>
      <c r="U768" t="s">
        <v>76</v>
      </c>
    </row>
    <row r="769" spans="1:21" x14ac:dyDescent="0.35">
      <c r="A769" t="s">
        <v>894</v>
      </c>
      <c r="B769" s="5">
        <v>45707</v>
      </c>
      <c r="C769" t="s">
        <v>92</v>
      </c>
      <c r="D769" t="s">
        <v>79</v>
      </c>
      <c r="E769" s="9">
        <v>3</v>
      </c>
      <c r="F769" s="10">
        <v>85</v>
      </c>
      <c r="G769" s="11">
        <v>0</v>
      </c>
      <c r="H769" s="10">
        <v>255</v>
      </c>
      <c r="I769" s="9">
        <v>0</v>
      </c>
      <c r="J769" s="10">
        <v>0</v>
      </c>
      <c r="K769" s="9">
        <v>3</v>
      </c>
      <c r="L769" s="10">
        <v>255</v>
      </c>
      <c r="M769" s="10">
        <v>164.73</v>
      </c>
      <c r="N769" s="10">
        <v>90.27</v>
      </c>
      <c r="O769" s="11">
        <f t="shared" si="46"/>
        <v>0.35399999999999998</v>
      </c>
      <c r="P769" s="10">
        <v>28.73</v>
      </c>
      <c r="Q769" s="10">
        <v>61.54</v>
      </c>
      <c r="R769" s="11">
        <f t="shared" si="47"/>
        <v>0.24133333333333332</v>
      </c>
      <c r="S769" t="s">
        <v>81</v>
      </c>
      <c r="T769" t="s">
        <v>82</v>
      </c>
      <c r="U769" t="s">
        <v>71</v>
      </c>
    </row>
    <row r="770" spans="1:21" x14ac:dyDescent="0.35">
      <c r="A770" t="s">
        <v>895</v>
      </c>
      <c r="B770" s="5">
        <v>45732</v>
      </c>
      <c r="C770" t="s">
        <v>95</v>
      </c>
      <c r="D770" t="s">
        <v>64</v>
      </c>
      <c r="E770" s="9">
        <v>10</v>
      </c>
      <c r="F770" s="10">
        <v>52</v>
      </c>
      <c r="G770" s="11">
        <v>0</v>
      </c>
      <c r="H770" s="10">
        <v>520</v>
      </c>
      <c r="I770" s="9">
        <v>0</v>
      </c>
      <c r="J770" s="10">
        <v>0</v>
      </c>
      <c r="K770" s="9">
        <v>10</v>
      </c>
      <c r="L770" s="10">
        <v>520</v>
      </c>
      <c r="M770" s="10">
        <v>406.35</v>
      </c>
      <c r="N770" s="10">
        <v>113.65</v>
      </c>
      <c r="O770" s="11">
        <f t="shared" si="46"/>
        <v>0.21855769230769231</v>
      </c>
      <c r="P770" s="10">
        <v>56.15</v>
      </c>
      <c r="Q770" s="10">
        <v>57.5</v>
      </c>
      <c r="R770" s="11">
        <f t="shared" si="47"/>
        <v>0.11057692307692307</v>
      </c>
      <c r="S770" t="s">
        <v>59</v>
      </c>
      <c r="T770" t="s">
        <v>66</v>
      </c>
      <c r="U770" t="s">
        <v>67</v>
      </c>
    </row>
    <row r="771" spans="1:21" x14ac:dyDescent="0.35">
      <c r="A771" t="s">
        <v>896</v>
      </c>
      <c r="B771" s="5">
        <v>45963</v>
      </c>
      <c r="C771" t="s">
        <v>84</v>
      </c>
      <c r="D771" t="s">
        <v>85</v>
      </c>
      <c r="E771" s="9">
        <v>4</v>
      </c>
      <c r="F771" s="10">
        <v>48</v>
      </c>
      <c r="G771" s="11">
        <v>0</v>
      </c>
      <c r="H771" s="10">
        <v>192</v>
      </c>
      <c r="I771" s="9">
        <v>0</v>
      </c>
      <c r="J771" s="10">
        <v>0</v>
      </c>
      <c r="K771" s="9">
        <v>4</v>
      </c>
      <c r="L771" s="10">
        <v>192</v>
      </c>
      <c r="M771" s="10">
        <v>157.57</v>
      </c>
      <c r="N771" s="10">
        <v>34.43</v>
      </c>
      <c r="O771" s="11">
        <f t="shared" si="46"/>
        <v>0.17932291666666667</v>
      </c>
      <c r="P771" s="10">
        <v>14.23</v>
      </c>
      <c r="Q771" s="10">
        <v>20.2</v>
      </c>
      <c r="R771" s="11">
        <f t="shared" si="47"/>
        <v>0.10520833333333333</v>
      </c>
      <c r="S771" t="s">
        <v>59</v>
      </c>
      <c r="T771" t="s">
        <v>66</v>
      </c>
      <c r="U771" t="s">
        <v>67</v>
      </c>
    </row>
    <row r="772" spans="1:21" x14ac:dyDescent="0.35">
      <c r="A772" t="s">
        <v>897</v>
      </c>
      <c r="B772" s="5">
        <v>45803</v>
      </c>
      <c r="C772" t="s">
        <v>63</v>
      </c>
      <c r="D772" t="s">
        <v>64</v>
      </c>
      <c r="E772" s="9">
        <v>1</v>
      </c>
      <c r="F772" s="10">
        <v>145</v>
      </c>
      <c r="G772" s="11">
        <v>0</v>
      </c>
      <c r="H772" s="10">
        <v>145</v>
      </c>
      <c r="I772" s="9">
        <v>0</v>
      </c>
      <c r="J772" s="10">
        <v>0</v>
      </c>
      <c r="K772" s="9">
        <v>1</v>
      </c>
      <c r="L772" s="10">
        <v>145</v>
      </c>
      <c r="M772" s="10">
        <v>97.02</v>
      </c>
      <c r="N772" s="10">
        <v>47.98</v>
      </c>
      <c r="O772" s="11">
        <f t="shared" si="46"/>
        <v>0.3308965517241379</v>
      </c>
      <c r="P772" s="10">
        <v>14.78</v>
      </c>
      <c r="Q772" s="10">
        <v>33.200000000000003</v>
      </c>
      <c r="R772" s="11">
        <f t="shared" si="47"/>
        <v>0.22896551724137934</v>
      </c>
      <c r="S772" t="s">
        <v>75</v>
      </c>
      <c r="T772" t="s">
        <v>86</v>
      </c>
      <c r="U772" t="s">
        <v>76</v>
      </c>
    </row>
    <row r="773" spans="1:21" x14ac:dyDescent="0.35">
      <c r="A773" t="s">
        <v>898</v>
      </c>
      <c r="B773" s="5">
        <v>45757</v>
      </c>
      <c r="C773" t="s">
        <v>107</v>
      </c>
      <c r="D773" t="s">
        <v>74</v>
      </c>
      <c r="E773" s="9">
        <v>1</v>
      </c>
      <c r="F773" s="10">
        <v>125</v>
      </c>
      <c r="G773" s="11">
        <v>0.05</v>
      </c>
      <c r="H773" s="10">
        <v>118.75</v>
      </c>
      <c r="I773" s="9">
        <v>0</v>
      </c>
      <c r="J773" s="10">
        <v>0</v>
      </c>
      <c r="K773" s="9">
        <v>1</v>
      </c>
      <c r="L773" s="10">
        <v>118.75</v>
      </c>
      <c r="M773" s="10">
        <v>88.22</v>
      </c>
      <c r="N773" s="10">
        <v>30.53</v>
      </c>
      <c r="O773" s="11">
        <f t="shared" si="46"/>
        <v>0.25709473684210526</v>
      </c>
      <c r="P773" s="10">
        <v>11.27</v>
      </c>
      <c r="Q773" s="10">
        <v>19.260000000000002</v>
      </c>
      <c r="R773" s="11">
        <f t="shared" si="47"/>
        <v>0.16218947368421055</v>
      </c>
      <c r="S773" t="s">
        <v>65</v>
      </c>
      <c r="T773" t="s">
        <v>66</v>
      </c>
      <c r="U773" t="s">
        <v>71</v>
      </c>
    </row>
    <row r="774" spans="1:21" x14ac:dyDescent="0.35">
      <c r="A774" t="s">
        <v>899</v>
      </c>
      <c r="B774" s="5">
        <v>45815</v>
      </c>
      <c r="C774" t="s">
        <v>100</v>
      </c>
      <c r="D774" t="s">
        <v>64</v>
      </c>
      <c r="E774" s="9">
        <v>4</v>
      </c>
      <c r="F774" s="10">
        <v>310</v>
      </c>
      <c r="G774" s="11">
        <v>0</v>
      </c>
      <c r="H774" s="10">
        <v>1240</v>
      </c>
      <c r="I774" s="9">
        <v>0</v>
      </c>
      <c r="J774" s="10">
        <v>0</v>
      </c>
      <c r="K774" s="9">
        <v>4</v>
      </c>
      <c r="L774" s="10">
        <v>1240</v>
      </c>
      <c r="M774" s="10">
        <v>917.33</v>
      </c>
      <c r="N774" s="10">
        <v>322.67</v>
      </c>
      <c r="O774" s="11">
        <f t="shared" si="46"/>
        <v>0.26021774193548386</v>
      </c>
      <c r="P774" s="10">
        <v>100.64</v>
      </c>
      <c r="Q774" s="10">
        <v>222.03</v>
      </c>
      <c r="R774" s="11">
        <f t="shared" si="47"/>
        <v>0.17905645161290323</v>
      </c>
      <c r="S774" t="s">
        <v>75</v>
      </c>
      <c r="T774" t="s">
        <v>86</v>
      </c>
      <c r="U774" t="s">
        <v>71</v>
      </c>
    </row>
    <row r="775" spans="1:21" x14ac:dyDescent="0.35">
      <c r="A775" t="s">
        <v>900</v>
      </c>
      <c r="B775" s="5">
        <v>45947</v>
      </c>
      <c r="C775" t="s">
        <v>109</v>
      </c>
      <c r="D775" t="s">
        <v>85</v>
      </c>
      <c r="E775" s="9">
        <v>2</v>
      </c>
      <c r="F775" s="10">
        <v>180</v>
      </c>
      <c r="G775" s="11">
        <v>0</v>
      </c>
      <c r="H775" s="10">
        <v>360</v>
      </c>
      <c r="I775" s="9">
        <v>0</v>
      </c>
      <c r="J775" s="10">
        <v>0</v>
      </c>
      <c r="K775" s="9">
        <v>2</v>
      </c>
      <c r="L775" s="10">
        <v>360</v>
      </c>
      <c r="M775" s="10">
        <v>235.78</v>
      </c>
      <c r="N775" s="10">
        <v>124.22</v>
      </c>
      <c r="O775" s="11">
        <f t="shared" si="46"/>
        <v>0.34505555555555556</v>
      </c>
      <c r="P775" s="10">
        <v>36.51</v>
      </c>
      <c r="Q775" s="10">
        <v>87.71</v>
      </c>
      <c r="R775" s="11">
        <f t="shared" si="47"/>
        <v>0.24363888888888888</v>
      </c>
      <c r="S775" t="s">
        <v>65</v>
      </c>
      <c r="T775" t="s">
        <v>60</v>
      </c>
      <c r="U775" t="s">
        <v>76</v>
      </c>
    </row>
    <row r="776" spans="1:21" x14ac:dyDescent="0.35">
      <c r="A776" t="s">
        <v>901</v>
      </c>
      <c r="B776" s="5">
        <v>45856</v>
      </c>
      <c r="C776" t="s">
        <v>264</v>
      </c>
      <c r="D776" t="s">
        <v>85</v>
      </c>
      <c r="E776" s="9">
        <v>4</v>
      </c>
      <c r="F776" s="10">
        <v>20</v>
      </c>
      <c r="G776" s="11">
        <v>0</v>
      </c>
      <c r="H776" s="10">
        <v>80</v>
      </c>
      <c r="I776" s="9">
        <v>0</v>
      </c>
      <c r="J776" s="10">
        <v>0</v>
      </c>
      <c r="K776" s="9">
        <v>4</v>
      </c>
      <c r="L776" s="10">
        <v>80</v>
      </c>
      <c r="M776" s="10">
        <v>67.28</v>
      </c>
      <c r="N776" s="10">
        <v>12.72</v>
      </c>
      <c r="O776" s="11">
        <f t="shared" si="46"/>
        <v>0.159</v>
      </c>
      <c r="P776" s="10">
        <v>10.11</v>
      </c>
      <c r="Q776" s="10">
        <v>2.61</v>
      </c>
      <c r="R776" s="11">
        <f t="shared" si="47"/>
        <v>3.2625000000000001E-2</v>
      </c>
      <c r="S776" t="s">
        <v>59</v>
      </c>
      <c r="T776" t="s">
        <v>66</v>
      </c>
      <c r="U776" t="s">
        <v>71</v>
      </c>
    </row>
    <row r="777" spans="1:21" x14ac:dyDescent="0.35">
      <c r="A777" t="s">
        <v>902</v>
      </c>
      <c r="B777" s="5">
        <v>45877</v>
      </c>
      <c r="C777" t="s">
        <v>264</v>
      </c>
      <c r="D777" t="s">
        <v>85</v>
      </c>
      <c r="E777" s="9">
        <v>4</v>
      </c>
      <c r="F777" s="10">
        <v>20</v>
      </c>
      <c r="G777" s="11">
        <v>0</v>
      </c>
      <c r="H777" s="10">
        <v>80</v>
      </c>
      <c r="I777" s="9">
        <v>0</v>
      </c>
      <c r="J777" s="10">
        <v>0</v>
      </c>
      <c r="K777" s="9">
        <v>4</v>
      </c>
      <c r="L777" s="10">
        <v>80</v>
      </c>
      <c r="M777" s="10">
        <v>67.8</v>
      </c>
      <c r="N777" s="10">
        <v>12.2</v>
      </c>
      <c r="O777" s="11">
        <f t="shared" si="46"/>
        <v>0.1525</v>
      </c>
      <c r="P777" s="10">
        <v>6.16</v>
      </c>
      <c r="Q777" s="10">
        <v>6.04</v>
      </c>
      <c r="R777" s="11">
        <f t="shared" si="47"/>
        <v>7.5499999999999998E-2</v>
      </c>
      <c r="S777" t="s">
        <v>65</v>
      </c>
      <c r="T777" t="s">
        <v>86</v>
      </c>
      <c r="U777" t="s">
        <v>71</v>
      </c>
    </row>
    <row r="778" spans="1:21" x14ac:dyDescent="0.35">
      <c r="A778" t="s">
        <v>903</v>
      </c>
      <c r="B778" s="5">
        <v>45985</v>
      </c>
      <c r="C778" t="s">
        <v>90</v>
      </c>
      <c r="D778" t="s">
        <v>70</v>
      </c>
      <c r="E778" s="9">
        <v>4</v>
      </c>
      <c r="F778" s="10">
        <v>38</v>
      </c>
      <c r="G778" s="11">
        <v>0</v>
      </c>
      <c r="H778" s="10">
        <v>152</v>
      </c>
      <c r="I778" s="9">
        <v>0</v>
      </c>
      <c r="J778" s="10">
        <v>0</v>
      </c>
      <c r="K778" s="9">
        <v>4</v>
      </c>
      <c r="L778" s="10">
        <v>152</v>
      </c>
      <c r="M778" s="10">
        <v>128.22999999999999</v>
      </c>
      <c r="N778" s="10">
        <v>23.77</v>
      </c>
      <c r="O778" s="11">
        <f t="shared" si="46"/>
        <v>0.15638157894736843</v>
      </c>
      <c r="P778" s="10">
        <v>10.86</v>
      </c>
      <c r="Q778" s="10">
        <v>12.91</v>
      </c>
      <c r="R778" s="11">
        <f t="shared" si="47"/>
        <v>8.4934210526315793E-2</v>
      </c>
      <c r="S778" t="s">
        <v>59</v>
      </c>
      <c r="T778" t="s">
        <v>60</v>
      </c>
      <c r="U778" t="s">
        <v>76</v>
      </c>
    </row>
    <row r="779" spans="1:21" x14ac:dyDescent="0.35">
      <c r="A779" t="s">
        <v>904</v>
      </c>
      <c r="B779" s="5">
        <v>45710</v>
      </c>
      <c r="C779" t="s">
        <v>125</v>
      </c>
      <c r="D779" t="s">
        <v>85</v>
      </c>
      <c r="E779" s="9">
        <v>5</v>
      </c>
      <c r="F779" s="10">
        <v>125</v>
      </c>
      <c r="G779" s="11">
        <v>0.05</v>
      </c>
      <c r="H779" s="10">
        <v>593.75</v>
      </c>
      <c r="I779" s="9">
        <v>0</v>
      </c>
      <c r="J779" s="10">
        <v>0</v>
      </c>
      <c r="K779" s="9">
        <v>5</v>
      </c>
      <c r="L779" s="10">
        <v>593.75</v>
      </c>
      <c r="M779" s="10">
        <v>395.25</v>
      </c>
      <c r="N779" s="10">
        <v>198.5</v>
      </c>
      <c r="O779" s="11">
        <f t="shared" si="46"/>
        <v>0.33431578947368423</v>
      </c>
      <c r="P779" s="10">
        <v>34.71</v>
      </c>
      <c r="Q779" s="10">
        <v>163.79</v>
      </c>
      <c r="R779" s="11">
        <f t="shared" si="47"/>
        <v>0.27585684210526312</v>
      </c>
      <c r="S779" t="s">
        <v>81</v>
      </c>
      <c r="T779" t="s">
        <v>82</v>
      </c>
      <c r="U779" t="s">
        <v>61</v>
      </c>
    </row>
    <row r="780" spans="1:21" x14ac:dyDescent="0.35">
      <c r="A780" t="s">
        <v>905</v>
      </c>
      <c r="B780" s="5">
        <v>45880</v>
      </c>
      <c r="C780" t="s">
        <v>84</v>
      </c>
      <c r="D780" t="s">
        <v>85</v>
      </c>
      <c r="E780" s="9">
        <v>5</v>
      </c>
      <c r="F780" s="10">
        <v>48</v>
      </c>
      <c r="G780" s="11">
        <v>0</v>
      </c>
      <c r="H780" s="10">
        <v>240</v>
      </c>
      <c r="I780" s="9">
        <v>0</v>
      </c>
      <c r="J780" s="10">
        <v>0</v>
      </c>
      <c r="K780" s="9">
        <v>5</v>
      </c>
      <c r="L780" s="10">
        <v>240</v>
      </c>
      <c r="M780" s="10">
        <v>182.13</v>
      </c>
      <c r="N780" s="10">
        <v>57.87</v>
      </c>
      <c r="O780" s="11">
        <f t="shared" si="46"/>
        <v>0.24112499999999998</v>
      </c>
      <c r="P780" s="10">
        <v>22.64</v>
      </c>
      <c r="Q780" s="10">
        <v>35.229999999999997</v>
      </c>
      <c r="R780" s="11">
        <f t="shared" si="47"/>
        <v>0.14679166666666665</v>
      </c>
      <c r="S780" t="s">
        <v>59</v>
      </c>
      <c r="T780" t="s">
        <v>82</v>
      </c>
      <c r="U780" t="s">
        <v>71</v>
      </c>
    </row>
    <row r="781" spans="1:21" x14ac:dyDescent="0.35">
      <c r="A781" t="s">
        <v>906</v>
      </c>
      <c r="B781" s="5">
        <v>45947</v>
      </c>
      <c r="C781" t="s">
        <v>104</v>
      </c>
      <c r="D781" t="s">
        <v>105</v>
      </c>
      <c r="E781" s="9">
        <v>1</v>
      </c>
      <c r="F781" s="10">
        <v>65</v>
      </c>
      <c r="G781" s="11">
        <v>0</v>
      </c>
      <c r="H781" s="10">
        <v>65</v>
      </c>
      <c r="I781" s="9">
        <v>0</v>
      </c>
      <c r="J781" s="10">
        <v>0</v>
      </c>
      <c r="K781" s="9">
        <v>1</v>
      </c>
      <c r="L781" s="10">
        <v>65</v>
      </c>
      <c r="M781" s="10">
        <v>46.84</v>
      </c>
      <c r="N781" s="10">
        <v>18.16</v>
      </c>
      <c r="O781" s="11">
        <f t="shared" si="46"/>
        <v>0.2793846153846154</v>
      </c>
      <c r="P781" s="10">
        <v>6.71</v>
      </c>
      <c r="Q781" s="10">
        <v>11.45</v>
      </c>
      <c r="R781" s="11">
        <f t="shared" si="47"/>
        <v>0.17615384615384613</v>
      </c>
      <c r="S781" t="s">
        <v>81</v>
      </c>
      <c r="T781" t="s">
        <v>60</v>
      </c>
      <c r="U781" t="s">
        <v>71</v>
      </c>
    </row>
    <row r="782" spans="1:21" x14ac:dyDescent="0.35">
      <c r="A782" t="s">
        <v>907</v>
      </c>
      <c r="B782" s="5">
        <v>45765</v>
      </c>
      <c r="C782" t="s">
        <v>97</v>
      </c>
      <c r="D782" t="s">
        <v>57</v>
      </c>
      <c r="E782" s="9">
        <v>5</v>
      </c>
      <c r="F782" s="10">
        <v>55</v>
      </c>
      <c r="G782" s="11">
        <v>0.02</v>
      </c>
      <c r="H782" s="10">
        <v>269.5</v>
      </c>
      <c r="I782" s="9">
        <v>0</v>
      </c>
      <c r="J782" s="10">
        <v>0</v>
      </c>
      <c r="K782" s="9">
        <v>5</v>
      </c>
      <c r="L782" s="10">
        <v>269.5</v>
      </c>
      <c r="M782" s="10">
        <v>177.88</v>
      </c>
      <c r="N782" s="10">
        <v>91.62</v>
      </c>
      <c r="O782" s="11">
        <f t="shared" si="46"/>
        <v>0.33996289424860854</v>
      </c>
      <c r="P782" s="10">
        <v>29</v>
      </c>
      <c r="Q782" s="10">
        <v>62.62</v>
      </c>
      <c r="R782" s="11">
        <f t="shared" si="47"/>
        <v>0.23235621521335806</v>
      </c>
      <c r="S782" t="s">
        <v>75</v>
      </c>
      <c r="T782" t="s">
        <v>60</v>
      </c>
      <c r="U782" t="s">
        <v>76</v>
      </c>
    </row>
    <row r="783" spans="1:21" x14ac:dyDescent="0.35">
      <c r="A783" t="s">
        <v>908</v>
      </c>
      <c r="B783" s="5">
        <v>45870</v>
      </c>
      <c r="C783" t="s">
        <v>73</v>
      </c>
      <c r="D783" t="s">
        <v>74</v>
      </c>
      <c r="E783" s="9">
        <v>2</v>
      </c>
      <c r="F783" s="10">
        <v>280</v>
      </c>
      <c r="G783" s="11">
        <v>0</v>
      </c>
      <c r="H783" s="10">
        <v>560</v>
      </c>
      <c r="I783" s="9">
        <v>0</v>
      </c>
      <c r="J783" s="10">
        <v>0</v>
      </c>
      <c r="K783" s="9">
        <v>2</v>
      </c>
      <c r="L783" s="10">
        <v>560</v>
      </c>
      <c r="M783" s="10">
        <v>401</v>
      </c>
      <c r="N783" s="10">
        <v>159</v>
      </c>
      <c r="O783" s="11">
        <f t="shared" si="46"/>
        <v>0.28392857142857142</v>
      </c>
      <c r="P783" s="10">
        <v>55.76</v>
      </c>
      <c r="Q783" s="10">
        <v>103.24</v>
      </c>
      <c r="R783" s="11">
        <f t="shared" si="47"/>
        <v>0.18435714285714286</v>
      </c>
      <c r="S783" t="s">
        <v>59</v>
      </c>
      <c r="T783" t="s">
        <v>60</v>
      </c>
      <c r="U783" t="s">
        <v>71</v>
      </c>
    </row>
    <row r="784" spans="1:21" x14ac:dyDescent="0.35">
      <c r="A784" t="s">
        <v>909</v>
      </c>
      <c r="B784" s="5">
        <v>45915</v>
      </c>
      <c r="C784" t="s">
        <v>114</v>
      </c>
      <c r="D784" t="s">
        <v>64</v>
      </c>
      <c r="E784" s="9">
        <v>6</v>
      </c>
      <c r="F784" s="10">
        <v>420</v>
      </c>
      <c r="G784" s="11">
        <v>0</v>
      </c>
      <c r="H784" s="10">
        <v>2520</v>
      </c>
      <c r="I784" s="9">
        <v>0</v>
      </c>
      <c r="J784" s="10">
        <v>0</v>
      </c>
      <c r="K784" s="9">
        <v>6</v>
      </c>
      <c r="L784" s="10">
        <v>2520</v>
      </c>
      <c r="M784" s="10">
        <v>1876.71</v>
      </c>
      <c r="N784" s="10">
        <v>643.29</v>
      </c>
      <c r="O784" s="11">
        <f t="shared" si="46"/>
        <v>0.25527380952380951</v>
      </c>
      <c r="P784" s="10">
        <v>219.15</v>
      </c>
      <c r="Q784" s="10">
        <v>424.14</v>
      </c>
      <c r="R784" s="11">
        <f t="shared" si="47"/>
        <v>0.1683095238095238</v>
      </c>
      <c r="S784" t="s">
        <v>65</v>
      </c>
      <c r="T784" t="s">
        <v>82</v>
      </c>
      <c r="U784" t="s">
        <v>71</v>
      </c>
    </row>
    <row r="785" spans="1:21" x14ac:dyDescent="0.35">
      <c r="A785" t="s">
        <v>910</v>
      </c>
      <c r="B785" s="5">
        <v>46006</v>
      </c>
      <c r="C785" t="s">
        <v>264</v>
      </c>
      <c r="D785" t="s">
        <v>85</v>
      </c>
      <c r="E785" s="9">
        <v>2</v>
      </c>
      <c r="F785" s="10">
        <v>20</v>
      </c>
      <c r="G785" s="11">
        <v>0.1</v>
      </c>
      <c r="H785" s="10">
        <v>36</v>
      </c>
      <c r="I785" s="9">
        <v>0</v>
      </c>
      <c r="J785" s="10">
        <v>0</v>
      </c>
      <c r="K785" s="9">
        <v>2</v>
      </c>
      <c r="L785" s="10">
        <v>36</v>
      </c>
      <c r="M785" s="10">
        <v>30.45</v>
      </c>
      <c r="N785" s="10">
        <v>5.55</v>
      </c>
      <c r="O785" s="11">
        <f t="shared" si="46"/>
        <v>0.15416666666666667</v>
      </c>
      <c r="P785" s="10">
        <v>3.71</v>
      </c>
      <c r="Q785" s="10">
        <v>1.84</v>
      </c>
      <c r="R785" s="11">
        <f t="shared" si="47"/>
        <v>5.1111111111111114E-2</v>
      </c>
      <c r="S785" t="s">
        <v>75</v>
      </c>
      <c r="T785" t="s">
        <v>82</v>
      </c>
      <c r="U785" t="s">
        <v>71</v>
      </c>
    </row>
    <row r="786" spans="1:21" x14ac:dyDescent="0.35">
      <c r="A786" t="s">
        <v>911</v>
      </c>
      <c r="B786" s="5">
        <v>45761</v>
      </c>
      <c r="C786" t="s">
        <v>69</v>
      </c>
      <c r="D786" t="s">
        <v>70</v>
      </c>
      <c r="E786" s="9">
        <v>4</v>
      </c>
      <c r="F786" s="10">
        <v>210</v>
      </c>
      <c r="G786" s="11">
        <v>0</v>
      </c>
      <c r="H786" s="10">
        <v>840</v>
      </c>
      <c r="I786" s="9">
        <v>0</v>
      </c>
      <c r="J786" s="10">
        <v>0</v>
      </c>
      <c r="K786" s="9">
        <v>4</v>
      </c>
      <c r="L786" s="10">
        <v>840</v>
      </c>
      <c r="M786" s="10">
        <v>594.29999999999995</v>
      </c>
      <c r="N786" s="10">
        <v>245.7</v>
      </c>
      <c r="O786" s="11">
        <f t="shared" si="46"/>
        <v>0.29249999999999998</v>
      </c>
      <c r="P786" s="10">
        <v>55.1</v>
      </c>
      <c r="Q786" s="10">
        <v>190.6</v>
      </c>
      <c r="R786" s="11">
        <f t="shared" si="47"/>
        <v>0.22690476190476189</v>
      </c>
      <c r="S786" t="s">
        <v>75</v>
      </c>
      <c r="T786" t="s">
        <v>60</v>
      </c>
      <c r="U786" t="s">
        <v>61</v>
      </c>
    </row>
    <row r="787" spans="1:21" x14ac:dyDescent="0.35">
      <c r="A787" t="s">
        <v>912</v>
      </c>
      <c r="B787" s="5">
        <v>45714</v>
      </c>
      <c r="C787" t="s">
        <v>114</v>
      </c>
      <c r="D787" t="s">
        <v>64</v>
      </c>
      <c r="E787" s="9">
        <v>4</v>
      </c>
      <c r="F787" s="10">
        <v>420</v>
      </c>
      <c r="G787" s="11">
        <v>0</v>
      </c>
      <c r="H787" s="10">
        <v>1680</v>
      </c>
      <c r="I787" s="9">
        <v>0</v>
      </c>
      <c r="J787" s="10">
        <v>0</v>
      </c>
      <c r="K787" s="9">
        <v>4</v>
      </c>
      <c r="L787" s="10">
        <v>1680</v>
      </c>
      <c r="M787" s="10">
        <v>1270.95</v>
      </c>
      <c r="N787" s="10">
        <v>409.05</v>
      </c>
      <c r="O787" s="11">
        <f t="shared" ref="O787:O801" si="48">N787/L787</f>
        <v>0.24348214285714287</v>
      </c>
      <c r="P787" s="10">
        <v>142.08000000000001</v>
      </c>
      <c r="Q787" s="10">
        <v>266.97000000000003</v>
      </c>
      <c r="R787" s="11">
        <f t="shared" ref="R787:R801" si="49">Q787/L787</f>
        <v>0.15891071428571429</v>
      </c>
      <c r="S787" t="s">
        <v>81</v>
      </c>
      <c r="T787" t="s">
        <v>82</v>
      </c>
      <c r="U787" t="s">
        <v>67</v>
      </c>
    </row>
    <row r="788" spans="1:21" x14ac:dyDescent="0.35">
      <c r="A788" t="s">
        <v>913</v>
      </c>
      <c r="B788" s="5">
        <v>45847</v>
      </c>
      <c r="C788" t="s">
        <v>95</v>
      </c>
      <c r="D788" t="s">
        <v>64</v>
      </c>
      <c r="E788" s="9">
        <v>8</v>
      </c>
      <c r="F788" s="10">
        <v>52</v>
      </c>
      <c r="G788" s="11">
        <v>0.05</v>
      </c>
      <c r="H788" s="10">
        <v>395.2</v>
      </c>
      <c r="I788" s="9">
        <v>0</v>
      </c>
      <c r="J788" s="10">
        <v>0</v>
      </c>
      <c r="K788" s="9">
        <v>8</v>
      </c>
      <c r="L788" s="10">
        <v>395.2</v>
      </c>
      <c r="M788" s="10">
        <v>339.17</v>
      </c>
      <c r="N788" s="10">
        <v>56.03</v>
      </c>
      <c r="O788" s="11">
        <f t="shared" si="48"/>
        <v>0.14177631578947369</v>
      </c>
      <c r="P788" s="10">
        <v>29.05</v>
      </c>
      <c r="Q788" s="10">
        <v>26.98</v>
      </c>
      <c r="R788" s="11">
        <f t="shared" si="49"/>
        <v>6.8269230769230776E-2</v>
      </c>
      <c r="S788" t="s">
        <v>59</v>
      </c>
      <c r="T788" t="s">
        <v>82</v>
      </c>
      <c r="U788" t="s">
        <v>61</v>
      </c>
    </row>
    <row r="789" spans="1:21" x14ac:dyDescent="0.35">
      <c r="A789" t="s">
        <v>914</v>
      </c>
      <c r="B789" s="5">
        <v>45695</v>
      </c>
      <c r="C789" t="s">
        <v>100</v>
      </c>
      <c r="D789" t="s">
        <v>64</v>
      </c>
      <c r="E789" s="9">
        <v>2</v>
      </c>
      <c r="F789" s="10">
        <v>310</v>
      </c>
      <c r="G789" s="11">
        <v>0.05</v>
      </c>
      <c r="H789" s="10">
        <v>589</v>
      </c>
      <c r="I789" s="9">
        <v>0</v>
      </c>
      <c r="J789" s="10">
        <v>0</v>
      </c>
      <c r="K789" s="9">
        <v>2</v>
      </c>
      <c r="L789" s="10">
        <v>589</v>
      </c>
      <c r="M789" s="10">
        <v>427.75</v>
      </c>
      <c r="N789" s="10">
        <v>161.25</v>
      </c>
      <c r="O789" s="11">
        <f t="shared" si="48"/>
        <v>0.27376910016977929</v>
      </c>
      <c r="P789" s="10">
        <v>66.11</v>
      </c>
      <c r="Q789" s="10">
        <v>95.14</v>
      </c>
      <c r="R789" s="11">
        <f t="shared" si="49"/>
        <v>0.16152801358234295</v>
      </c>
      <c r="S789" t="s">
        <v>65</v>
      </c>
      <c r="T789" t="s">
        <v>82</v>
      </c>
      <c r="U789" t="s">
        <v>67</v>
      </c>
    </row>
    <row r="790" spans="1:21" x14ac:dyDescent="0.35">
      <c r="A790" t="s">
        <v>915</v>
      </c>
      <c r="B790" s="5">
        <v>45878</v>
      </c>
      <c r="C790" t="s">
        <v>88</v>
      </c>
      <c r="D790" t="s">
        <v>57</v>
      </c>
      <c r="E790" s="9">
        <v>2</v>
      </c>
      <c r="F790" s="10">
        <v>30</v>
      </c>
      <c r="G790" s="11">
        <v>0.02</v>
      </c>
      <c r="H790" s="10">
        <v>58.8</v>
      </c>
      <c r="I790" s="9">
        <v>0</v>
      </c>
      <c r="J790" s="10">
        <v>0</v>
      </c>
      <c r="K790" s="9">
        <v>2</v>
      </c>
      <c r="L790" s="10">
        <v>58.8</v>
      </c>
      <c r="M790" s="10">
        <v>48.43</v>
      </c>
      <c r="N790" s="10">
        <v>10.37</v>
      </c>
      <c r="O790" s="11">
        <f t="shared" si="48"/>
        <v>0.17636054421768707</v>
      </c>
      <c r="P790" s="10">
        <v>5.22</v>
      </c>
      <c r="Q790" s="10">
        <v>5.15</v>
      </c>
      <c r="R790" s="11">
        <f t="shared" si="49"/>
        <v>8.7585034013605456E-2</v>
      </c>
      <c r="S790" t="s">
        <v>75</v>
      </c>
      <c r="T790" t="s">
        <v>66</v>
      </c>
      <c r="U790" t="s">
        <v>61</v>
      </c>
    </row>
    <row r="791" spans="1:21" x14ac:dyDescent="0.35">
      <c r="A791" t="s">
        <v>916</v>
      </c>
      <c r="B791" s="5">
        <v>45778</v>
      </c>
      <c r="C791" t="s">
        <v>107</v>
      </c>
      <c r="D791" t="s">
        <v>74</v>
      </c>
      <c r="E791" s="9">
        <v>4</v>
      </c>
      <c r="F791" s="10">
        <v>125</v>
      </c>
      <c r="G791" s="11">
        <v>0.02</v>
      </c>
      <c r="H791" s="10">
        <v>490</v>
      </c>
      <c r="I791" s="9">
        <v>0</v>
      </c>
      <c r="J791" s="10">
        <v>0</v>
      </c>
      <c r="K791" s="9">
        <v>4</v>
      </c>
      <c r="L791" s="10">
        <v>490</v>
      </c>
      <c r="M791" s="10">
        <v>379.97</v>
      </c>
      <c r="N791" s="10">
        <v>110.03</v>
      </c>
      <c r="O791" s="11">
        <f t="shared" si="48"/>
        <v>0.22455102040816327</v>
      </c>
      <c r="P791" s="10">
        <v>48.73</v>
      </c>
      <c r="Q791" s="10">
        <v>61.3</v>
      </c>
      <c r="R791" s="11">
        <f t="shared" si="49"/>
        <v>0.12510204081632653</v>
      </c>
      <c r="S791" t="s">
        <v>75</v>
      </c>
      <c r="T791" t="s">
        <v>66</v>
      </c>
      <c r="U791" t="s">
        <v>61</v>
      </c>
    </row>
    <row r="792" spans="1:21" x14ac:dyDescent="0.35">
      <c r="A792" t="s">
        <v>917</v>
      </c>
      <c r="B792" s="5">
        <v>45834</v>
      </c>
      <c r="C792" t="s">
        <v>73</v>
      </c>
      <c r="D792" t="s">
        <v>74</v>
      </c>
      <c r="E792" s="9">
        <v>1</v>
      </c>
      <c r="F792" s="10">
        <v>280</v>
      </c>
      <c r="G792" s="11">
        <v>0</v>
      </c>
      <c r="H792" s="10">
        <v>280</v>
      </c>
      <c r="I792" s="9">
        <v>0</v>
      </c>
      <c r="J792" s="10">
        <v>0</v>
      </c>
      <c r="K792" s="9">
        <v>1</v>
      </c>
      <c r="L792" s="10">
        <v>280</v>
      </c>
      <c r="M792" s="10">
        <v>237.49</v>
      </c>
      <c r="N792" s="10">
        <v>42.51</v>
      </c>
      <c r="O792" s="11">
        <f t="shared" si="48"/>
        <v>0.15182142857142855</v>
      </c>
      <c r="P792" s="10">
        <v>24.45</v>
      </c>
      <c r="Q792" s="10">
        <v>18.059999999999999</v>
      </c>
      <c r="R792" s="11">
        <f t="shared" si="49"/>
        <v>6.4500000000000002E-2</v>
      </c>
      <c r="S792" t="s">
        <v>75</v>
      </c>
      <c r="T792" t="s">
        <v>66</v>
      </c>
      <c r="U792" t="s">
        <v>76</v>
      </c>
    </row>
    <row r="793" spans="1:21" x14ac:dyDescent="0.35">
      <c r="A793" t="s">
        <v>918</v>
      </c>
      <c r="B793" s="5">
        <v>45910</v>
      </c>
      <c r="C793" t="s">
        <v>63</v>
      </c>
      <c r="D793" t="s">
        <v>64</v>
      </c>
      <c r="E793" s="9">
        <v>3</v>
      </c>
      <c r="F793" s="10">
        <v>145</v>
      </c>
      <c r="G793" s="11">
        <v>0</v>
      </c>
      <c r="H793" s="10">
        <v>435</v>
      </c>
      <c r="I793" s="9">
        <v>0</v>
      </c>
      <c r="J793" s="10">
        <v>0</v>
      </c>
      <c r="K793" s="9">
        <v>3</v>
      </c>
      <c r="L793" s="10">
        <v>435</v>
      </c>
      <c r="M793" s="10">
        <v>347.45</v>
      </c>
      <c r="N793" s="10">
        <v>87.55</v>
      </c>
      <c r="O793" s="11">
        <f t="shared" si="48"/>
        <v>0.20126436781609194</v>
      </c>
      <c r="P793" s="10">
        <v>28.36</v>
      </c>
      <c r="Q793" s="10">
        <v>59.19</v>
      </c>
      <c r="R793" s="11">
        <f t="shared" si="49"/>
        <v>0.13606896551724137</v>
      </c>
      <c r="S793" t="s">
        <v>81</v>
      </c>
      <c r="T793" t="s">
        <v>86</v>
      </c>
      <c r="U793" t="s">
        <v>61</v>
      </c>
    </row>
    <row r="794" spans="1:21" x14ac:dyDescent="0.35">
      <c r="A794" t="s">
        <v>919</v>
      </c>
      <c r="B794" s="5">
        <v>45679</v>
      </c>
      <c r="C794" t="s">
        <v>95</v>
      </c>
      <c r="D794" t="s">
        <v>64</v>
      </c>
      <c r="E794" s="9">
        <v>4</v>
      </c>
      <c r="F794" s="10">
        <v>52</v>
      </c>
      <c r="G794" s="11">
        <v>0.02</v>
      </c>
      <c r="H794" s="10">
        <v>203.84</v>
      </c>
      <c r="I794" s="9">
        <v>0</v>
      </c>
      <c r="J794" s="10">
        <v>0</v>
      </c>
      <c r="K794" s="9">
        <v>4</v>
      </c>
      <c r="L794" s="10">
        <v>203.84</v>
      </c>
      <c r="M794" s="10">
        <v>166.72</v>
      </c>
      <c r="N794" s="10">
        <v>37.119999999999997</v>
      </c>
      <c r="O794" s="11">
        <f t="shared" si="48"/>
        <v>0.18210361067503922</v>
      </c>
      <c r="P794" s="10">
        <v>11.38</v>
      </c>
      <c r="Q794" s="10">
        <v>25.74</v>
      </c>
      <c r="R794" s="11">
        <f t="shared" si="49"/>
        <v>0.12627551020408162</v>
      </c>
      <c r="S794" t="s">
        <v>75</v>
      </c>
      <c r="T794" t="s">
        <v>60</v>
      </c>
      <c r="U794" t="s">
        <v>61</v>
      </c>
    </row>
    <row r="795" spans="1:21" x14ac:dyDescent="0.35">
      <c r="A795" t="s">
        <v>920</v>
      </c>
      <c r="B795" s="5">
        <v>46019</v>
      </c>
      <c r="C795" t="s">
        <v>114</v>
      </c>
      <c r="D795" t="s">
        <v>64</v>
      </c>
      <c r="E795" s="9">
        <v>2</v>
      </c>
      <c r="F795" s="10">
        <v>420</v>
      </c>
      <c r="G795" s="11">
        <v>0.15</v>
      </c>
      <c r="H795" s="10">
        <v>714</v>
      </c>
      <c r="I795" s="9">
        <v>1</v>
      </c>
      <c r="J795" s="10">
        <v>357</v>
      </c>
      <c r="K795" s="9">
        <v>1</v>
      </c>
      <c r="L795" s="10">
        <v>357</v>
      </c>
      <c r="M795" s="10">
        <v>236.36</v>
      </c>
      <c r="N795" s="10">
        <v>120.64</v>
      </c>
      <c r="O795" s="11">
        <f t="shared" si="48"/>
        <v>0.33792717086834734</v>
      </c>
      <c r="P795" s="10">
        <v>34.11</v>
      </c>
      <c r="Q795" s="10">
        <v>86.53</v>
      </c>
      <c r="R795" s="11">
        <f t="shared" si="49"/>
        <v>0.24238095238095239</v>
      </c>
      <c r="S795" t="s">
        <v>81</v>
      </c>
      <c r="T795" t="s">
        <v>86</v>
      </c>
      <c r="U795" t="s">
        <v>71</v>
      </c>
    </row>
    <row r="796" spans="1:21" x14ac:dyDescent="0.35">
      <c r="A796" t="s">
        <v>921</v>
      </c>
      <c r="B796" s="5">
        <v>45802</v>
      </c>
      <c r="C796" t="s">
        <v>88</v>
      </c>
      <c r="D796" t="s">
        <v>57</v>
      </c>
      <c r="E796" s="9">
        <v>8</v>
      </c>
      <c r="F796" s="10">
        <v>30</v>
      </c>
      <c r="G796" s="11">
        <v>0.1</v>
      </c>
      <c r="H796" s="10">
        <v>216</v>
      </c>
      <c r="I796" s="9">
        <v>0</v>
      </c>
      <c r="J796" s="10">
        <v>0</v>
      </c>
      <c r="K796" s="9">
        <v>8</v>
      </c>
      <c r="L796" s="10">
        <v>216</v>
      </c>
      <c r="M796" s="10">
        <v>150.05000000000001</v>
      </c>
      <c r="N796" s="10">
        <v>65.95</v>
      </c>
      <c r="O796" s="11">
        <f t="shared" si="48"/>
        <v>0.30532407407407408</v>
      </c>
      <c r="P796" s="10">
        <v>25.46</v>
      </c>
      <c r="Q796" s="10">
        <v>40.49</v>
      </c>
      <c r="R796" s="11">
        <f t="shared" si="49"/>
        <v>0.18745370370370371</v>
      </c>
      <c r="S796" t="s">
        <v>81</v>
      </c>
      <c r="T796" t="s">
        <v>66</v>
      </c>
      <c r="U796" t="s">
        <v>76</v>
      </c>
    </row>
    <row r="797" spans="1:21" x14ac:dyDescent="0.35">
      <c r="A797" t="s">
        <v>922</v>
      </c>
      <c r="B797" s="5">
        <v>45797</v>
      </c>
      <c r="C797" t="s">
        <v>78</v>
      </c>
      <c r="D797" t="s">
        <v>79</v>
      </c>
      <c r="E797" s="9">
        <v>3</v>
      </c>
      <c r="F797" s="10">
        <v>120</v>
      </c>
      <c r="G797" s="11">
        <v>0</v>
      </c>
      <c r="H797" s="10">
        <v>360</v>
      </c>
      <c r="I797" s="9">
        <v>0</v>
      </c>
      <c r="J797" s="10">
        <v>0</v>
      </c>
      <c r="K797" s="9">
        <v>3</v>
      </c>
      <c r="L797" s="10">
        <v>360</v>
      </c>
      <c r="M797" s="10">
        <v>237.39</v>
      </c>
      <c r="N797" s="10">
        <v>122.61</v>
      </c>
      <c r="O797" s="11">
        <f t="shared" si="48"/>
        <v>0.34058333333333335</v>
      </c>
      <c r="P797" s="10">
        <v>41.91</v>
      </c>
      <c r="Q797" s="10">
        <v>80.7</v>
      </c>
      <c r="R797" s="11">
        <f t="shared" si="49"/>
        <v>0.22416666666666668</v>
      </c>
      <c r="S797" t="s">
        <v>75</v>
      </c>
      <c r="T797" t="s">
        <v>66</v>
      </c>
      <c r="U797" t="s">
        <v>76</v>
      </c>
    </row>
    <row r="798" spans="1:21" x14ac:dyDescent="0.35">
      <c r="A798" t="s">
        <v>923</v>
      </c>
      <c r="B798" s="5">
        <v>45886</v>
      </c>
      <c r="C798" t="s">
        <v>88</v>
      </c>
      <c r="D798" t="s">
        <v>57</v>
      </c>
      <c r="E798" s="9">
        <v>3</v>
      </c>
      <c r="F798" s="10">
        <v>30</v>
      </c>
      <c r="G798" s="11">
        <v>0.02</v>
      </c>
      <c r="H798" s="10">
        <v>88.2</v>
      </c>
      <c r="I798" s="9">
        <v>0</v>
      </c>
      <c r="J798" s="10">
        <v>0</v>
      </c>
      <c r="K798" s="9">
        <v>3</v>
      </c>
      <c r="L798" s="10">
        <v>88.2</v>
      </c>
      <c r="M798" s="10">
        <v>65.81</v>
      </c>
      <c r="N798" s="10">
        <v>22.39</v>
      </c>
      <c r="O798" s="11">
        <f t="shared" si="48"/>
        <v>0.25385487528344669</v>
      </c>
      <c r="P798" s="10">
        <v>8.51</v>
      </c>
      <c r="Q798" s="10">
        <v>13.88</v>
      </c>
      <c r="R798" s="11">
        <f t="shared" si="49"/>
        <v>0.15736961451247167</v>
      </c>
      <c r="S798" t="s">
        <v>65</v>
      </c>
      <c r="T798" t="s">
        <v>82</v>
      </c>
      <c r="U798" t="s">
        <v>76</v>
      </c>
    </row>
    <row r="799" spans="1:21" x14ac:dyDescent="0.35">
      <c r="A799" t="s">
        <v>924</v>
      </c>
      <c r="B799" s="5">
        <v>45724</v>
      </c>
      <c r="C799" t="s">
        <v>125</v>
      </c>
      <c r="D799" t="s">
        <v>85</v>
      </c>
      <c r="E799" s="9">
        <v>1</v>
      </c>
      <c r="F799" s="10">
        <v>125</v>
      </c>
      <c r="G799" s="11">
        <v>0.02</v>
      </c>
      <c r="H799" s="10">
        <v>122.5</v>
      </c>
      <c r="I799" s="9">
        <v>0</v>
      </c>
      <c r="J799" s="10">
        <v>0</v>
      </c>
      <c r="K799" s="9">
        <v>1</v>
      </c>
      <c r="L799" s="10">
        <v>122.5</v>
      </c>
      <c r="M799" s="10">
        <v>94.93</v>
      </c>
      <c r="N799" s="10">
        <v>27.57</v>
      </c>
      <c r="O799" s="11">
        <f t="shared" si="48"/>
        <v>0.22506122448979593</v>
      </c>
      <c r="P799" s="10">
        <v>13.31</v>
      </c>
      <c r="Q799" s="10">
        <v>14.26</v>
      </c>
      <c r="R799" s="11">
        <f t="shared" si="49"/>
        <v>0.11640816326530612</v>
      </c>
      <c r="S799" t="s">
        <v>81</v>
      </c>
      <c r="T799" t="s">
        <v>66</v>
      </c>
      <c r="U799" t="s">
        <v>76</v>
      </c>
    </row>
    <row r="800" spans="1:21" x14ac:dyDescent="0.35">
      <c r="A800" t="s">
        <v>925</v>
      </c>
      <c r="B800" s="5">
        <v>45994</v>
      </c>
      <c r="C800" t="s">
        <v>125</v>
      </c>
      <c r="D800" t="s">
        <v>85</v>
      </c>
      <c r="E800" s="9">
        <v>5</v>
      </c>
      <c r="F800" s="10">
        <v>125</v>
      </c>
      <c r="G800" s="11">
        <v>0</v>
      </c>
      <c r="H800" s="10">
        <v>625</v>
      </c>
      <c r="I800" s="9">
        <v>0</v>
      </c>
      <c r="J800" s="10">
        <v>0</v>
      </c>
      <c r="K800" s="9">
        <v>5</v>
      </c>
      <c r="L800" s="10">
        <v>625</v>
      </c>
      <c r="M800" s="10">
        <v>484.81</v>
      </c>
      <c r="N800" s="10">
        <v>140.19</v>
      </c>
      <c r="O800" s="11">
        <f t="shared" si="48"/>
        <v>0.224304</v>
      </c>
      <c r="P800" s="10">
        <v>62.94</v>
      </c>
      <c r="Q800" s="10">
        <v>77.25</v>
      </c>
      <c r="R800" s="11">
        <f t="shared" si="49"/>
        <v>0.1236</v>
      </c>
      <c r="S800" t="s">
        <v>81</v>
      </c>
      <c r="T800" t="s">
        <v>86</v>
      </c>
      <c r="U800" t="s">
        <v>61</v>
      </c>
    </row>
    <row r="801" spans="1:21" x14ac:dyDescent="0.35">
      <c r="A801" t="s">
        <v>926</v>
      </c>
      <c r="B801" s="5">
        <v>45780</v>
      </c>
      <c r="C801" t="s">
        <v>121</v>
      </c>
      <c r="D801" t="s">
        <v>70</v>
      </c>
      <c r="E801" s="9">
        <v>3</v>
      </c>
      <c r="F801" s="10">
        <v>110</v>
      </c>
      <c r="G801" s="11">
        <v>0</v>
      </c>
      <c r="H801" s="10">
        <v>330</v>
      </c>
      <c r="I801" s="9">
        <v>0</v>
      </c>
      <c r="J801" s="10">
        <v>0</v>
      </c>
      <c r="K801" s="9">
        <v>3</v>
      </c>
      <c r="L801" s="10">
        <v>330</v>
      </c>
      <c r="M801" s="10">
        <v>239.5</v>
      </c>
      <c r="N801" s="10">
        <v>90.5</v>
      </c>
      <c r="O801" s="11">
        <f t="shared" si="48"/>
        <v>0.27424242424242423</v>
      </c>
      <c r="P801" s="10">
        <v>34.56</v>
      </c>
      <c r="Q801" s="10">
        <v>55.94</v>
      </c>
      <c r="R801" s="11">
        <f t="shared" si="49"/>
        <v>0.16951515151515151</v>
      </c>
      <c r="S801" t="s">
        <v>81</v>
      </c>
      <c r="T801" t="s">
        <v>66</v>
      </c>
      <c r="U801" t="s">
        <v>71</v>
      </c>
    </row>
    <row r="802" spans="1:21" x14ac:dyDescent="0.35">
      <c r="A802" t="s">
        <v>927</v>
      </c>
      <c r="B802" s="5">
        <v>45762</v>
      </c>
      <c r="C802" t="s">
        <v>104</v>
      </c>
      <c r="D802" t="s">
        <v>105</v>
      </c>
      <c r="E802" s="9">
        <v>8</v>
      </c>
      <c r="F802" s="10">
        <v>65</v>
      </c>
      <c r="G802" s="11">
        <v>0.02</v>
      </c>
      <c r="H802" s="10">
        <v>509.6</v>
      </c>
      <c r="I802" s="9">
        <v>8</v>
      </c>
      <c r="J802" s="10">
        <v>509.6</v>
      </c>
      <c r="K802" s="9">
        <v>0</v>
      </c>
      <c r="L802" s="10">
        <v>0</v>
      </c>
      <c r="M802" s="10">
        <v>0</v>
      </c>
      <c r="N802" s="10">
        <v>0</v>
      </c>
      <c r="O802" s="11">
        <v>0</v>
      </c>
      <c r="P802" s="10">
        <v>0</v>
      </c>
      <c r="Q802" s="10">
        <v>0</v>
      </c>
      <c r="R802" s="11">
        <v>0</v>
      </c>
      <c r="S802" t="s">
        <v>65</v>
      </c>
      <c r="T802" t="s">
        <v>82</v>
      </c>
      <c r="U802" t="s">
        <v>76</v>
      </c>
    </row>
    <row r="803" spans="1:21" x14ac:dyDescent="0.35">
      <c r="A803" t="s">
        <v>928</v>
      </c>
      <c r="B803" s="5">
        <v>45753</v>
      </c>
      <c r="C803" t="s">
        <v>69</v>
      </c>
      <c r="D803" t="s">
        <v>70</v>
      </c>
      <c r="E803" s="9">
        <v>1</v>
      </c>
      <c r="F803" s="10">
        <v>210</v>
      </c>
      <c r="G803" s="11">
        <v>0</v>
      </c>
      <c r="H803" s="10">
        <v>210</v>
      </c>
      <c r="I803" s="9">
        <v>0</v>
      </c>
      <c r="J803" s="10">
        <v>0</v>
      </c>
      <c r="K803" s="9">
        <v>1</v>
      </c>
      <c r="L803" s="10">
        <v>210</v>
      </c>
      <c r="M803" s="10">
        <v>136.53</v>
      </c>
      <c r="N803" s="10">
        <v>73.47</v>
      </c>
      <c r="O803" s="11">
        <f t="shared" ref="O803:O834" si="50">N803/L803</f>
        <v>0.34985714285714287</v>
      </c>
      <c r="P803" s="10">
        <v>25.38</v>
      </c>
      <c r="Q803" s="10">
        <v>48.09</v>
      </c>
      <c r="R803" s="11">
        <f t="shared" ref="R803:R834" si="51">Q803/L803</f>
        <v>0.22900000000000001</v>
      </c>
      <c r="S803" t="s">
        <v>75</v>
      </c>
      <c r="T803" t="s">
        <v>60</v>
      </c>
      <c r="U803" t="s">
        <v>71</v>
      </c>
    </row>
    <row r="804" spans="1:21" x14ac:dyDescent="0.35">
      <c r="A804" t="s">
        <v>929</v>
      </c>
      <c r="B804" s="5">
        <v>45839</v>
      </c>
      <c r="C804" t="s">
        <v>73</v>
      </c>
      <c r="D804" t="s">
        <v>74</v>
      </c>
      <c r="E804" s="9">
        <v>3</v>
      </c>
      <c r="F804" s="10">
        <v>280</v>
      </c>
      <c r="G804" s="11">
        <v>0.15</v>
      </c>
      <c r="H804" s="10">
        <v>714</v>
      </c>
      <c r="I804" s="9">
        <v>0</v>
      </c>
      <c r="J804" s="10">
        <v>0</v>
      </c>
      <c r="K804" s="9">
        <v>3</v>
      </c>
      <c r="L804" s="10">
        <v>714</v>
      </c>
      <c r="M804" s="10">
        <v>522.41</v>
      </c>
      <c r="N804" s="10">
        <v>191.59</v>
      </c>
      <c r="O804" s="11">
        <f t="shared" si="50"/>
        <v>0.26833333333333331</v>
      </c>
      <c r="P804" s="10">
        <v>50.68</v>
      </c>
      <c r="Q804" s="10">
        <v>140.91</v>
      </c>
      <c r="R804" s="11">
        <f t="shared" si="51"/>
        <v>0.19735294117647059</v>
      </c>
      <c r="S804" t="s">
        <v>75</v>
      </c>
      <c r="T804" t="s">
        <v>82</v>
      </c>
      <c r="U804" t="s">
        <v>67</v>
      </c>
    </row>
    <row r="805" spans="1:21" x14ac:dyDescent="0.35">
      <c r="A805" t="s">
        <v>930</v>
      </c>
      <c r="B805" s="5">
        <v>45841</v>
      </c>
      <c r="C805" t="s">
        <v>78</v>
      </c>
      <c r="D805" t="s">
        <v>79</v>
      </c>
      <c r="E805" s="9">
        <v>2</v>
      </c>
      <c r="F805" s="10">
        <v>120</v>
      </c>
      <c r="G805" s="11">
        <v>0.05</v>
      </c>
      <c r="H805" s="10">
        <v>228</v>
      </c>
      <c r="I805" s="9">
        <v>0</v>
      </c>
      <c r="J805" s="10">
        <v>0</v>
      </c>
      <c r="K805" s="9">
        <v>2</v>
      </c>
      <c r="L805" s="10">
        <v>228</v>
      </c>
      <c r="M805" s="10">
        <v>168.33</v>
      </c>
      <c r="N805" s="10">
        <v>59.67</v>
      </c>
      <c r="O805" s="11">
        <f t="shared" si="50"/>
        <v>0.2617105263157895</v>
      </c>
      <c r="P805" s="10">
        <v>24.8</v>
      </c>
      <c r="Q805" s="10">
        <v>34.869999999999997</v>
      </c>
      <c r="R805" s="11">
        <f t="shared" si="51"/>
        <v>0.15293859649122807</v>
      </c>
      <c r="S805" t="s">
        <v>75</v>
      </c>
      <c r="T805" t="s">
        <v>86</v>
      </c>
      <c r="U805" t="s">
        <v>67</v>
      </c>
    </row>
    <row r="806" spans="1:21" x14ac:dyDescent="0.35">
      <c r="A806" t="s">
        <v>931</v>
      </c>
      <c r="B806" s="5">
        <v>45703</v>
      </c>
      <c r="C806" t="s">
        <v>109</v>
      </c>
      <c r="D806" t="s">
        <v>85</v>
      </c>
      <c r="E806" s="9">
        <v>3</v>
      </c>
      <c r="F806" s="10">
        <v>180</v>
      </c>
      <c r="G806" s="11">
        <v>0.02</v>
      </c>
      <c r="H806" s="10">
        <v>529.20000000000005</v>
      </c>
      <c r="I806" s="9">
        <v>0</v>
      </c>
      <c r="J806" s="10">
        <v>0</v>
      </c>
      <c r="K806" s="9">
        <v>3</v>
      </c>
      <c r="L806" s="10">
        <v>529.20000000000005</v>
      </c>
      <c r="M806" s="10">
        <v>342.68</v>
      </c>
      <c r="N806" s="10">
        <v>186.52</v>
      </c>
      <c r="O806" s="11">
        <f t="shared" si="50"/>
        <v>0.3524565381708239</v>
      </c>
      <c r="P806" s="10">
        <v>48.88</v>
      </c>
      <c r="Q806" s="10">
        <v>137.63999999999999</v>
      </c>
      <c r="R806" s="11">
        <f t="shared" si="51"/>
        <v>0.26009070294784575</v>
      </c>
      <c r="S806" t="s">
        <v>81</v>
      </c>
      <c r="T806" t="s">
        <v>86</v>
      </c>
      <c r="U806" t="s">
        <v>61</v>
      </c>
    </row>
    <row r="807" spans="1:21" x14ac:dyDescent="0.35">
      <c r="A807" t="s">
        <v>932</v>
      </c>
      <c r="B807" s="5">
        <v>45944</v>
      </c>
      <c r="C807" t="s">
        <v>104</v>
      </c>
      <c r="D807" t="s">
        <v>105</v>
      </c>
      <c r="E807" s="9">
        <v>1</v>
      </c>
      <c r="F807" s="10">
        <v>65</v>
      </c>
      <c r="G807" s="11">
        <v>0.02</v>
      </c>
      <c r="H807" s="10">
        <v>63.7</v>
      </c>
      <c r="I807" s="9">
        <v>0</v>
      </c>
      <c r="J807" s="10">
        <v>0</v>
      </c>
      <c r="K807" s="9">
        <v>1</v>
      </c>
      <c r="L807" s="10">
        <v>63.7</v>
      </c>
      <c r="M807" s="10">
        <v>47.74</v>
      </c>
      <c r="N807" s="10">
        <v>15.96</v>
      </c>
      <c r="O807" s="11">
        <f t="shared" si="50"/>
        <v>0.25054945054945055</v>
      </c>
      <c r="P807" s="10">
        <v>5.65</v>
      </c>
      <c r="Q807" s="10">
        <v>10.31</v>
      </c>
      <c r="R807" s="11">
        <f t="shared" si="51"/>
        <v>0.16185243328100471</v>
      </c>
      <c r="S807" t="s">
        <v>59</v>
      </c>
      <c r="T807" t="s">
        <v>82</v>
      </c>
      <c r="U807" t="s">
        <v>61</v>
      </c>
    </row>
    <row r="808" spans="1:21" x14ac:dyDescent="0.35">
      <c r="A808" t="s">
        <v>933</v>
      </c>
      <c r="B808" s="5">
        <v>45775</v>
      </c>
      <c r="C808" t="s">
        <v>100</v>
      </c>
      <c r="D808" t="s">
        <v>64</v>
      </c>
      <c r="E808" s="9">
        <v>1</v>
      </c>
      <c r="F808" s="10">
        <v>310</v>
      </c>
      <c r="G808" s="11">
        <v>0</v>
      </c>
      <c r="H808" s="10">
        <v>310</v>
      </c>
      <c r="I808" s="9">
        <v>0</v>
      </c>
      <c r="J808" s="10">
        <v>0</v>
      </c>
      <c r="K808" s="9">
        <v>1</v>
      </c>
      <c r="L808" s="10">
        <v>310</v>
      </c>
      <c r="M808" s="10">
        <v>194.64</v>
      </c>
      <c r="N808" s="10">
        <v>115.36</v>
      </c>
      <c r="O808" s="11">
        <f t="shared" si="50"/>
        <v>0.37212903225806454</v>
      </c>
      <c r="P808" s="10">
        <v>30.4</v>
      </c>
      <c r="Q808" s="10">
        <v>84.96</v>
      </c>
      <c r="R808" s="11">
        <f t="shared" si="51"/>
        <v>0.27406451612903227</v>
      </c>
      <c r="S808" t="s">
        <v>75</v>
      </c>
      <c r="T808" t="s">
        <v>66</v>
      </c>
      <c r="U808" t="s">
        <v>76</v>
      </c>
    </row>
    <row r="809" spans="1:21" x14ac:dyDescent="0.35">
      <c r="A809" t="s">
        <v>934</v>
      </c>
      <c r="B809" s="5">
        <v>46012</v>
      </c>
      <c r="C809" t="s">
        <v>109</v>
      </c>
      <c r="D809" t="s">
        <v>85</v>
      </c>
      <c r="E809" s="9">
        <v>4</v>
      </c>
      <c r="F809" s="10">
        <v>180</v>
      </c>
      <c r="G809" s="11">
        <v>0.15</v>
      </c>
      <c r="H809" s="10">
        <v>612</v>
      </c>
      <c r="I809" s="9">
        <v>0</v>
      </c>
      <c r="J809" s="10">
        <v>0</v>
      </c>
      <c r="K809" s="9">
        <v>4</v>
      </c>
      <c r="L809" s="10">
        <v>612</v>
      </c>
      <c r="M809" s="10">
        <v>480.95</v>
      </c>
      <c r="N809" s="10">
        <v>131.05000000000001</v>
      </c>
      <c r="O809" s="11">
        <f t="shared" si="50"/>
        <v>0.21413398692810459</v>
      </c>
      <c r="P809" s="10">
        <v>77.02</v>
      </c>
      <c r="Q809" s="10">
        <v>54.03</v>
      </c>
      <c r="R809" s="11">
        <f t="shared" si="51"/>
        <v>8.8284313725490199E-2</v>
      </c>
      <c r="S809" t="s">
        <v>65</v>
      </c>
      <c r="T809" t="s">
        <v>86</v>
      </c>
      <c r="U809" t="s">
        <v>71</v>
      </c>
    </row>
    <row r="810" spans="1:21" x14ac:dyDescent="0.35">
      <c r="A810" t="s">
        <v>935</v>
      </c>
      <c r="B810" s="5">
        <v>45924</v>
      </c>
      <c r="C810" t="s">
        <v>90</v>
      </c>
      <c r="D810" t="s">
        <v>70</v>
      </c>
      <c r="E810" s="9">
        <v>3</v>
      </c>
      <c r="F810" s="10">
        <v>38</v>
      </c>
      <c r="G810" s="11">
        <v>0</v>
      </c>
      <c r="H810" s="10">
        <v>114</v>
      </c>
      <c r="I810" s="9">
        <v>0</v>
      </c>
      <c r="J810" s="10">
        <v>0</v>
      </c>
      <c r="K810" s="9">
        <v>3</v>
      </c>
      <c r="L810" s="10">
        <v>114</v>
      </c>
      <c r="M810" s="10">
        <v>96.24</v>
      </c>
      <c r="N810" s="10">
        <v>17.760000000000002</v>
      </c>
      <c r="O810" s="11">
        <f t="shared" si="50"/>
        <v>0.15578947368421053</v>
      </c>
      <c r="P810" s="10">
        <v>11.7</v>
      </c>
      <c r="Q810" s="10">
        <v>6.06</v>
      </c>
      <c r="R810" s="11">
        <f t="shared" si="51"/>
        <v>5.3157894736842098E-2</v>
      </c>
      <c r="S810" t="s">
        <v>81</v>
      </c>
      <c r="T810" t="s">
        <v>82</v>
      </c>
      <c r="U810" t="s">
        <v>76</v>
      </c>
    </row>
    <row r="811" spans="1:21" x14ac:dyDescent="0.35">
      <c r="A811" t="s">
        <v>936</v>
      </c>
      <c r="B811" s="5">
        <v>45870</v>
      </c>
      <c r="C811" t="s">
        <v>97</v>
      </c>
      <c r="D811" t="s">
        <v>57</v>
      </c>
      <c r="E811" s="9">
        <v>4</v>
      </c>
      <c r="F811" s="10">
        <v>55</v>
      </c>
      <c r="G811" s="11">
        <v>0.1</v>
      </c>
      <c r="H811" s="10">
        <v>198</v>
      </c>
      <c r="I811" s="9">
        <v>0</v>
      </c>
      <c r="J811" s="10">
        <v>0</v>
      </c>
      <c r="K811" s="9">
        <v>4</v>
      </c>
      <c r="L811" s="10">
        <v>198</v>
      </c>
      <c r="M811" s="10">
        <v>147.33000000000001</v>
      </c>
      <c r="N811" s="10">
        <v>50.67</v>
      </c>
      <c r="O811" s="11">
        <f t="shared" si="50"/>
        <v>0.25590909090909092</v>
      </c>
      <c r="P811" s="10">
        <v>18.27</v>
      </c>
      <c r="Q811" s="10">
        <v>32.4</v>
      </c>
      <c r="R811" s="11">
        <f t="shared" si="51"/>
        <v>0.16363636363636364</v>
      </c>
      <c r="S811" t="s">
        <v>65</v>
      </c>
      <c r="T811" t="s">
        <v>60</v>
      </c>
      <c r="U811" t="s">
        <v>76</v>
      </c>
    </row>
    <row r="812" spans="1:21" x14ac:dyDescent="0.35">
      <c r="A812" t="s">
        <v>937</v>
      </c>
      <c r="B812" s="5">
        <v>45837</v>
      </c>
      <c r="C812" t="s">
        <v>78</v>
      </c>
      <c r="D812" t="s">
        <v>79</v>
      </c>
      <c r="E812" s="9">
        <v>2</v>
      </c>
      <c r="F812" s="10">
        <v>120</v>
      </c>
      <c r="G812" s="11">
        <v>0</v>
      </c>
      <c r="H812" s="10">
        <v>240</v>
      </c>
      <c r="I812" s="9">
        <v>0</v>
      </c>
      <c r="J812" s="10">
        <v>0</v>
      </c>
      <c r="K812" s="9">
        <v>2</v>
      </c>
      <c r="L812" s="10">
        <v>240</v>
      </c>
      <c r="M812" s="10">
        <v>204.7</v>
      </c>
      <c r="N812" s="10">
        <v>35.299999999999997</v>
      </c>
      <c r="O812" s="11">
        <f t="shared" si="50"/>
        <v>0.14708333333333332</v>
      </c>
      <c r="P812" s="10">
        <v>17.16</v>
      </c>
      <c r="Q812" s="10">
        <v>18.14</v>
      </c>
      <c r="R812" s="11">
        <f t="shared" si="51"/>
        <v>7.5583333333333336E-2</v>
      </c>
      <c r="S812" t="s">
        <v>65</v>
      </c>
      <c r="T812" t="s">
        <v>60</v>
      </c>
      <c r="U812" t="s">
        <v>76</v>
      </c>
    </row>
    <row r="813" spans="1:21" x14ac:dyDescent="0.35">
      <c r="A813" t="s">
        <v>938</v>
      </c>
      <c r="B813" s="5">
        <v>45934</v>
      </c>
      <c r="C813" t="s">
        <v>107</v>
      </c>
      <c r="D813" t="s">
        <v>74</v>
      </c>
      <c r="E813" s="9">
        <v>2</v>
      </c>
      <c r="F813" s="10">
        <v>125</v>
      </c>
      <c r="G813" s="11">
        <v>0</v>
      </c>
      <c r="H813" s="10">
        <v>250</v>
      </c>
      <c r="I813" s="9">
        <v>0</v>
      </c>
      <c r="J813" s="10">
        <v>0</v>
      </c>
      <c r="K813" s="9">
        <v>2</v>
      </c>
      <c r="L813" s="10">
        <v>250</v>
      </c>
      <c r="M813" s="10">
        <v>197.36</v>
      </c>
      <c r="N813" s="10">
        <v>52.64</v>
      </c>
      <c r="O813" s="11">
        <f t="shared" si="50"/>
        <v>0.21056</v>
      </c>
      <c r="P813" s="10">
        <v>20.27</v>
      </c>
      <c r="Q813" s="10">
        <v>32.369999999999997</v>
      </c>
      <c r="R813" s="11">
        <f t="shared" si="51"/>
        <v>0.12947999999999998</v>
      </c>
      <c r="S813" t="s">
        <v>75</v>
      </c>
      <c r="T813" t="s">
        <v>86</v>
      </c>
      <c r="U813" t="s">
        <v>61</v>
      </c>
    </row>
    <row r="814" spans="1:21" x14ac:dyDescent="0.35">
      <c r="A814" t="s">
        <v>939</v>
      </c>
      <c r="B814" s="5">
        <v>45668</v>
      </c>
      <c r="C814" t="s">
        <v>56</v>
      </c>
      <c r="D814" t="s">
        <v>57</v>
      </c>
      <c r="E814" s="9">
        <v>2</v>
      </c>
      <c r="F814" s="10">
        <v>40</v>
      </c>
      <c r="G814" s="11">
        <v>0.05</v>
      </c>
      <c r="H814" s="10">
        <v>76</v>
      </c>
      <c r="I814" s="9">
        <v>0</v>
      </c>
      <c r="J814" s="10">
        <v>0</v>
      </c>
      <c r="K814" s="9">
        <v>2</v>
      </c>
      <c r="L814" s="10">
        <v>76</v>
      </c>
      <c r="M814" s="10">
        <v>50.79</v>
      </c>
      <c r="N814" s="10">
        <v>25.21</v>
      </c>
      <c r="O814" s="11">
        <f t="shared" si="50"/>
        <v>0.33171052631578951</v>
      </c>
      <c r="P814" s="10">
        <v>6.68</v>
      </c>
      <c r="Q814" s="10">
        <v>18.53</v>
      </c>
      <c r="R814" s="11">
        <f t="shared" si="51"/>
        <v>0.24381578947368424</v>
      </c>
      <c r="S814" t="s">
        <v>75</v>
      </c>
      <c r="T814" t="s">
        <v>86</v>
      </c>
      <c r="U814" t="s">
        <v>76</v>
      </c>
    </row>
    <row r="815" spans="1:21" x14ac:dyDescent="0.35">
      <c r="A815" t="s">
        <v>940</v>
      </c>
      <c r="B815" s="5">
        <v>45737</v>
      </c>
      <c r="C815" t="s">
        <v>63</v>
      </c>
      <c r="D815" t="s">
        <v>64</v>
      </c>
      <c r="E815" s="9">
        <v>5</v>
      </c>
      <c r="F815" s="10">
        <v>145</v>
      </c>
      <c r="G815" s="11">
        <v>0.1</v>
      </c>
      <c r="H815" s="10">
        <v>652.5</v>
      </c>
      <c r="I815" s="9">
        <v>0</v>
      </c>
      <c r="J815" s="10">
        <v>0</v>
      </c>
      <c r="K815" s="9">
        <v>5</v>
      </c>
      <c r="L815" s="10">
        <v>652.5</v>
      </c>
      <c r="M815" s="10">
        <v>538.37</v>
      </c>
      <c r="N815" s="10">
        <v>114.13</v>
      </c>
      <c r="O815" s="11">
        <f t="shared" si="50"/>
        <v>0.17491187739463601</v>
      </c>
      <c r="P815" s="10">
        <v>35.36</v>
      </c>
      <c r="Q815" s="10">
        <v>78.77</v>
      </c>
      <c r="R815" s="11">
        <f t="shared" si="51"/>
        <v>0.12072030651340995</v>
      </c>
      <c r="S815" t="s">
        <v>75</v>
      </c>
      <c r="T815" t="s">
        <v>86</v>
      </c>
      <c r="U815" t="s">
        <v>71</v>
      </c>
    </row>
    <row r="816" spans="1:21" x14ac:dyDescent="0.35">
      <c r="A816" t="s">
        <v>941</v>
      </c>
      <c r="B816" s="5">
        <v>45970</v>
      </c>
      <c r="C816" t="s">
        <v>56</v>
      </c>
      <c r="D816" t="s">
        <v>57</v>
      </c>
      <c r="E816" s="9">
        <v>1</v>
      </c>
      <c r="F816" s="10">
        <v>40</v>
      </c>
      <c r="G816" s="11">
        <v>0.1</v>
      </c>
      <c r="H816" s="10">
        <v>36</v>
      </c>
      <c r="I816" s="9">
        <v>0</v>
      </c>
      <c r="J816" s="10">
        <v>0</v>
      </c>
      <c r="K816" s="9">
        <v>1</v>
      </c>
      <c r="L816" s="10">
        <v>36</v>
      </c>
      <c r="M816" s="10">
        <v>27.77</v>
      </c>
      <c r="N816" s="10">
        <v>8.23</v>
      </c>
      <c r="O816" s="11">
        <f t="shared" si="50"/>
        <v>0.22861111111111113</v>
      </c>
      <c r="P816" s="10">
        <v>2.4</v>
      </c>
      <c r="Q816" s="10">
        <v>5.83</v>
      </c>
      <c r="R816" s="11">
        <f t="shared" si="51"/>
        <v>0.16194444444444445</v>
      </c>
      <c r="S816" t="s">
        <v>59</v>
      </c>
      <c r="T816" t="s">
        <v>82</v>
      </c>
      <c r="U816" t="s">
        <v>76</v>
      </c>
    </row>
    <row r="817" spans="1:21" x14ac:dyDescent="0.35">
      <c r="A817" t="s">
        <v>942</v>
      </c>
      <c r="B817" s="5">
        <v>45781</v>
      </c>
      <c r="C817" t="s">
        <v>63</v>
      </c>
      <c r="D817" t="s">
        <v>64</v>
      </c>
      <c r="E817" s="9">
        <v>1</v>
      </c>
      <c r="F817" s="10">
        <v>145</v>
      </c>
      <c r="G817" s="11">
        <v>0.05</v>
      </c>
      <c r="H817" s="10">
        <v>137.75</v>
      </c>
      <c r="I817" s="9">
        <v>0</v>
      </c>
      <c r="J817" s="10">
        <v>0</v>
      </c>
      <c r="K817" s="9">
        <v>1</v>
      </c>
      <c r="L817" s="10">
        <v>137.75</v>
      </c>
      <c r="M817" s="10">
        <v>91.58</v>
      </c>
      <c r="N817" s="10">
        <v>46.17</v>
      </c>
      <c r="O817" s="11">
        <f t="shared" si="50"/>
        <v>0.33517241379310347</v>
      </c>
      <c r="P817" s="10">
        <v>17.89</v>
      </c>
      <c r="Q817" s="10">
        <v>28.28</v>
      </c>
      <c r="R817" s="11">
        <f t="shared" si="51"/>
        <v>0.2052994555353902</v>
      </c>
      <c r="S817" t="s">
        <v>59</v>
      </c>
      <c r="T817" t="s">
        <v>60</v>
      </c>
      <c r="U817" t="s">
        <v>71</v>
      </c>
    </row>
    <row r="818" spans="1:21" x14ac:dyDescent="0.35">
      <c r="A818" t="s">
        <v>943</v>
      </c>
      <c r="B818" s="5">
        <v>45728</v>
      </c>
      <c r="C818" t="s">
        <v>88</v>
      </c>
      <c r="D818" t="s">
        <v>57</v>
      </c>
      <c r="E818" s="9">
        <v>5</v>
      </c>
      <c r="F818" s="10">
        <v>30</v>
      </c>
      <c r="G818" s="11">
        <v>0.02</v>
      </c>
      <c r="H818" s="10">
        <v>147</v>
      </c>
      <c r="I818" s="9">
        <v>0</v>
      </c>
      <c r="J818" s="10">
        <v>0</v>
      </c>
      <c r="K818" s="9">
        <v>5</v>
      </c>
      <c r="L818" s="10">
        <v>147</v>
      </c>
      <c r="M818" s="10">
        <v>122.95</v>
      </c>
      <c r="N818" s="10">
        <v>24.05</v>
      </c>
      <c r="O818" s="11">
        <f t="shared" si="50"/>
        <v>0.16360544217687076</v>
      </c>
      <c r="P818" s="10">
        <v>7.46</v>
      </c>
      <c r="Q818" s="10">
        <v>16.59</v>
      </c>
      <c r="R818" s="11">
        <f t="shared" si="51"/>
        <v>0.11285714285714285</v>
      </c>
      <c r="S818" t="s">
        <v>75</v>
      </c>
      <c r="T818" t="s">
        <v>60</v>
      </c>
      <c r="U818" t="s">
        <v>76</v>
      </c>
    </row>
    <row r="819" spans="1:21" x14ac:dyDescent="0.35">
      <c r="A819" t="s">
        <v>944</v>
      </c>
      <c r="B819" s="5">
        <v>45970</v>
      </c>
      <c r="C819" t="s">
        <v>109</v>
      </c>
      <c r="D819" t="s">
        <v>85</v>
      </c>
      <c r="E819" s="9">
        <v>3</v>
      </c>
      <c r="F819" s="10">
        <v>180</v>
      </c>
      <c r="G819" s="11">
        <v>0</v>
      </c>
      <c r="H819" s="10">
        <v>540</v>
      </c>
      <c r="I819" s="9">
        <v>0</v>
      </c>
      <c r="J819" s="10">
        <v>0</v>
      </c>
      <c r="K819" s="9">
        <v>3</v>
      </c>
      <c r="L819" s="10">
        <v>540</v>
      </c>
      <c r="M819" s="10">
        <v>427.41</v>
      </c>
      <c r="N819" s="10">
        <v>112.59</v>
      </c>
      <c r="O819" s="11">
        <f t="shared" si="50"/>
        <v>0.20850000000000002</v>
      </c>
      <c r="P819" s="10">
        <v>68.930000000000007</v>
      </c>
      <c r="Q819" s="10">
        <v>43.66</v>
      </c>
      <c r="R819" s="11">
        <f t="shared" si="51"/>
        <v>8.0851851851851841E-2</v>
      </c>
      <c r="S819" t="s">
        <v>75</v>
      </c>
      <c r="T819" t="s">
        <v>66</v>
      </c>
      <c r="U819" t="s">
        <v>61</v>
      </c>
    </row>
    <row r="820" spans="1:21" x14ac:dyDescent="0.35">
      <c r="A820" t="s">
        <v>945</v>
      </c>
      <c r="B820" s="5">
        <v>45796</v>
      </c>
      <c r="C820" t="s">
        <v>56</v>
      </c>
      <c r="D820" t="s">
        <v>57</v>
      </c>
      <c r="E820" s="9">
        <v>10</v>
      </c>
      <c r="F820" s="10">
        <v>40</v>
      </c>
      <c r="G820" s="11">
        <v>0.02</v>
      </c>
      <c r="H820" s="10">
        <v>392</v>
      </c>
      <c r="I820" s="9">
        <v>0</v>
      </c>
      <c r="J820" s="10">
        <v>0</v>
      </c>
      <c r="K820" s="9">
        <v>10</v>
      </c>
      <c r="L820" s="10">
        <v>392</v>
      </c>
      <c r="M820" s="10">
        <v>306.26</v>
      </c>
      <c r="N820" s="10">
        <v>85.74</v>
      </c>
      <c r="O820" s="11">
        <f t="shared" si="50"/>
        <v>0.21872448979591835</v>
      </c>
      <c r="P820" s="10">
        <v>42.92</v>
      </c>
      <c r="Q820" s="10">
        <v>42.82</v>
      </c>
      <c r="R820" s="11">
        <f t="shared" si="51"/>
        <v>0.10923469387755103</v>
      </c>
      <c r="S820" t="s">
        <v>75</v>
      </c>
      <c r="T820" t="s">
        <v>66</v>
      </c>
      <c r="U820" t="s">
        <v>67</v>
      </c>
    </row>
    <row r="821" spans="1:21" x14ac:dyDescent="0.35">
      <c r="A821" t="s">
        <v>946</v>
      </c>
      <c r="B821" s="5">
        <v>45750</v>
      </c>
      <c r="C821" t="s">
        <v>125</v>
      </c>
      <c r="D821" t="s">
        <v>85</v>
      </c>
      <c r="E821" s="9">
        <v>3</v>
      </c>
      <c r="F821" s="10">
        <v>125</v>
      </c>
      <c r="G821" s="11">
        <v>0</v>
      </c>
      <c r="H821" s="10">
        <v>375</v>
      </c>
      <c r="I821" s="9">
        <v>0</v>
      </c>
      <c r="J821" s="10">
        <v>0</v>
      </c>
      <c r="K821" s="9">
        <v>3</v>
      </c>
      <c r="L821" s="10">
        <v>375</v>
      </c>
      <c r="M821" s="10">
        <v>300.99</v>
      </c>
      <c r="N821" s="10">
        <v>74.010000000000005</v>
      </c>
      <c r="O821" s="11">
        <f t="shared" si="50"/>
        <v>0.19736000000000001</v>
      </c>
      <c r="P821" s="10">
        <v>29.74</v>
      </c>
      <c r="Q821" s="10">
        <v>44.27</v>
      </c>
      <c r="R821" s="11">
        <f t="shared" si="51"/>
        <v>0.11805333333333334</v>
      </c>
      <c r="S821" t="s">
        <v>65</v>
      </c>
      <c r="T821" t="s">
        <v>66</v>
      </c>
      <c r="U821" t="s">
        <v>71</v>
      </c>
    </row>
    <row r="822" spans="1:21" x14ac:dyDescent="0.35">
      <c r="A822" t="s">
        <v>947</v>
      </c>
      <c r="B822" s="5">
        <v>45806</v>
      </c>
      <c r="C822" t="s">
        <v>107</v>
      </c>
      <c r="D822" t="s">
        <v>74</v>
      </c>
      <c r="E822" s="9">
        <v>2</v>
      </c>
      <c r="F822" s="10">
        <v>125</v>
      </c>
      <c r="G822" s="11">
        <v>0</v>
      </c>
      <c r="H822" s="10">
        <v>250</v>
      </c>
      <c r="I822" s="9">
        <v>0</v>
      </c>
      <c r="J822" s="10">
        <v>0</v>
      </c>
      <c r="K822" s="9">
        <v>2</v>
      </c>
      <c r="L822" s="10">
        <v>250</v>
      </c>
      <c r="M822" s="10">
        <v>189.62</v>
      </c>
      <c r="N822" s="10">
        <v>60.38</v>
      </c>
      <c r="O822" s="11">
        <f t="shared" si="50"/>
        <v>0.24152000000000001</v>
      </c>
      <c r="P822" s="10">
        <v>19.62</v>
      </c>
      <c r="Q822" s="10">
        <v>40.76</v>
      </c>
      <c r="R822" s="11">
        <f t="shared" si="51"/>
        <v>0.16303999999999999</v>
      </c>
      <c r="S822" t="s">
        <v>75</v>
      </c>
      <c r="T822" t="s">
        <v>82</v>
      </c>
      <c r="U822" t="s">
        <v>67</v>
      </c>
    </row>
    <row r="823" spans="1:21" x14ac:dyDescent="0.35">
      <c r="A823" t="s">
        <v>948</v>
      </c>
      <c r="B823" s="5">
        <v>45929</v>
      </c>
      <c r="C823" t="s">
        <v>56</v>
      </c>
      <c r="D823" t="s">
        <v>57</v>
      </c>
      <c r="E823" s="9">
        <v>1</v>
      </c>
      <c r="F823" s="10">
        <v>40</v>
      </c>
      <c r="G823" s="11">
        <v>0</v>
      </c>
      <c r="H823" s="10">
        <v>40</v>
      </c>
      <c r="I823" s="9">
        <v>0</v>
      </c>
      <c r="J823" s="10">
        <v>0</v>
      </c>
      <c r="K823" s="9">
        <v>1</v>
      </c>
      <c r="L823" s="10">
        <v>40</v>
      </c>
      <c r="M823" s="10">
        <v>33.26</v>
      </c>
      <c r="N823" s="10">
        <v>6.74</v>
      </c>
      <c r="O823" s="11">
        <f t="shared" si="50"/>
        <v>0.16850000000000001</v>
      </c>
      <c r="P823" s="10">
        <v>4.26</v>
      </c>
      <c r="Q823" s="10">
        <v>2.48</v>
      </c>
      <c r="R823" s="11">
        <f t="shared" si="51"/>
        <v>6.2E-2</v>
      </c>
      <c r="S823" t="s">
        <v>65</v>
      </c>
      <c r="T823" t="s">
        <v>86</v>
      </c>
      <c r="U823" t="s">
        <v>67</v>
      </c>
    </row>
    <row r="824" spans="1:21" x14ac:dyDescent="0.35">
      <c r="A824" t="s">
        <v>949</v>
      </c>
      <c r="B824" s="5">
        <v>45807</v>
      </c>
      <c r="C824" t="s">
        <v>88</v>
      </c>
      <c r="D824" t="s">
        <v>57</v>
      </c>
      <c r="E824" s="9">
        <v>3</v>
      </c>
      <c r="F824" s="10">
        <v>30</v>
      </c>
      <c r="G824" s="11">
        <v>0.1</v>
      </c>
      <c r="H824" s="10">
        <v>81</v>
      </c>
      <c r="I824" s="9">
        <v>0</v>
      </c>
      <c r="J824" s="10">
        <v>0</v>
      </c>
      <c r="K824" s="9">
        <v>3</v>
      </c>
      <c r="L824" s="10">
        <v>81</v>
      </c>
      <c r="M824" s="10">
        <v>68.53</v>
      </c>
      <c r="N824" s="10">
        <v>12.47</v>
      </c>
      <c r="O824" s="11">
        <f t="shared" si="50"/>
        <v>0.15395061728395062</v>
      </c>
      <c r="P824" s="10">
        <v>4.6100000000000003</v>
      </c>
      <c r="Q824" s="10">
        <v>7.86</v>
      </c>
      <c r="R824" s="11">
        <f t="shared" si="51"/>
        <v>9.7037037037037047E-2</v>
      </c>
      <c r="S824" t="s">
        <v>81</v>
      </c>
      <c r="T824" t="s">
        <v>66</v>
      </c>
      <c r="U824" t="s">
        <v>76</v>
      </c>
    </row>
    <row r="825" spans="1:21" x14ac:dyDescent="0.35">
      <c r="A825" t="s">
        <v>950</v>
      </c>
      <c r="B825" s="5">
        <v>45896</v>
      </c>
      <c r="C825" t="s">
        <v>90</v>
      </c>
      <c r="D825" t="s">
        <v>70</v>
      </c>
      <c r="E825" s="9">
        <v>1</v>
      </c>
      <c r="F825" s="10">
        <v>38</v>
      </c>
      <c r="G825" s="11">
        <v>0</v>
      </c>
      <c r="H825" s="10">
        <v>38</v>
      </c>
      <c r="I825" s="9">
        <v>0</v>
      </c>
      <c r="J825" s="10">
        <v>0</v>
      </c>
      <c r="K825" s="9">
        <v>1</v>
      </c>
      <c r="L825" s="10">
        <v>38</v>
      </c>
      <c r="M825" s="10">
        <v>30.77</v>
      </c>
      <c r="N825" s="10">
        <v>7.23</v>
      </c>
      <c r="O825" s="11">
        <f t="shared" si="50"/>
        <v>0.19026315789473686</v>
      </c>
      <c r="P825" s="10">
        <v>2.82</v>
      </c>
      <c r="Q825" s="10">
        <v>4.41</v>
      </c>
      <c r="R825" s="11">
        <f t="shared" si="51"/>
        <v>0.11605263157894737</v>
      </c>
      <c r="S825" t="s">
        <v>59</v>
      </c>
      <c r="T825" t="s">
        <v>60</v>
      </c>
      <c r="U825" t="s">
        <v>67</v>
      </c>
    </row>
    <row r="826" spans="1:21" x14ac:dyDescent="0.35">
      <c r="A826" t="s">
        <v>951</v>
      </c>
      <c r="B826" s="5">
        <v>45834</v>
      </c>
      <c r="C826" t="s">
        <v>95</v>
      </c>
      <c r="D826" t="s">
        <v>64</v>
      </c>
      <c r="E826" s="9">
        <v>2</v>
      </c>
      <c r="F826" s="10">
        <v>52</v>
      </c>
      <c r="G826" s="11">
        <v>0</v>
      </c>
      <c r="H826" s="10">
        <v>104</v>
      </c>
      <c r="I826" s="9">
        <v>0</v>
      </c>
      <c r="J826" s="10">
        <v>0</v>
      </c>
      <c r="K826" s="9">
        <v>2</v>
      </c>
      <c r="L826" s="10">
        <v>104</v>
      </c>
      <c r="M826" s="10">
        <v>70.77</v>
      </c>
      <c r="N826" s="10">
        <v>33.229999999999997</v>
      </c>
      <c r="O826" s="11">
        <f t="shared" si="50"/>
        <v>0.31951923076923072</v>
      </c>
      <c r="P826" s="10">
        <v>10.039999999999999</v>
      </c>
      <c r="Q826" s="10">
        <v>23.19</v>
      </c>
      <c r="R826" s="11">
        <f t="shared" si="51"/>
        <v>0.22298076923076923</v>
      </c>
      <c r="S826" t="s">
        <v>75</v>
      </c>
      <c r="T826" t="s">
        <v>66</v>
      </c>
      <c r="U826" t="s">
        <v>76</v>
      </c>
    </row>
    <row r="827" spans="1:21" x14ac:dyDescent="0.35">
      <c r="A827" t="s">
        <v>952</v>
      </c>
      <c r="B827" s="5">
        <v>46013</v>
      </c>
      <c r="C827" t="s">
        <v>104</v>
      </c>
      <c r="D827" t="s">
        <v>105</v>
      </c>
      <c r="E827" s="9">
        <v>1</v>
      </c>
      <c r="F827" s="10">
        <v>65</v>
      </c>
      <c r="G827" s="11">
        <v>0</v>
      </c>
      <c r="H827" s="10">
        <v>65</v>
      </c>
      <c r="I827" s="9">
        <v>0</v>
      </c>
      <c r="J827" s="10">
        <v>0</v>
      </c>
      <c r="K827" s="9">
        <v>1</v>
      </c>
      <c r="L827" s="10">
        <v>65</v>
      </c>
      <c r="M827" s="10">
        <v>47.71</v>
      </c>
      <c r="N827" s="10">
        <v>17.29</v>
      </c>
      <c r="O827" s="11">
        <f t="shared" si="50"/>
        <v>0.26600000000000001</v>
      </c>
      <c r="P827" s="10">
        <v>7.51</v>
      </c>
      <c r="Q827" s="10">
        <v>9.7799999999999994</v>
      </c>
      <c r="R827" s="11">
        <f t="shared" si="51"/>
        <v>0.15046153846153845</v>
      </c>
      <c r="S827" t="s">
        <v>65</v>
      </c>
      <c r="T827" t="s">
        <v>86</v>
      </c>
      <c r="U827" t="s">
        <v>76</v>
      </c>
    </row>
    <row r="828" spans="1:21" x14ac:dyDescent="0.35">
      <c r="A828" t="s">
        <v>953</v>
      </c>
      <c r="B828" s="5">
        <v>45736</v>
      </c>
      <c r="C828" t="s">
        <v>90</v>
      </c>
      <c r="D828" t="s">
        <v>70</v>
      </c>
      <c r="E828" s="9">
        <v>1</v>
      </c>
      <c r="F828" s="10">
        <v>38</v>
      </c>
      <c r="G828" s="11">
        <v>0.02</v>
      </c>
      <c r="H828" s="10">
        <v>37.24</v>
      </c>
      <c r="I828" s="9">
        <v>0</v>
      </c>
      <c r="J828" s="10">
        <v>0</v>
      </c>
      <c r="K828" s="9">
        <v>1</v>
      </c>
      <c r="L828" s="10">
        <v>37.24</v>
      </c>
      <c r="M828" s="10">
        <v>27.83</v>
      </c>
      <c r="N828" s="10">
        <v>9.41</v>
      </c>
      <c r="O828" s="11">
        <f t="shared" si="50"/>
        <v>0.25268528464017187</v>
      </c>
      <c r="P828" s="10">
        <v>3.62</v>
      </c>
      <c r="Q828" s="10">
        <v>5.79</v>
      </c>
      <c r="R828" s="11">
        <f t="shared" si="51"/>
        <v>0.15547798066595059</v>
      </c>
      <c r="S828" t="s">
        <v>81</v>
      </c>
      <c r="T828" t="s">
        <v>86</v>
      </c>
      <c r="U828" t="s">
        <v>76</v>
      </c>
    </row>
    <row r="829" spans="1:21" x14ac:dyDescent="0.35">
      <c r="A829" t="s">
        <v>954</v>
      </c>
      <c r="B829" s="5">
        <v>45861</v>
      </c>
      <c r="C829" t="s">
        <v>117</v>
      </c>
      <c r="D829" t="s">
        <v>74</v>
      </c>
      <c r="E829" s="9">
        <v>3</v>
      </c>
      <c r="F829" s="10">
        <v>95</v>
      </c>
      <c r="G829" s="11">
        <v>0.02</v>
      </c>
      <c r="H829" s="10">
        <v>279.3</v>
      </c>
      <c r="I829" s="9">
        <v>0</v>
      </c>
      <c r="J829" s="10">
        <v>0</v>
      </c>
      <c r="K829" s="9">
        <v>3</v>
      </c>
      <c r="L829" s="10">
        <v>279.3</v>
      </c>
      <c r="M829" s="10">
        <v>225.42</v>
      </c>
      <c r="N829" s="10">
        <v>53.88</v>
      </c>
      <c r="O829" s="11">
        <f t="shared" si="50"/>
        <v>0.19291084854994631</v>
      </c>
      <c r="P829" s="10">
        <v>35.700000000000003</v>
      </c>
      <c r="Q829" s="10">
        <v>18.18</v>
      </c>
      <c r="R829" s="11">
        <f t="shared" si="51"/>
        <v>6.5091299677765835E-2</v>
      </c>
      <c r="S829" t="s">
        <v>81</v>
      </c>
      <c r="T829" t="s">
        <v>60</v>
      </c>
      <c r="U829" t="s">
        <v>61</v>
      </c>
    </row>
    <row r="830" spans="1:21" x14ac:dyDescent="0.35">
      <c r="A830" t="s">
        <v>955</v>
      </c>
      <c r="B830" s="5">
        <v>45971</v>
      </c>
      <c r="C830" t="s">
        <v>84</v>
      </c>
      <c r="D830" t="s">
        <v>85</v>
      </c>
      <c r="E830" s="9">
        <v>4</v>
      </c>
      <c r="F830" s="10">
        <v>48</v>
      </c>
      <c r="G830" s="11">
        <v>0</v>
      </c>
      <c r="H830" s="10">
        <v>192</v>
      </c>
      <c r="I830" s="9">
        <v>0</v>
      </c>
      <c r="J830" s="10">
        <v>0</v>
      </c>
      <c r="K830" s="9">
        <v>4</v>
      </c>
      <c r="L830" s="10">
        <v>192</v>
      </c>
      <c r="M830" s="10">
        <v>156.72</v>
      </c>
      <c r="N830" s="10">
        <v>35.28</v>
      </c>
      <c r="O830" s="11">
        <f t="shared" si="50"/>
        <v>0.18375</v>
      </c>
      <c r="P830" s="10">
        <v>23.88</v>
      </c>
      <c r="Q830" s="10">
        <v>11.4</v>
      </c>
      <c r="R830" s="11">
        <f t="shared" si="51"/>
        <v>5.9375000000000004E-2</v>
      </c>
      <c r="S830" t="s">
        <v>65</v>
      </c>
      <c r="T830" t="s">
        <v>86</v>
      </c>
      <c r="U830" t="s">
        <v>67</v>
      </c>
    </row>
    <row r="831" spans="1:21" x14ac:dyDescent="0.35">
      <c r="A831" t="s">
        <v>956</v>
      </c>
      <c r="B831" s="5">
        <v>45713</v>
      </c>
      <c r="C831" t="s">
        <v>97</v>
      </c>
      <c r="D831" t="s">
        <v>57</v>
      </c>
      <c r="E831" s="9">
        <v>2</v>
      </c>
      <c r="F831" s="10">
        <v>55</v>
      </c>
      <c r="G831" s="11">
        <v>0.02</v>
      </c>
      <c r="H831" s="10">
        <v>107.8</v>
      </c>
      <c r="I831" s="9">
        <v>0</v>
      </c>
      <c r="J831" s="10">
        <v>0</v>
      </c>
      <c r="K831" s="9">
        <v>2</v>
      </c>
      <c r="L831" s="10">
        <v>107.8</v>
      </c>
      <c r="M831" s="10">
        <v>72.7</v>
      </c>
      <c r="N831" s="10">
        <v>35.1</v>
      </c>
      <c r="O831" s="11">
        <f t="shared" si="50"/>
        <v>0.32560296846011133</v>
      </c>
      <c r="P831" s="10">
        <v>11.4</v>
      </c>
      <c r="Q831" s="10">
        <v>23.7</v>
      </c>
      <c r="R831" s="11">
        <f t="shared" si="51"/>
        <v>0.21985157699443414</v>
      </c>
      <c r="S831" t="s">
        <v>59</v>
      </c>
      <c r="T831" t="s">
        <v>60</v>
      </c>
      <c r="U831" t="s">
        <v>76</v>
      </c>
    </row>
    <row r="832" spans="1:21" x14ac:dyDescent="0.35">
      <c r="A832" t="s">
        <v>957</v>
      </c>
      <c r="B832" s="5">
        <v>45739</v>
      </c>
      <c r="C832" t="s">
        <v>90</v>
      </c>
      <c r="D832" t="s">
        <v>70</v>
      </c>
      <c r="E832" s="9">
        <v>6</v>
      </c>
      <c r="F832" s="10">
        <v>38</v>
      </c>
      <c r="G832" s="11">
        <v>0.1</v>
      </c>
      <c r="H832" s="10">
        <v>205.2</v>
      </c>
      <c r="I832" s="9">
        <v>0</v>
      </c>
      <c r="J832" s="10">
        <v>0</v>
      </c>
      <c r="K832" s="9">
        <v>6</v>
      </c>
      <c r="L832" s="10">
        <v>205.2</v>
      </c>
      <c r="M832" s="10">
        <v>160.99</v>
      </c>
      <c r="N832" s="10">
        <v>44.21</v>
      </c>
      <c r="O832" s="11">
        <f t="shared" si="50"/>
        <v>0.21544834307992206</v>
      </c>
      <c r="P832" s="10">
        <v>11.72</v>
      </c>
      <c r="Q832" s="10">
        <v>32.49</v>
      </c>
      <c r="R832" s="11">
        <f t="shared" si="51"/>
        <v>0.15833333333333335</v>
      </c>
      <c r="S832" t="s">
        <v>65</v>
      </c>
      <c r="T832" t="s">
        <v>66</v>
      </c>
      <c r="U832" t="s">
        <v>61</v>
      </c>
    </row>
    <row r="833" spans="1:21" x14ac:dyDescent="0.35">
      <c r="A833" t="s">
        <v>958</v>
      </c>
      <c r="B833" s="5">
        <v>45722</v>
      </c>
      <c r="C833" t="s">
        <v>100</v>
      </c>
      <c r="D833" t="s">
        <v>64</v>
      </c>
      <c r="E833" s="9">
        <v>2</v>
      </c>
      <c r="F833" s="10">
        <v>310</v>
      </c>
      <c r="G833" s="11">
        <v>0</v>
      </c>
      <c r="H833" s="10">
        <v>620</v>
      </c>
      <c r="I833" s="9">
        <v>0</v>
      </c>
      <c r="J833" s="10">
        <v>0</v>
      </c>
      <c r="K833" s="9">
        <v>2</v>
      </c>
      <c r="L833" s="10">
        <v>620</v>
      </c>
      <c r="M833" s="10">
        <v>421.78</v>
      </c>
      <c r="N833" s="10">
        <v>198.22</v>
      </c>
      <c r="O833" s="11">
        <f t="shared" si="50"/>
        <v>0.31970967741935485</v>
      </c>
      <c r="P833" s="10">
        <v>37.69</v>
      </c>
      <c r="Q833" s="10">
        <v>160.53</v>
      </c>
      <c r="R833" s="11">
        <f t="shared" si="51"/>
        <v>0.2589193548387097</v>
      </c>
      <c r="S833" t="s">
        <v>81</v>
      </c>
      <c r="T833" t="s">
        <v>86</v>
      </c>
      <c r="U833" t="s">
        <v>67</v>
      </c>
    </row>
    <row r="834" spans="1:21" x14ac:dyDescent="0.35">
      <c r="A834" t="s">
        <v>959</v>
      </c>
      <c r="B834" s="5">
        <v>45935</v>
      </c>
      <c r="C834" t="s">
        <v>92</v>
      </c>
      <c r="D834" t="s">
        <v>79</v>
      </c>
      <c r="E834" s="9">
        <v>2</v>
      </c>
      <c r="F834" s="10">
        <v>85</v>
      </c>
      <c r="G834" s="11">
        <v>0.05</v>
      </c>
      <c r="H834" s="10">
        <v>161.5</v>
      </c>
      <c r="I834" s="9">
        <v>0</v>
      </c>
      <c r="J834" s="10">
        <v>0</v>
      </c>
      <c r="K834" s="9">
        <v>2</v>
      </c>
      <c r="L834" s="10">
        <v>161.5</v>
      </c>
      <c r="M834" s="10">
        <v>134.76</v>
      </c>
      <c r="N834" s="10">
        <v>26.74</v>
      </c>
      <c r="O834" s="11">
        <f t="shared" si="50"/>
        <v>0.16557275541795666</v>
      </c>
      <c r="P834" s="10">
        <v>12.36</v>
      </c>
      <c r="Q834" s="10">
        <v>14.38</v>
      </c>
      <c r="R834" s="11">
        <f t="shared" si="51"/>
        <v>8.9040247678018575E-2</v>
      </c>
      <c r="S834" t="s">
        <v>65</v>
      </c>
      <c r="T834" t="s">
        <v>82</v>
      </c>
      <c r="U834" t="s">
        <v>67</v>
      </c>
    </row>
    <row r="835" spans="1:21" x14ac:dyDescent="0.35">
      <c r="A835" t="s">
        <v>960</v>
      </c>
      <c r="B835" s="5">
        <v>45865</v>
      </c>
      <c r="C835" t="s">
        <v>114</v>
      </c>
      <c r="D835" t="s">
        <v>64</v>
      </c>
      <c r="E835" s="9">
        <v>4</v>
      </c>
      <c r="F835" s="10">
        <v>420</v>
      </c>
      <c r="G835" s="11">
        <v>0.1</v>
      </c>
      <c r="H835" s="10">
        <v>1512</v>
      </c>
      <c r="I835" s="9">
        <v>0</v>
      </c>
      <c r="J835" s="10">
        <v>0</v>
      </c>
      <c r="K835" s="9">
        <v>4</v>
      </c>
      <c r="L835" s="10">
        <v>1512</v>
      </c>
      <c r="M835" s="10">
        <v>952.55</v>
      </c>
      <c r="N835" s="10">
        <v>559.45000000000005</v>
      </c>
      <c r="O835" s="11">
        <f t="shared" ref="O835:O866" si="52">N835/L835</f>
        <v>0.37000661375661381</v>
      </c>
      <c r="P835" s="10">
        <v>144.71</v>
      </c>
      <c r="Q835" s="10">
        <v>414.74</v>
      </c>
      <c r="R835" s="11">
        <f t="shared" ref="R835:R866" si="53">Q835/L835</f>
        <v>0.27429894179894182</v>
      </c>
      <c r="S835" t="s">
        <v>65</v>
      </c>
      <c r="T835" t="s">
        <v>66</v>
      </c>
      <c r="U835" t="s">
        <v>61</v>
      </c>
    </row>
    <row r="836" spans="1:21" x14ac:dyDescent="0.35">
      <c r="A836" t="s">
        <v>961</v>
      </c>
      <c r="B836" s="5">
        <v>45822</v>
      </c>
      <c r="C836" t="s">
        <v>100</v>
      </c>
      <c r="D836" t="s">
        <v>64</v>
      </c>
      <c r="E836" s="9">
        <v>3</v>
      </c>
      <c r="F836" s="10">
        <v>310</v>
      </c>
      <c r="G836" s="11">
        <v>0.02</v>
      </c>
      <c r="H836" s="10">
        <v>911.4</v>
      </c>
      <c r="I836" s="9">
        <v>0</v>
      </c>
      <c r="J836" s="10">
        <v>0</v>
      </c>
      <c r="K836" s="9">
        <v>3</v>
      </c>
      <c r="L836" s="10">
        <v>911.4</v>
      </c>
      <c r="M836" s="10">
        <v>616.07000000000005</v>
      </c>
      <c r="N836" s="10">
        <v>295.33</v>
      </c>
      <c r="O836" s="11">
        <f t="shared" si="52"/>
        <v>0.32403993855606755</v>
      </c>
      <c r="P836" s="10">
        <v>68.13</v>
      </c>
      <c r="Q836" s="10">
        <v>227.2</v>
      </c>
      <c r="R836" s="11">
        <f t="shared" si="53"/>
        <v>0.24928681149879306</v>
      </c>
      <c r="S836" t="s">
        <v>75</v>
      </c>
      <c r="T836" t="s">
        <v>82</v>
      </c>
      <c r="U836" t="s">
        <v>71</v>
      </c>
    </row>
    <row r="837" spans="1:21" x14ac:dyDescent="0.35">
      <c r="A837" t="s">
        <v>962</v>
      </c>
      <c r="B837" s="5">
        <v>45861</v>
      </c>
      <c r="C837" t="s">
        <v>56</v>
      </c>
      <c r="D837" t="s">
        <v>57</v>
      </c>
      <c r="E837" s="9">
        <v>2</v>
      </c>
      <c r="F837" s="10">
        <v>40</v>
      </c>
      <c r="G837" s="11">
        <v>0.02</v>
      </c>
      <c r="H837" s="10">
        <v>78.400000000000006</v>
      </c>
      <c r="I837" s="9">
        <v>0</v>
      </c>
      <c r="J837" s="10">
        <v>0</v>
      </c>
      <c r="K837" s="9">
        <v>2</v>
      </c>
      <c r="L837" s="10">
        <v>78.400000000000006</v>
      </c>
      <c r="M837" s="10">
        <v>52.52</v>
      </c>
      <c r="N837" s="10">
        <v>25.88</v>
      </c>
      <c r="O837" s="11">
        <f t="shared" si="52"/>
        <v>0.33010204081632649</v>
      </c>
      <c r="P837" s="10">
        <v>8.9600000000000009</v>
      </c>
      <c r="Q837" s="10">
        <v>16.920000000000002</v>
      </c>
      <c r="R837" s="11">
        <f t="shared" si="53"/>
        <v>0.21581632653061225</v>
      </c>
      <c r="S837" t="s">
        <v>59</v>
      </c>
      <c r="T837" t="s">
        <v>82</v>
      </c>
      <c r="U837" t="s">
        <v>71</v>
      </c>
    </row>
    <row r="838" spans="1:21" x14ac:dyDescent="0.35">
      <c r="A838" t="s">
        <v>963</v>
      </c>
      <c r="B838" s="5">
        <v>45815</v>
      </c>
      <c r="C838" t="s">
        <v>84</v>
      </c>
      <c r="D838" t="s">
        <v>85</v>
      </c>
      <c r="E838" s="9">
        <v>4</v>
      </c>
      <c r="F838" s="10">
        <v>48</v>
      </c>
      <c r="G838" s="11">
        <v>0.02</v>
      </c>
      <c r="H838" s="10">
        <v>188.16</v>
      </c>
      <c r="I838" s="9">
        <v>0</v>
      </c>
      <c r="J838" s="10">
        <v>0</v>
      </c>
      <c r="K838" s="9">
        <v>4</v>
      </c>
      <c r="L838" s="10">
        <v>188.16</v>
      </c>
      <c r="M838" s="10">
        <v>132.71</v>
      </c>
      <c r="N838" s="10">
        <v>55.45</v>
      </c>
      <c r="O838" s="11">
        <f t="shared" si="52"/>
        <v>0.29469600340136054</v>
      </c>
      <c r="P838" s="10">
        <v>13.84</v>
      </c>
      <c r="Q838" s="10">
        <v>41.61</v>
      </c>
      <c r="R838" s="11">
        <f t="shared" si="53"/>
        <v>0.22114158163265307</v>
      </c>
      <c r="S838" t="s">
        <v>2133</v>
      </c>
      <c r="T838" t="s">
        <v>60</v>
      </c>
      <c r="U838" t="s">
        <v>76</v>
      </c>
    </row>
    <row r="839" spans="1:21" x14ac:dyDescent="0.35">
      <c r="A839" t="s">
        <v>964</v>
      </c>
      <c r="B839" s="5">
        <v>46013</v>
      </c>
      <c r="C839" t="s">
        <v>104</v>
      </c>
      <c r="D839" t="s">
        <v>105</v>
      </c>
      <c r="E839" s="9">
        <v>2</v>
      </c>
      <c r="F839" s="10">
        <v>65</v>
      </c>
      <c r="G839" s="11">
        <v>0</v>
      </c>
      <c r="H839" s="10">
        <v>130</v>
      </c>
      <c r="I839" s="9">
        <v>0</v>
      </c>
      <c r="J839" s="10">
        <v>0</v>
      </c>
      <c r="K839" s="9">
        <v>2</v>
      </c>
      <c r="L839" s="10">
        <v>130</v>
      </c>
      <c r="M839" s="10">
        <v>107.16</v>
      </c>
      <c r="N839" s="10">
        <v>22.84</v>
      </c>
      <c r="O839" s="11">
        <f t="shared" si="52"/>
        <v>0.1756923076923077</v>
      </c>
      <c r="P839" s="10">
        <v>9.2799999999999994</v>
      </c>
      <c r="Q839" s="10">
        <v>13.56</v>
      </c>
      <c r="R839" s="11">
        <f t="shared" si="53"/>
        <v>0.10430769230769231</v>
      </c>
      <c r="S839" t="s">
        <v>65</v>
      </c>
      <c r="T839" t="s">
        <v>86</v>
      </c>
      <c r="U839" t="s">
        <v>67</v>
      </c>
    </row>
    <row r="840" spans="1:21" x14ac:dyDescent="0.35">
      <c r="A840" t="s">
        <v>965</v>
      </c>
      <c r="B840" s="5">
        <v>45791</v>
      </c>
      <c r="C840" t="s">
        <v>63</v>
      </c>
      <c r="D840" t="s">
        <v>64</v>
      </c>
      <c r="E840" s="9">
        <v>3</v>
      </c>
      <c r="F840" s="10">
        <v>145</v>
      </c>
      <c r="G840" s="11">
        <v>0</v>
      </c>
      <c r="H840" s="10">
        <v>435</v>
      </c>
      <c r="I840" s="9">
        <v>0</v>
      </c>
      <c r="J840" s="10">
        <v>0</v>
      </c>
      <c r="K840" s="9">
        <v>3</v>
      </c>
      <c r="L840" s="10">
        <v>435</v>
      </c>
      <c r="M840" s="10">
        <v>292.49</v>
      </c>
      <c r="N840" s="10">
        <v>142.51</v>
      </c>
      <c r="O840" s="11">
        <f t="shared" si="52"/>
        <v>0.32760919540229883</v>
      </c>
      <c r="P840" s="10">
        <v>22.19</v>
      </c>
      <c r="Q840" s="10">
        <v>120.32</v>
      </c>
      <c r="R840" s="11">
        <f t="shared" si="53"/>
        <v>0.27659770114942528</v>
      </c>
      <c r="S840" t="s">
        <v>59</v>
      </c>
      <c r="T840" t="s">
        <v>86</v>
      </c>
      <c r="U840" t="s">
        <v>71</v>
      </c>
    </row>
    <row r="841" spans="1:21" x14ac:dyDescent="0.35">
      <c r="A841" t="s">
        <v>966</v>
      </c>
      <c r="B841" s="5">
        <v>45822</v>
      </c>
      <c r="C841" t="s">
        <v>73</v>
      </c>
      <c r="D841" t="s">
        <v>74</v>
      </c>
      <c r="E841" s="9">
        <v>2</v>
      </c>
      <c r="F841" s="10">
        <v>280</v>
      </c>
      <c r="G841" s="11">
        <v>0</v>
      </c>
      <c r="H841" s="10">
        <v>560</v>
      </c>
      <c r="I841" s="9">
        <v>0</v>
      </c>
      <c r="J841" s="10">
        <v>0</v>
      </c>
      <c r="K841" s="9">
        <v>2</v>
      </c>
      <c r="L841" s="10">
        <v>560</v>
      </c>
      <c r="M841" s="10">
        <v>450.99</v>
      </c>
      <c r="N841" s="10">
        <v>109.01</v>
      </c>
      <c r="O841" s="11">
        <f t="shared" si="52"/>
        <v>0.1946607142857143</v>
      </c>
      <c r="P841" s="10">
        <v>65.08</v>
      </c>
      <c r="Q841" s="10">
        <v>43.93</v>
      </c>
      <c r="R841" s="11">
        <f t="shared" si="53"/>
        <v>7.844642857142857E-2</v>
      </c>
      <c r="S841" t="s">
        <v>75</v>
      </c>
      <c r="T841" t="s">
        <v>66</v>
      </c>
      <c r="U841" t="s">
        <v>61</v>
      </c>
    </row>
    <row r="842" spans="1:21" x14ac:dyDescent="0.35">
      <c r="A842" t="s">
        <v>967</v>
      </c>
      <c r="B842" s="5">
        <v>45859</v>
      </c>
      <c r="C842" t="s">
        <v>88</v>
      </c>
      <c r="D842" t="s">
        <v>57</v>
      </c>
      <c r="E842" s="9">
        <v>1</v>
      </c>
      <c r="F842" s="10">
        <v>30</v>
      </c>
      <c r="G842" s="11">
        <v>0.15</v>
      </c>
      <c r="H842" s="10">
        <v>25.5</v>
      </c>
      <c r="I842" s="9">
        <v>0</v>
      </c>
      <c r="J842" s="10">
        <v>0</v>
      </c>
      <c r="K842" s="9">
        <v>1</v>
      </c>
      <c r="L842" s="10">
        <v>25.5</v>
      </c>
      <c r="M842" s="10">
        <v>20.75</v>
      </c>
      <c r="N842" s="10">
        <v>4.75</v>
      </c>
      <c r="O842" s="11">
        <f t="shared" si="52"/>
        <v>0.18627450980392157</v>
      </c>
      <c r="P842" s="10">
        <v>1.73</v>
      </c>
      <c r="Q842" s="10">
        <v>3.02</v>
      </c>
      <c r="R842" s="11">
        <f t="shared" si="53"/>
        <v>0.11843137254901961</v>
      </c>
      <c r="S842" t="s">
        <v>65</v>
      </c>
      <c r="T842" t="s">
        <v>86</v>
      </c>
      <c r="U842" t="s">
        <v>61</v>
      </c>
    </row>
    <row r="843" spans="1:21" x14ac:dyDescent="0.35">
      <c r="A843" t="s">
        <v>968</v>
      </c>
      <c r="B843" s="5">
        <v>45690</v>
      </c>
      <c r="C843" t="s">
        <v>125</v>
      </c>
      <c r="D843" t="s">
        <v>85</v>
      </c>
      <c r="E843" s="9">
        <v>3</v>
      </c>
      <c r="F843" s="10">
        <v>125</v>
      </c>
      <c r="G843" s="11">
        <v>0.1</v>
      </c>
      <c r="H843" s="10">
        <v>337.5</v>
      </c>
      <c r="I843" s="9">
        <v>0</v>
      </c>
      <c r="J843" s="10">
        <v>0</v>
      </c>
      <c r="K843" s="9">
        <v>3</v>
      </c>
      <c r="L843" s="10">
        <v>337.5</v>
      </c>
      <c r="M843" s="10">
        <v>209.56</v>
      </c>
      <c r="N843" s="10">
        <v>127.94</v>
      </c>
      <c r="O843" s="11">
        <f t="shared" si="52"/>
        <v>0.37908148148148146</v>
      </c>
      <c r="P843" s="10">
        <v>42.21</v>
      </c>
      <c r="Q843" s="10">
        <v>85.73</v>
      </c>
      <c r="R843" s="11">
        <f t="shared" si="53"/>
        <v>0.2540148148148148</v>
      </c>
      <c r="S843" t="s">
        <v>81</v>
      </c>
      <c r="T843" t="s">
        <v>60</v>
      </c>
      <c r="U843" t="s">
        <v>67</v>
      </c>
    </row>
    <row r="844" spans="1:21" x14ac:dyDescent="0.35">
      <c r="A844" t="s">
        <v>969</v>
      </c>
      <c r="B844" s="5">
        <v>45928</v>
      </c>
      <c r="C844" t="s">
        <v>95</v>
      </c>
      <c r="D844" t="s">
        <v>64</v>
      </c>
      <c r="E844" s="9">
        <v>6</v>
      </c>
      <c r="F844" s="10">
        <v>52</v>
      </c>
      <c r="G844" s="11">
        <v>0</v>
      </c>
      <c r="H844" s="10">
        <v>312</v>
      </c>
      <c r="I844" s="9">
        <v>0</v>
      </c>
      <c r="J844" s="10">
        <v>0</v>
      </c>
      <c r="K844" s="9">
        <v>6</v>
      </c>
      <c r="L844" s="10">
        <v>312</v>
      </c>
      <c r="M844" s="10">
        <v>267.91000000000003</v>
      </c>
      <c r="N844" s="10">
        <v>44.09</v>
      </c>
      <c r="O844" s="11">
        <f t="shared" si="52"/>
        <v>0.14131410256410257</v>
      </c>
      <c r="P844" s="10">
        <v>17.45</v>
      </c>
      <c r="Q844" s="10">
        <v>26.64</v>
      </c>
      <c r="R844" s="11">
        <f t="shared" si="53"/>
        <v>8.5384615384615392E-2</v>
      </c>
      <c r="S844" t="s">
        <v>59</v>
      </c>
      <c r="T844" t="s">
        <v>66</v>
      </c>
      <c r="U844" t="s">
        <v>67</v>
      </c>
    </row>
    <row r="845" spans="1:21" x14ac:dyDescent="0.35">
      <c r="A845" t="s">
        <v>970</v>
      </c>
      <c r="B845" s="5">
        <v>45762</v>
      </c>
      <c r="C845" t="s">
        <v>97</v>
      </c>
      <c r="D845" t="s">
        <v>57</v>
      </c>
      <c r="E845" s="9">
        <v>1</v>
      </c>
      <c r="F845" s="10">
        <v>55</v>
      </c>
      <c r="G845" s="11">
        <v>0</v>
      </c>
      <c r="H845" s="10">
        <v>55</v>
      </c>
      <c r="I845" s="9">
        <v>0</v>
      </c>
      <c r="J845" s="10">
        <v>0</v>
      </c>
      <c r="K845" s="9">
        <v>1</v>
      </c>
      <c r="L845" s="10">
        <v>55</v>
      </c>
      <c r="M845" s="10">
        <v>41.85</v>
      </c>
      <c r="N845" s="10">
        <v>13.15</v>
      </c>
      <c r="O845" s="11">
        <f t="shared" si="52"/>
        <v>0.2390909090909091</v>
      </c>
      <c r="P845" s="10">
        <v>6.99</v>
      </c>
      <c r="Q845" s="10">
        <v>6.16</v>
      </c>
      <c r="R845" s="11">
        <f t="shared" si="53"/>
        <v>0.112</v>
      </c>
      <c r="S845" t="s">
        <v>81</v>
      </c>
      <c r="T845" t="s">
        <v>60</v>
      </c>
      <c r="U845" t="s">
        <v>71</v>
      </c>
    </row>
    <row r="846" spans="1:21" x14ac:dyDescent="0.35">
      <c r="A846" t="s">
        <v>971</v>
      </c>
      <c r="B846" s="5">
        <v>45826</v>
      </c>
      <c r="C846" t="s">
        <v>97</v>
      </c>
      <c r="D846" t="s">
        <v>57</v>
      </c>
      <c r="E846" s="9">
        <v>2</v>
      </c>
      <c r="F846" s="10">
        <v>55</v>
      </c>
      <c r="G846" s="11">
        <v>0</v>
      </c>
      <c r="H846" s="10">
        <v>110</v>
      </c>
      <c r="I846" s="9">
        <v>0</v>
      </c>
      <c r="J846" s="10">
        <v>0</v>
      </c>
      <c r="K846" s="9">
        <v>2</v>
      </c>
      <c r="L846" s="10">
        <v>110</v>
      </c>
      <c r="M846" s="10">
        <v>72.42</v>
      </c>
      <c r="N846" s="10">
        <v>37.58</v>
      </c>
      <c r="O846" s="11">
        <f t="shared" si="52"/>
        <v>0.34163636363636363</v>
      </c>
      <c r="P846" s="10">
        <v>8.01</v>
      </c>
      <c r="Q846" s="10">
        <v>29.57</v>
      </c>
      <c r="R846" s="11">
        <f t="shared" si="53"/>
        <v>0.26881818181818184</v>
      </c>
      <c r="S846" t="s">
        <v>81</v>
      </c>
      <c r="T846" t="s">
        <v>66</v>
      </c>
      <c r="U846" t="s">
        <v>71</v>
      </c>
    </row>
    <row r="847" spans="1:21" x14ac:dyDescent="0.35">
      <c r="A847" t="s">
        <v>972</v>
      </c>
      <c r="B847" s="5">
        <v>45853</v>
      </c>
      <c r="C847" t="s">
        <v>121</v>
      </c>
      <c r="D847" t="s">
        <v>70</v>
      </c>
      <c r="E847" s="9">
        <v>3</v>
      </c>
      <c r="F847" s="10">
        <v>110</v>
      </c>
      <c r="G847" s="11">
        <v>0.02</v>
      </c>
      <c r="H847" s="10">
        <v>323.39999999999998</v>
      </c>
      <c r="I847" s="9">
        <v>0</v>
      </c>
      <c r="J847" s="10">
        <v>0</v>
      </c>
      <c r="K847" s="9">
        <v>3</v>
      </c>
      <c r="L847" s="10">
        <v>323.39999999999998</v>
      </c>
      <c r="M847" s="10">
        <v>221.02</v>
      </c>
      <c r="N847" s="10">
        <v>102.38</v>
      </c>
      <c r="O847" s="11">
        <f t="shared" si="52"/>
        <v>0.31657390228818799</v>
      </c>
      <c r="P847" s="10">
        <v>29.4</v>
      </c>
      <c r="Q847" s="10">
        <v>72.98</v>
      </c>
      <c r="R847" s="11">
        <f t="shared" si="53"/>
        <v>0.22566481137909711</v>
      </c>
      <c r="S847" t="s">
        <v>81</v>
      </c>
      <c r="T847" t="s">
        <v>86</v>
      </c>
      <c r="U847" t="s">
        <v>71</v>
      </c>
    </row>
    <row r="848" spans="1:21" x14ac:dyDescent="0.35">
      <c r="A848" t="s">
        <v>973</v>
      </c>
      <c r="B848" s="5">
        <v>45763</v>
      </c>
      <c r="C848" t="s">
        <v>69</v>
      </c>
      <c r="D848" t="s">
        <v>70</v>
      </c>
      <c r="E848" s="9">
        <v>2</v>
      </c>
      <c r="F848" s="10">
        <v>210</v>
      </c>
      <c r="G848" s="11">
        <v>0</v>
      </c>
      <c r="H848" s="10">
        <v>420</v>
      </c>
      <c r="I848" s="9">
        <v>0</v>
      </c>
      <c r="J848" s="10">
        <v>0</v>
      </c>
      <c r="K848" s="9">
        <v>2</v>
      </c>
      <c r="L848" s="10">
        <v>420</v>
      </c>
      <c r="M848" s="10">
        <v>334.67</v>
      </c>
      <c r="N848" s="10">
        <v>85.33</v>
      </c>
      <c r="O848" s="11">
        <f t="shared" si="52"/>
        <v>0.20316666666666666</v>
      </c>
      <c r="P848" s="10">
        <v>54.24</v>
      </c>
      <c r="Q848" s="10">
        <v>31.09</v>
      </c>
      <c r="R848" s="11">
        <f t="shared" si="53"/>
        <v>7.402380952380952E-2</v>
      </c>
      <c r="S848" t="s">
        <v>59</v>
      </c>
      <c r="T848" t="s">
        <v>82</v>
      </c>
      <c r="U848" t="s">
        <v>67</v>
      </c>
    </row>
    <row r="849" spans="1:21" x14ac:dyDescent="0.35">
      <c r="A849" t="s">
        <v>974</v>
      </c>
      <c r="B849" s="5">
        <v>45691</v>
      </c>
      <c r="C849" t="s">
        <v>56</v>
      </c>
      <c r="D849" t="s">
        <v>57</v>
      </c>
      <c r="E849" s="9">
        <v>3</v>
      </c>
      <c r="F849" s="10">
        <v>40</v>
      </c>
      <c r="G849" s="11">
        <v>0.02</v>
      </c>
      <c r="H849" s="10">
        <v>117.6</v>
      </c>
      <c r="I849" s="9">
        <v>0</v>
      </c>
      <c r="J849" s="10">
        <v>0</v>
      </c>
      <c r="K849" s="9">
        <v>3</v>
      </c>
      <c r="L849" s="10">
        <v>117.6</v>
      </c>
      <c r="M849" s="10">
        <v>80.66</v>
      </c>
      <c r="N849" s="10">
        <v>36.94</v>
      </c>
      <c r="O849" s="11">
        <f t="shared" si="52"/>
        <v>0.31411564625850341</v>
      </c>
      <c r="P849" s="10">
        <v>13.2</v>
      </c>
      <c r="Q849" s="10">
        <v>23.74</v>
      </c>
      <c r="R849" s="11">
        <f t="shared" si="53"/>
        <v>0.20187074829931972</v>
      </c>
      <c r="S849" t="s">
        <v>65</v>
      </c>
      <c r="T849" t="s">
        <v>82</v>
      </c>
      <c r="U849" t="s">
        <v>61</v>
      </c>
    </row>
    <row r="850" spans="1:21" x14ac:dyDescent="0.35">
      <c r="A850" t="s">
        <v>975</v>
      </c>
      <c r="B850" s="5">
        <v>45737</v>
      </c>
      <c r="C850" t="s">
        <v>114</v>
      </c>
      <c r="D850" t="s">
        <v>64</v>
      </c>
      <c r="E850" s="9">
        <v>3</v>
      </c>
      <c r="F850" s="10">
        <v>420</v>
      </c>
      <c r="G850" s="11">
        <v>0.05</v>
      </c>
      <c r="H850" s="10">
        <v>1197</v>
      </c>
      <c r="I850" s="9">
        <v>0</v>
      </c>
      <c r="J850" s="10">
        <v>0</v>
      </c>
      <c r="K850" s="9">
        <v>3</v>
      </c>
      <c r="L850" s="10">
        <v>1197</v>
      </c>
      <c r="M850" s="10">
        <v>829.33</v>
      </c>
      <c r="N850" s="10">
        <v>367.67</v>
      </c>
      <c r="O850" s="11">
        <f t="shared" si="52"/>
        <v>0.30715956558061824</v>
      </c>
      <c r="P850" s="10">
        <v>90.2</v>
      </c>
      <c r="Q850" s="10">
        <v>277.47000000000003</v>
      </c>
      <c r="R850" s="11">
        <f t="shared" si="53"/>
        <v>0.23180451127819551</v>
      </c>
      <c r="S850" t="s">
        <v>59</v>
      </c>
      <c r="T850" t="s">
        <v>66</v>
      </c>
      <c r="U850" t="s">
        <v>61</v>
      </c>
    </row>
    <row r="851" spans="1:21" x14ac:dyDescent="0.35">
      <c r="A851" t="s">
        <v>976</v>
      </c>
      <c r="B851" s="5">
        <v>45756</v>
      </c>
      <c r="C851" t="s">
        <v>117</v>
      </c>
      <c r="D851" t="s">
        <v>74</v>
      </c>
      <c r="E851" s="9">
        <v>1</v>
      </c>
      <c r="F851" s="10">
        <v>95</v>
      </c>
      <c r="G851" s="11">
        <v>0</v>
      </c>
      <c r="H851" s="10">
        <v>95</v>
      </c>
      <c r="I851" s="9">
        <v>0</v>
      </c>
      <c r="J851" s="10">
        <v>0</v>
      </c>
      <c r="K851" s="9">
        <v>1</v>
      </c>
      <c r="L851" s="10">
        <v>95</v>
      </c>
      <c r="M851" s="10">
        <v>61.15</v>
      </c>
      <c r="N851" s="10">
        <v>33.85</v>
      </c>
      <c r="O851" s="11">
        <f t="shared" si="52"/>
        <v>0.35631578947368425</v>
      </c>
      <c r="P851" s="10">
        <v>9.52</v>
      </c>
      <c r="Q851" s="10">
        <v>24.33</v>
      </c>
      <c r="R851" s="11">
        <f t="shared" si="53"/>
        <v>0.25610526315789472</v>
      </c>
      <c r="S851" t="s">
        <v>75</v>
      </c>
      <c r="T851" t="s">
        <v>60</v>
      </c>
      <c r="U851" t="s">
        <v>61</v>
      </c>
    </row>
    <row r="852" spans="1:21" x14ac:dyDescent="0.35">
      <c r="A852" t="s">
        <v>977</v>
      </c>
      <c r="B852" s="5">
        <v>45687</v>
      </c>
      <c r="C852" t="s">
        <v>107</v>
      </c>
      <c r="D852" t="s">
        <v>74</v>
      </c>
      <c r="E852" s="9">
        <v>4</v>
      </c>
      <c r="F852" s="10">
        <v>125</v>
      </c>
      <c r="G852" s="11">
        <v>0</v>
      </c>
      <c r="H852" s="10">
        <v>500</v>
      </c>
      <c r="I852" s="9">
        <v>0</v>
      </c>
      <c r="J852" s="10">
        <v>0</v>
      </c>
      <c r="K852" s="9">
        <v>4</v>
      </c>
      <c r="L852" s="10">
        <v>500</v>
      </c>
      <c r="M852" s="10">
        <v>350.04</v>
      </c>
      <c r="N852" s="10">
        <v>149.96</v>
      </c>
      <c r="O852" s="11">
        <f t="shared" si="52"/>
        <v>0.29992000000000002</v>
      </c>
      <c r="P852" s="10">
        <v>55.96</v>
      </c>
      <c r="Q852" s="10">
        <v>94</v>
      </c>
      <c r="R852" s="11">
        <f t="shared" si="53"/>
        <v>0.188</v>
      </c>
      <c r="S852" t="s">
        <v>2133</v>
      </c>
      <c r="T852" t="s">
        <v>66</v>
      </c>
      <c r="U852" t="s">
        <v>76</v>
      </c>
    </row>
    <row r="853" spans="1:21" x14ac:dyDescent="0.35">
      <c r="A853" t="s">
        <v>978</v>
      </c>
      <c r="B853" s="5">
        <v>45922</v>
      </c>
      <c r="C853" t="s">
        <v>104</v>
      </c>
      <c r="D853" t="s">
        <v>105</v>
      </c>
      <c r="E853" s="9">
        <v>5</v>
      </c>
      <c r="F853" s="10">
        <v>65</v>
      </c>
      <c r="G853" s="11">
        <v>0</v>
      </c>
      <c r="H853" s="10">
        <v>325</v>
      </c>
      <c r="I853" s="9">
        <v>0</v>
      </c>
      <c r="J853" s="10">
        <v>0</v>
      </c>
      <c r="K853" s="9">
        <v>5</v>
      </c>
      <c r="L853" s="10">
        <v>325</v>
      </c>
      <c r="M853" s="10">
        <v>205.77</v>
      </c>
      <c r="N853" s="10">
        <v>119.23</v>
      </c>
      <c r="O853" s="11">
        <f t="shared" si="52"/>
        <v>0.36686153846153846</v>
      </c>
      <c r="P853" s="10">
        <v>40.58</v>
      </c>
      <c r="Q853" s="10">
        <v>78.650000000000006</v>
      </c>
      <c r="R853" s="11">
        <f t="shared" si="53"/>
        <v>0.24200000000000002</v>
      </c>
      <c r="S853" t="s">
        <v>81</v>
      </c>
      <c r="T853" t="s">
        <v>60</v>
      </c>
      <c r="U853" t="s">
        <v>61</v>
      </c>
    </row>
    <row r="854" spans="1:21" x14ac:dyDescent="0.35">
      <c r="A854" t="s">
        <v>979</v>
      </c>
      <c r="B854" s="5">
        <v>45689</v>
      </c>
      <c r="C854" t="s">
        <v>84</v>
      </c>
      <c r="D854" t="s">
        <v>85</v>
      </c>
      <c r="E854" s="9">
        <v>8</v>
      </c>
      <c r="F854" s="10">
        <v>48</v>
      </c>
      <c r="G854" s="11">
        <v>0.05</v>
      </c>
      <c r="H854" s="10">
        <v>364.8</v>
      </c>
      <c r="I854" s="9">
        <v>0</v>
      </c>
      <c r="J854" s="10">
        <v>0</v>
      </c>
      <c r="K854" s="9">
        <v>8</v>
      </c>
      <c r="L854" s="10">
        <v>364.8</v>
      </c>
      <c r="M854" s="10">
        <v>291.64</v>
      </c>
      <c r="N854" s="10">
        <v>73.16</v>
      </c>
      <c r="O854" s="11">
        <f t="shared" si="52"/>
        <v>0.20054824561403506</v>
      </c>
      <c r="P854" s="10">
        <v>19.989999999999998</v>
      </c>
      <c r="Q854" s="10">
        <v>53.17</v>
      </c>
      <c r="R854" s="11">
        <f t="shared" si="53"/>
        <v>0.14575109649122808</v>
      </c>
      <c r="S854" t="s">
        <v>81</v>
      </c>
      <c r="T854" t="s">
        <v>86</v>
      </c>
      <c r="U854" t="s">
        <v>61</v>
      </c>
    </row>
    <row r="855" spans="1:21" x14ac:dyDescent="0.35">
      <c r="A855" t="s">
        <v>980</v>
      </c>
      <c r="B855" s="5">
        <v>45703</v>
      </c>
      <c r="C855" t="s">
        <v>114</v>
      </c>
      <c r="D855" t="s">
        <v>64</v>
      </c>
      <c r="E855" s="9">
        <v>2</v>
      </c>
      <c r="F855" s="10">
        <v>420</v>
      </c>
      <c r="G855" s="11">
        <v>0.1</v>
      </c>
      <c r="H855" s="10">
        <v>756</v>
      </c>
      <c r="I855" s="9">
        <v>0</v>
      </c>
      <c r="J855" s="10">
        <v>0</v>
      </c>
      <c r="K855" s="9">
        <v>2</v>
      </c>
      <c r="L855" s="10">
        <v>756</v>
      </c>
      <c r="M855" s="10">
        <v>484.87</v>
      </c>
      <c r="N855" s="10">
        <v>271.13</v>
      </c>
      <c r="O855" s="11">
        <f t="shared" si="52"/>
        <v>0.35863756613756614</v>
      </c>
      <c r="P855" s="10">
        <v>93.35</v>
      </c>
      <c r="Q855" s="10">
        <v>177.78</v>
      </c>
      <c r="R855" s="11">
        <f t="shared" si="53"/>
        <v>0.23515873015873015</v>
      </c>
      <c r="S855" t="s">
        <v>75</v>
      </c>
      <c r="T855" t="s">
        <v>82</v>
      </c>
      <c r="U855" t="s">
        <v>76</v>
      </c>
    </row>
    <row r="856" spans="1:21" x14ac:dyDescent="0.35">
      <c r="A856" t="s">
        <v>981</v>
      </c>
      <c r="B856" s="5">
        <v>45835</v>
      </c>
      <c r="C856" t="s">
        <v>73</v>
      </c>
      <c r="D856" t="s">
        <v>74</v>
      </c>
      <c r="E856" s="9">
        <v>1</v>
      </c>
      <c r="F856" s="10">
        <v>280</v>
      </c>
      <c r="G856" s="11">
        <v>0.02</v>
      </c>
      <c r="H856" s="10">
        <v>274.39999999999998</v>
      </c>
      <c r="I856" s="9">
        <v>0</v>
      </c>
      <c r="J856" s="10">
        <v>0</v>
      </c>
      <c r="K856" s="9">
        <v>1</v>
      </c>
      <c r="L856" s="10">
        <v>274.39999999999998</v>
      </c>
      <c r="M856" s="10">
        <v>189.15</v>
      </c>
      <c r="N856" s="10">
        <v>85.25</v>
      </c>
      <c r="O856" s="11">
        <f t="shared" si="52"/>
        <v>0.31067784256559772</v>
      </c>
      <c r="P856" s="10">
        <v>26.7</v>
      </c>
      <c r="Q856" s="10">
        <v>58.55</v>
      </c>
      <c r="R856" s="11">
        <f t="shared" si="53"/>
        <v>0.21337463556851313</v>
      </c>
      <c r="S856" t="s">
        <v>81</v>
      </c>
      <c r="T856" t="s">
        <v>82</v>
      </c>
      <c r="U856" t="s">
        <v>71</v>
      </c>
    </row>
    <row r="857" spans="1:21" x14ac:dyDescent="0.35">
      <c r="A857" t="s">
        <v>982</v>
      </c>
      <c r="B857" s="5">
        <v>45853</v>
      </c>
      <c r="C857" t="s">
        <v>97</v>
      </c>
      <c r="D857" t="s">
        <v>57</v>
      </c>
      <c r="E857" s="9">
        <v>2</v>
      </c>
      <c r="F857" s="10">
        <v>55</v>
      </c>
      <c r="G857" s="11">
        <v>0.05</v>
      </c>
      <c r="H857" s="10">
        <v>104.5</v>
      </c>
      <c r="I857" s="9">
        <v>0</v>
      </c>
      <c r="J857" s="10">
        <v>0</v>
      </c>
      <c r="K857" s="9">
        <v>2</v>
      </c>
      <c r="L857" s="10">
        <v>104.5</v>
      </c>
      <c r="M857" s="10">
        <v>72.56</v>
      </c>
      <c r="N857" s="10">
        <v>31.94</v>
      </c>
      <c r="O857" s="11">
        <f t="shared" si="52"/>
        <v>0.30564593301435405</v>
      </c>
      <c r="P857" s="10">
        <v>8.58</v>
      </c>
      <c r="Q857" s="10">
        <v>23.36</v>
      </c>
      <c r="R857" s="11">
        <f t="shared" si="53"/>
        <v>0.22354066985645932</v>
      </c>
      <c r="S857" t="s">
        <v>81</v>
      </c>
      <c r="T857" t="s">
        <v>60</v>
      </c>
      <c r="U857" t="s">
        <v>61</v>
      </c>
    </row>
    <row r="858" spans="1:21" x14ac:dyDescent="0.35">
      <c r="A858" t="s">
        <v>983</v>
      </c>
      <c r="B858" s="5">
        <v>45694</v>
      </c>
      <c r="C858" t="s">
        <v>56</v>
      </c>
      <c r="D858" t="s">
        <v>57</v>
      </c>
      <c r="E858" s="9">
        <v>6</v>
      </c>
      <c r="F858" s="10">
        <v>40</v>
      </c>
      <c r="G858" s="11">
        <v>0.05</v>
      </c>
      <c r="H858" s="10">
        <v>228</v>
      </c>
      <c r="I858" s="9">
        <v>0</v>
      </c>
      <c r="J858" s="10">
        <v>0</v>
      </c>
      <c r="K858" s="9">
        <v>6</v>
      </c>
      <c r="L858" s="10">
        <v>228</v>
      </c>
      <c r="M858" s="10">
        <v>142.41999999999999</v>
      </c>
      <c r="N858" s="10">
        <v>85.58</v>
      </c>
      <c r="O858" s="11">
        <f t="shared" si="52"/>
        <v>0.37535087719298244</v>
      </c>
      <c r="P858" s="10">
        <v>22.85</v>
      </c>
      <c r="Q858" s="10">
        <v>62.73</v>
      </c>
      <c r="R858" s="11">
        <f t="shared" si="53"/>
        <v>0.27513157894736839</v>
      </c>
      <c r="S858" t="s">
        <v>65</v>
      </c>
      <c r="T858" t="s">
        <v>60</v>
      </c>
      <c r="U858" t="s">
        <v>61</v>
      </c>
    </row>
    <row r="859" spans="1:21" x14ac:dyDescent="0.35">
      <c r="A859" t="s">
        <v>984</v>
      </c>
      <c r="B859" s="5">
        <v>45680</v>
      </c>
      <c r="C859" t="s">
        <v>56</v>
      </c>
      <c r="D859" t="s">
        <v>57</v>
      </c>
      <c r="E859" s="9">
        <v>1</v>
      </c>
      <c r="F859" s="10">
        <v>40</v>
      </c>
      <c r="G859" s="11">
        <v>0.1</v>
      </c>
      <c r="H859" s="10">
        <v>36</v>
      </c>
      <c r="I859" s="9">
        <v>0</v>
      </c>
      <c r="J859" s="10">
        <v>0</v>
      </c>
      <c r="K859" s="9">
        <v>1</v>
      </c>
      <c r="L859" s="10">
        <v>36</v>
      </c>
      <c r="M859" s="10">
        <v>30.6</v>
      </c>
      <c r="N859" s="10">
        <v>5.4</v>
      </c>
      <c r="O859" s="11">
        <f t="shared" si="52"/>
        <v>0.15000000000000002</v>
      </c>
      <c r="P859" s="10">
        <v>3.33</v>
      </c>
      <c r="Q859" s="10">
        <v>2.0699999999999998</v>
      </c>
      <c r="R859" s="11">
        <f t="shared" si="53"/>
        <v>5.7499999999999996E-2</v>
      </c>
      <c r="S859" t="s">
        <v>59</v>
      </c>
      <c r="T859" t="s">
        <v>66</v>
      </c>
      <c r="U859" t="s">
        <v>67</v>
      </c>
    </row>
    <row r="860" spans="1:21" x14ac:dyDescent="0.35">
      <c r="A860" t="s">
        <v>985</v>
      </c>
      <c r="B860" s="5">
        <v>45839</v>
      </c>
      <c r="C860" t="s">
        <v>100</v>
      </c>
      <c r="D860" t="s">
        <v>64</v>
      </c>
      <c r="E860" s="9">
        <v>2</v>
      </c>
      <c r="F860" s="10">
        <v>310</v>
      </c>
      <c r="G860" s="11">
        <v>0</v>
      </c>
      <c r="H860" s="10">
        <v>620</v>
      </c>
      <c r="I860" s="9">
        <v>0</v>
      </c>
      <c r="J860" s="10">
        <v>0</v>
      </c>
      <c r="K860" s="9">
        <v>2</v>
      </c>
      <c r="L860" s="10">
        <v>620</v>
      </c>
      <c r="M860" s="10">
        <v>423.68</v>
      </c>
      <c r="N860" s="10">
        <v>196.32</v>
      </c>
      <c r="O860" s="11">
        <f t="shared" si="52"/>
        <v>0.31664516129032255</v>
      </c>
      <c r="P860" s="10">
        <v>67.349999999999994</v>
      </c>
      <c r="Q860" s="10">
        <v>128.97</v>
      </c>
      <c r="R860" s="11">
        <f t="shared" si="53"/>
        <v>0.20801612903225805</v>
      </c>
      <c r="S860" t="s">
        <v>81</v>
      </c>
      <c r="T860" t="s">
        <v>86</v>
      </c>
      <c r="U860" t="s">
        <v>76</v>
      </c>
    </row>
    <row r="861" spans="1:21" x14ac:dyDescent="0.35">
      <c r="A861" t="s">
        <v>986</v>
      </c>
      <c r="B861" s="5">
        <v>45850</v>
      </c>
      <c r="C861" t="s">
        <v>97</v>
      </c>
      <c r="D861" t="s">
        <v>57</v>
      </c>
      <c r="E861" s="9">
        <v>3</v>
      </c>
      <c r="F861" s="10">
        <v>55</v>
      </c>
      <c r="G861" s="11">
        <v>0</v>
      </c>
      <c r="H861" s="10">
        <v>165</v>
      </c>
      <c r="I861" s="9">
        <v>0</v>
      </c>
      <c r="J861" s="10">
        <v>0</v>
      </c>
      <c r="K861" s="9">
        <v>3</v>
      </c>
      <c r="L861" s="10">
        <v>165</v>
      </c>
      <c r="M861" s="10">
        <v>121.53</v>
      </c>
      <c r="N861" s="10">
        <v>43.47</v>
      </c>
      <c r="O861" s="11">
        <f t="shared" si="52"/>
        <v>0.26345454545454544</v>
      </c>
      <c r="P861" s="10">
        <v>8.64</v>
      </c>
      <c r="Q861" s="10">
        <v>34.83</v>
      </c>
      <c r="R861" s="11">
        <f t="shared" si="53"/>
        <v>0.21109090909090908</v>
      </c>
      <c r="S861" t="s">
        <v>75</v>
      </c>
      <c r="T861" t="s">
        <v>82</v>
      </c>
      <c r="U861" t="s">
        <v>76</v>
      </c>
    </row>
    <row r="862" spans="1:21" x14ac:dyDescent="0.35">
      <c r="A862" t="s">
        <v>987</v>
      </c>
      <c r="B862" s="5">
        <v>45820</v>
      </c>
      <c r="C862" t="s">
        <v>63</v>
      </c>
      <c r="D862" t="s">
        <v>64</v>
      </c>
      <c r="E862" s="9">
        <v>3</v>
      </c>
      <c r="F862" s="10">
        <v>145</v>
      </c>
      <c r="G862" s="11">
        <v>0.1</v>
      </c>
      <c r="H862" s="10">
        <v>391.5</v>
      </c>
      <c r="I862" s="9">
        <v>0</v>
      </c>
      <c r="J862" s="10">
        <v>0</v>
      </c>
      <c r="K862" s="9">
        <v>3</v>
      </c>
      <c r="L862" s="10">
        <v>391.5</v>
      </c>
      <c r="M862" s="10">
        <v>330.28</v>
      </c>
      <c r="N862" s="10">
        <v>61.22</v>
      </c>
      <c r="O862" s="11">
        <f t="shared" si="52"/>
        <v>0.15637292464878672</v>
      </c>
      <c r="P862" s="10">
        <v>30.79</v>
      </c>
      <c r="Q862" s="10">
        <v>30.43</v>
      </c>
      <c r="R862" s="11">
        <f t="shared" si="53"/>
        <v>7.7726692209450832E-2</v>
      </c>
      <c r="S862" t="s">
        <v>81</v>
      </c>
      <c r="T862" t="s">
        <v>60</v>
      </c>
      <c r="U862" t="s">
        <v>67</v>
      </c>
    </row>
    <row r="863" spans="1:21" x14ac:dyDescent="0.35">
      <c r="A863" t="s">
        <v>988</v>
      </c>
      <c r="B863" s="5">
        <v>45971</v>
      </c>
      <c r="C863" t="s">
        <v>97</v>
      </c>
      <c r="D863" t="s">
        <v>57</v>
      </c>
      <c r="E863" s="9">
        <v>6</v>
      </c>
      <c r="F863" s="10">
        <v>55</v>
      </c>
      <c r="G863" s="11">
        <v>0.1</v>
      </c>
      <c r="H863" s="10">
        <v>297</v>
      </c>
      <c r="I863" s="9">
        <v>0</v>
      </c>
      <c r="J863" s="10">
        <v>0</v>
      </c>
      <c r="K863" s="9">
        <v>6</v>
      </c>
      <c r="L863" s="10">
        <v>297</v>
      </c>
      <c r="M863" s="10">
        <v>211.48</v>
      </c>
      <c r="N863" s="10">
        <v>85.52</v>
      </c>
      <c r="O863" s="11">
        <f t="shared" si="52"/>
        <v>0.28794612794612795</v>
      </c>
      <c r="P863" s="10">
        <v>36.14</v>
      </c>
      <c r="Q863" s="10">
        <v>49.38</v>
      </c>
      <c r="R863" s="11">
        <f t="shared" si="53"/>
        <v>0.16626262626262628</v>
      </c>
      <c r="S863" t="s">
        <v>65</v>
      </c>
      <c r="T863" t="s">
        <v>82</v>
      </c>
      <c r="U863" t="s">
        <v>71</v>
      </c>
    </row>
    <row r="864" spans="1:21" x14ac:dyDescent="0.35">
      <c r="A864" t="s">
        <v>989</v>
      </c>
      <c r="B864" s="5">
        <v>45893</v>
      </c>
      <c r="C864" t="s">
        <v>78</v>
      </c>
      <c r="D864" t="s">
        <v>79</v>
      </c>
      <c r="E864" s="9">
        <v>2</v>
      </c>
      <c r="F864" s="10">
        <v>120</v>
      </c>
      <c r="G864" s="11">
        <v>0</v>
      </c>
      <c r="H864" s="10">
        <v>240</v>
      </c>
      <c r="I864" s="9">
        <v>0</v>
      </c>
      <c r="J864" s="10">
        <v>0</v>
      </c>
      <c r="K864" s="9">
        <v>2</v>
      </c>
      <c r="L864" s="10">
        <v>240</v>
      </c>
      <c r="M864" s="10">
        <v>160.30000000000001</v>
      </c>
      <c r="N864" s="10">
        <v>79.7</v>
      </c>
      <c r="O864" s="11">
        <f t="shared" si="52"/>
        <v>0.33208333333333334</v>
      </c>
      <c r="P864" s="10">
        <v>24.35</v>
      </c>
      <c r="Q864" s="10">
        <v>55.35</v>
      </c>
      <c r="R864" s="11">
        <f t="shared" si="53"/>
        <v>0.230625</v>
      </c>
      <c r="S864" t="s">
        <v>59</v>
      </c>
      <c r="T864" t="s">
        <v>82</v>
      </c>
      <c r="U864" t="s">
        <v>67</v>
      </c>
    </row>
    <row r="865" spans="1:21" x14ac:dyDescent="0.35">
      <c r="A865" t="s">
        <v>990</v>
      </c>
      <c r="B865" s="5">
        <v>45796</v>
      </c>
      <c r="C865" t="s">
        <v>63</v>
      </c>
      <c r="D865" t="s">
        <v>64</v>
      </c>
      <c r="E865" s="9">
        <v>5</v>
      </c>
      <c r="F865" s="10">
        <v>145</v>
      </c>
      <c r="G865" s="11">
        <v>0.1</v>
      </c>
      <c r="H865" s="10">
        <v>652.5</v>
      </c>
      <c r="I865" s="9">
        <v>0</v>
      </c>
      <c r="J865" s="10">
        <v>0</v>
      </c>
      <c r="K865" s="9">
        <v>5</v>
      </c>
      <c r="L865" s="10">
        <v>652.5</v>
      </c>
      <c r="M865" s="10">
        <v>480.2</v>
      </c>
      <c r="N865" s="10">
        <v>172.3</v>
      </c>
      <c r="O865" s="11">
        <f t="shared" si="52"/>
        <v>0.26406130268199235</v>
      </c>
      <c r="P865" s="10">
        <v>83.67</v>
      </c>
      <c r="Q865" s="10">
        <v>88.63</v>
      </c>
      <c r="R865" s="11">
        <f t="shared" si="53"/>
        <v>0.13583141762452106</v>
      </c>
      <c r="S865" t="s">
        <v>65</v>
      </c>
      <c r="T865" t="s">
        <v>60</v>
      </c>
      <c r="U865" t="s">
        <v>67</v>
      </c>
    </row>
    <row r="866" spans="1:21" x14ac:dyDescent="0.35">
      <c r="A866" t="s">
        <v>991</v>
      </c>
      <c r="B866" s="5">
        <v>45751</v>
      </c>
      <c r="C866" t="s">
        <v>73</v>
      </c>
      <c r="D866" t="s">
        <v>74</v>
      </c>
      <c r="E866" s="9">
        <v>2</v>
      </c>
      <c r="F866" s="10">
        <v>280</v>
      </c>
      <c r="G866" s="11">
        <v>0.05</v>
      </c>
      <c r="H866" s="10">
        <v>532</v>
      </c>
      <c r="I866" s="9">
        <v>0</v>
      </c>
      <c r="J866" s="10">
        <v>0</v>
      </c>
      <c r="K866" s="9">
        <v>2</v>
      </c>
      <c r="L866" s="10">
        <v>532</v>
      </c>
      <c r="M866" s="10">
        <v>415.68</v>
      </c>
      <c r="N866" s="10">
        <v>116.32</v>
      </c>
      <c r="O866" s="11">
        <f t="shared" si="52"/>
        <v>0.21864661654135337</v>
      </c>
      <c r="P866" s="10">
        <v>30.81</v>
      </c>
      <c r="Q866" s="10">
        <v>85.51</v>
      </c>
      <c r="R866" s="11">
        <f t="shared" si="53"/>
        <v>0.16073308270676692</v>
      </c>
      <c r="S866" t="s">
        <v>65</v>
      </c>
      <c r="T866" t="s">
        <v>86</v>
      </c>
      <c r="U866" t="s">
        <v>61</v>
      </c>
    </row>
    <row r="867" spans="1:21" x14ac:dyDescent="0.35">
      <c r="A867" t="s">
        <v>992</v>
      </c>
      <c r="B867" s="5">
        <v>45734</v>
      </c>
      <c r="C867" t="s">
        <v>104</v>
      </c>
      <c r="D867" t="s">
        <v>105</v>
      </c>
      <c r="E867" s="9">
        <v>3</v>
      </c>
      <c r="F867" s="10">
        <v>65</v>
      </c>
      <c r="G867" s="11">
        <v>0.02</v>
      </c>
      <c r="H867" s="10">
        <v>191.1</v>
      </c>
      <c r="I867" s="9">
        <v>0</v>
      </c>
      <c r="J867" s="10">
        <v>0</v>
      </c>
      <c r="K867" s="9">
        <v>3</v>
      </c>
      <c r="L867" s="10">
        <v>191.1</v>
      </c>
      <c r="M867" s="10">
        <v>120.3</v>
      </c>
      <c r="N867" s="10">
        <v>70.8</v>
      </c>
      <c r="O867" s="11">
        <f t="shared" ref="O867:O898" si="54">N867/L867</f>
        <v>0.3704866562009419</v>
      </c>
      <c r="P867" s="10">
        <v>19.48</v>
      </c>
      <c r="Q867" s="10">
        <v>51.32</v>
      </c>
      <c r="R867" s="11">
        <f t="shared" ref="R867:R898" si="55">Q867/L867</f>
        <v>0.26855049712192569</v>
      </c>
      <c r="S867" t="s">
        <v>65</v>
      </c>
      <c r="T867" t="s">
        <v>86</v>
      </c>
      <c r="U867" t="s">
        <v>71</v>
      </c>
    </row>
    <row r="868" spans="1:21" x14ac:dyDescent="0.35">
      <c r="A868" t="s">
        <v>993</v>
      </c>
      <c r="B868" s="5">
        <v>45734</v>
      </c>
      <c r="C868" t="s">
        <v>109</v>
      </c>
      <c r="D868" t="s">
        <v>85</v>
      </c>
      <c r="E868" s="9">
        <v>4</v>
      </c>
      <c r="F868" s="10">
        <v>180</v>
      </c>
      <c r="G868" s="11">
        <v>0</v>
      </c>
      <c r="H868" s="10">
        <v>720</v>
      </c>
      <c r="I868" s="9">
        <v>0</v>
      </c>
      <c r="J868" s="10">
        <v>0</v>
      </c>
      <c r="K868" s="9">
        <v>4</v>
      </c>
      <c r="L868" s="10">
        <v>720</v>
      </c>
      <c r="M868" s="10">
        <v>473.86</v>
      </c>
      <c r="N868" s="10">
        <v>246.14</v>
      </c>
      <c r="O868" s="11">
        <f t="shared" si="54"/>
        <v>0.34186111111111112</v>
      </c>
      <c r="P868" s="10">
        <v>61.67</v>
      </c>
      <c r="Q868" s="10">
        <v>184.47</v>
      </c>
      <c r="R868" s="11">
        <f t="shared" si="55"/>
        <v>0.25620833333333332</v>
      </c>
      <c r="S868" t="s">
        <v>81</v>
      </c>
      <c r="T868" t="s">
        <v>86</v>
      </c>
      <c r="U868" t="s">
        <v>67</v>
      </c>
    </row>
    <row r="869" spans="1:21" x14ac:dyDescent="0.35">
      <c r="A869" t="s">
        <v>994</v>
      </c>
      <c r="B869" s="5">
        <v>45741</v>
      </c>
      <c r="C869" t="s">
        <v>100</v>
      </c>
      <c r="D869" t="s">
        <v>64</v>
      </c>
      <c r="E869" s="9">
        <v>3</v>
      </c>
      <c r="F869" s="10">
        <v>310</v>
      </c>
      <c r="G869" s="11">
        <v>0</v>
      </c>
      <c r="H869" s="10">
        <v>930</v>
      </c>
      <c r="I869" s="9">
        <v>0</v>
      </c>
      <c r="J869" s="10">
        <v>0</v>
      </c>
      <c r="K869" s="9">
        <v>3</v>
      </c>
      <c r="L869" s="10">
        <v>930</v>
      </c>
      <c r="M869" s="10">
        <v>757.83</v>
      </c>
      <c r="N869" s="10">
        <v>172.17</v>
      </c>
      <c r="O869" s="11">
        <f t="shared" si="54"/>
        <v>0.18512903225806451</v>
      </c>
      <c r="P869" s="10">
        <v>96.57</v>
      </c>
      <c r="Q869" s="10">
        <v>75.599999999999994</v>
      </c>
      <c r="R869" s="11">
        <f t="shared" si="55"/>
        <v>8.1290322580645155E-2</v>
      </c>
      <c r="S869" t="s">
        <v>59</v>
      </c>
      <c r="T869" t="s">
        <v>86</v>
      </c>
      <c r="U869" t="s">
        <v>67</v>
      </c>
    </row>
    <row r="870" spans="1:21" x14ac:dyDescent="0.35">
      <c r="A870" t="s">
        <v>995</v>
      </c>
      <c r="B870" s="5">
        <v>45866</v>
      </c>
      <c r="C870" t="s">
        <v>107</v>
      </c>
      <c r="D870" t="s">
        <v>74</v>
      </c>
      <c r="E870" s="9">
        <v>6</v>
      </c>
      <c r="F870" s="10">
        <v>125</v>
      </c>
      <c r="G870" s="11">
        <v>0</v>
      </c>
      <c r="H870" s="10">
        <v>750</v>
      </c>
      <c r="I870" s="9">
        <v>0</v>
      </c>
      <c r="J870" s="10">
        <v>0</v>
      </c>
      <c r="K870" s="9">
        <v>6</v>
      </c>
      <c r="L870" s="10">
        <v>750</v>
      </c>
      <c r="M870" s="10">
        <v>592.96</v>
      </c>
      <c r="N870" s="10">
        <v>157.04</v>
      </c>
      <c r="O870" s="11">
        <f t="shared" si="54"/>
        <v>0.20938666666666667</v>
      </c>
      <c r="P870" s="10">
        <v>84.93</v>
      </c>
      <c r="Q870" s="10">
        <v>72.11</v>
      </c>
      <c r="R870" s="11">
        <f t="shared" si="55"/>
        <v>9.6146666666666672E-2</v>
      </c>
      <c r="S870" t="s">
        <v>65</v>
      </c>
      <c r="T870" t="s">
        <v>60</v>
      </c>
      <c r="U870" t="s">
        <v>61</v>
      </c>
    </row>
    <row r="871" spans="1:21" x14ac:dyDescent="0.35">
      <c r="A871" t="s">
        <v>996</v>
      </c>
      <c r="B871" s="5">
        <v>45720</v>
      </c>
      <c r="C871" t="s">
        <v>104</v>
      </c>
      <c r="D871" t="s">
        <v>105</v>
      </c>
      <c r="E871" s="9">
        <v>1</v>
      </c>
      <c r="F871" s="10">
        <v>65</v>
      </c>
      <c r="G871" s="11">
        <v>0.05</v>
      </c>
      <c r="H871" s="10">
        <v>61.75</v>
      </c>
      <c r="I871" s="9">
        <v>0</v>
      </c>
      <c r="J871" s="10">
        <v>0</v>
      </c>
      <c r="K871" s="9">
        <v>1</v>
      </c>
      <c r="L871" s="10">
        <v>61.75</v>
      </c>
      <c r="M871" s="10">
        <v>43.62</v>
      </c>
      <c r="N871" s="10">
        <v>18.13</v>
      </c>
      <c r="O871" s="11">
        <f t="shared" si="54"/>
        <v>0.29360323886639672</v>
      </c>
      <c r="P871" s="10">
        <v>6.43</v>
      </c>
      <c r="Q871" s="10">
        <v>11.7</v>
      </c>
      <c r="R871" s="11">
        <f t="shared" si="55"/>
        <v>0.18947368421052629</v>
      </c>
      <c r="S871" t="s">
        <v>81</v>
      </c>
      <c r="T871" t="s">
        <v>60</v>
      </c>
      <c r="U871" t="s">
        <v>67</v>
      </c>
    </row>
    <row r="872" spans="1:21" x14ac:dyDescent="0.35">
      <c r="A872" t="s">
        <v>997</v>
      </c>
      <c r="B872" s="5">
        <v>45936</v>
      </c>
      <c r="C872" t="s">
        <v>92</v>
      </c>
      <c r="D872" t="s">
        <v>79</v>
      </c>
      <c r="E872" s="9">
        <v>2</v>
      </c>
      <c r="F872" s="10">
        <v>85</v>
      </c>
      <c r="G872" s="11">
        <v>0.15</v>
      </c>
      <c r="H872" s="10">
        <v>144.5</v>
      </c>
      <c r="I872" s="9">
        <v>0</v>
      </c>
      <c r="J872" s="10">
        <v>0</v>
      </c>
      <c r="K872" s="9">
        <v>2</v>
      </c>
      <c r="L872" s="10">
        <v>144.5</v>
      </c>
      <c r="M872" s="10">
        <v>121.95</v>
      </c>
      <c r="N872" s="10">
        <v>22.55</v>
      </c>
      <c r="O872" s="11">
        <f t="shared" si="54"/>
        <v>0.15605536332179931</v>
      </c>
      <c r="P872" s="10">
        <v>12.1</v>
      </c>
      <c r="Q872" s="10">
        <v>10.45</v>
      </c>
      <c r="R872" s="11">
        <f t="shared" si="55"/>
        <v>7.2318339100346019E-2</v>
      </c>
      <c r="S872" t="s">
        <v>81</v>
      </c>
      <c r="T872" t="s">
        <v>82</v>
      </c>
      <c r="U872" t="s">
        <v>67</v>
      </c>
    </row>
    <row r="873" spans="1:21" x14ac:dyDescent="0.35">
      <c r="A873" t="s">
        <v>998</v>
      </c>
      <c r="B873" s="5">
        <v>45906</v>
      </c>
      <c r="C873" t="s">
        <v>90</v>
      </c>
      <c r="D873" t="s">
        <v>70</v>
      </c>
      <c r="E873" s="9">
        <v>4</v>
      </c>
      <c r="F873" s="10">
        <v>38</v>
      </c>
      <c r="G873" s="11">
        <v>0</v>
      </c>
      <c r="H873" s="10">
        <v>152</v>
      </c>
      <c r="I873" s="9">
        <v>0</v>
      </c>
      <c r="J873" s="10">
        <v>0</v>
      </c>
      <c r="K873" s="9">
        <v>4</v>
      </c>
      <c r="L873" s="10">
        <v>152</v>
      </c>
      <c r="M873" s="10">
        <v>101.5</v>
      </c>
      <c r="N873" s="10">
        <v>50.5</v>
      </c>
      <c r="O873" s="11">
        <f t="shared" si="54"/>
        <v>0.33223684210526316</v>
      </c>
      <c r="P873" s="10">
        <v>8.34</v>
      </c>
      <c r="Q873" s="10">
        <v>42.16</v>
      </c>
      <c r="R873" s="11">
        <f t="shared" si="55"/>
        <v>0.27736842105263154</v>
      </c>
      <c r="S873" t="s">
        <v>81</v>
      </c>
      <c r="T873" t="s">
        <v>86</v>
      </c>
      <c r="U873" t="s">
        <v>76</v>
      </c>
    </row>
    <row r="874" spans="1:21" x14ac:dyDescent="0.35">
      <c r="A874" t="s">
        <v>999</v>
      </c>
      <c r="B874" s="5">
        <v>45703</v>
      </c>
      <c r="C874" t="s">
        <v>104</v>
      </c>
      <c r="D874" t="s">
        <v>105</v>
      </c>
      <c r="E874" s="9">
        <v>5</v>
      </c>
      <c r="F874" s="10">
        <v>65</v>
      </c>
      <c r="G874" s="11">
        <v>0</v>
      </c>
      <c r="H874" s="10">
        <v>325</v>
      </c>
      <c r="I874" s="9">
        <v>0</v>
      </c>
      <c r="J874" s="10">
        <v>0</v>
      </c>
      <c r="K874" s="9">
        <v>5</v>
      </c>
      <c r="L874" s="10">
        <v>325</v>
      </c>
      <c r="M874" s="10">
        <v>216.64</v>
      </c>
      <c r="N874" s="10">
        <v>108.36</v>
      </c>
      <c r="O874" s="11">
        <f t="shared" si="54"/>
        <v>0.33341538461538461</v>
      </c>
      <c r="P874" s="10">
        <v>40.56</v>
      </c>
      <c r="Q874" s="10">
        <v>67.8</v>
      </c>
      <c r="R874" s="11">
        <f t="shared" si="55"/>
        <v>0.20861538461538462</v>
      </c>
      <c r="S874" t="s">
        <v>75</v>
      </c>
      <c r="T874" t="s">
        <v>82</v>
      </c>
      <c r="U874" t="s">
        <v>67</v>
      </c>
    </row>
    <row r="875" spans="1:21" x14ac:dyDescent="0.35">
      <c r="A875" t="s">
        <v>1000</v>
      </c>
      <c r="B875" s="5">
        <v>45928</v>
      </c>
      <c r="C875" t="s">
        <v>125</v>
      </c>
      <c r="D875" t="s">
        <v>85</v>
      </c>
      <c r="E875" s="9">
        <v>2</v>
      </c>
      <c r="F875" s="10">
        <v>125</v>
      </c>
      <c r="G875" s="11">
        <v>0</v>
      </c>
      <c r="H875" s="10">
        <v>250</v>
      </c>
      <c r="I875" s="9">
        <v>0</v>
      </c>
      <c r="J875" s="10">
        <v>0</v>
      </c>
      <c r="K875" s="9">
        <v>2</v>
      </c>
      <c r="L875" s="10">
        <v>250</v>
      </c>
      <c r="M875" s="10">
        <v>164.44</v>
      </c>
      <c r="N875" s="10">
        <v>85.56</v>
      </c>
      <c r="O875" s="11">
        <f t="shared" si="54"/>
        <v>0.34223999999999999</v>
      </c>
      <c r="P875" s="10">
        <v>31.44</v>
      </c>
      <c r="Q875" s="10">
        <v>54.12</v>
      </c>
      <c r="R875" s="11">
        <f t="shared" si="55"/>
        <v>0.21647999999999998</v>
      </c>
      <c r="S875" t="s">
        <v>75</v>
      </c>
      <c r="T875" t="s">
        <v>82</v>
      </c>
      <c r="U875" t="s">
        <v>76</v>
      </c>
    </row>
    <row r="876" spans="1:21" x14ac:dyDescent="0.35">
      <c r="A876" t="s">
        <v>1001</v>
      </c>
      <c r="B876" s="5">
        <v>45768</v>
      </c>
      <c r="C876" t="s">
        <v>109</v>
      </c>
      <c r="D876" t="s">
        <v>85</v>
      </c>
      <c r="E876" s="9">
        <v>1</v>
      </c>
      <c r="F876" s="10">
        <v>180</v>
      </c>
      <c r="G876" s="11">
        <v>0.1</v>
      </c>
      <c r="H876" s="10">
        <v>162</v>
      </c>
      <c r="I876" s="9">
        <v>0</v>
      </c>
      <c r="J876" s="10">
        <v>0</v>
      </c>
      <c r="K876" s="9">
        <v>1</v>
      </c>
      <c r="L876" s="10">
        <v>162</v>
      </c>
      <c r="M876" s="10">
        <v>116.17</v>
      </c>
      <c r="N876" s="10">
        <v>45.83</v>
      </c>
      <c r="O876" s="11">
        <f t="shared" si="54"/>
        <v>0.28290123456790123</v>
      </c>
      <c r="P876" s="10">
        <v>17.25</v>
      </c>
      <c r="Q876" s="10">
        <v>28.58</v>
      </c>
      <c r="R876" s="11">
        <f t="shared" si="55"/>
        <v>0.17641975308641974</v>
      </c>
      <c r="S876" t="s">
        <v>75</v>
      </c>
      <c r="T876" t="s">
        <v>60</v>
      </c>
      <c r="U876" t="s">
        <v>67</v>
      </c>
    </row>
    <row r="877" spans="1:21" x14ac:dyDescent="0.35">
      <c r="A877" t="s">
        <v>1002</v>
      </c>
      <c r="B877" s="5">
        <v>46014</v>
      </c>
      <c r="C877" t="s">
        <v>264</v>
      </c>
      <c r="D877" t="s">
        <v>85</v>
      </c>
      <c r="E877" s="9">
        <v>5</v>
      </c>
      <c r="F877" s="10">
        <v>20</v>
      </c>
      <c r="G877" s="11">
        <v>0.05</v>
      </c>
      <c r="H877" s="10">
        <v>95</v>
      </c>
      <c r="I877" s="9">
        <v>0</v>
      </c>
      <c r="J877" s="10">
        <v>0</v>
      </c>
      <c r="K877" s="9">
        <v>5</v>
      </c>
      <c r="L877" s="10">
        <v>95</v>
      </c>
      <c r="M877" s="10">
        <v>66.89</v>
      </c>
      <c r="N877" s="10">
        <v>28.11</v>
      </c>
      <c r="O877" s="11">
        <f t="shared" si="54"/>
        <v>0.29589473684210527</v>
      </c>
      <c r="P877" s="10">
        <v>8.81</v>
      </c>
      <c r="Q877" s="10">
        <v>19.3</v>
      </c>
      <c r="R877" s="11">
        <f t="shared" si="55"/>
        <v>0.20315789473684212</v>
      </c>
      <c r="S877" t="s">
        <v>59</v>
      </c>
      <c r="T877" t="s">
        <v>86</v>
      </c>
      <c r="U877" t="s">
        <v>71</v>
      </c>
    </row>
    <row r="878" spans="1:21" x14ac:dyDescent="0.35">
      <c r="A878" t="s">
        <v>1003</v>
      </c>
      <c r="B878" s="5">
        <v>45908</v>
      </c>
      <c r="C878" t="s">
        <v>104</v>
      </c>
      <c r="D878" t="s">
        <v>105</v>
      </c>
      <c r="E878" s="9">
        <v>2</v>
      </c>
      <c r="F878" s="10">
        <v>65</v>
      </c>
      <c r="G878" s="11">
        <v>0</v>
      </c>
      <c r="H878" s="10">
        <v>130</v>
      </c>
      <c r="I878" s="9">
        <v>0</v>
      </c>
      <c r="J878" s="10">
        <v>0</v>
      </c>
      <c r="K878" s="9">
        <v>2</v>
      </c>
      <c r="L878" s="10">
        <v>130</v>
      </c>
      <c r="M878" s="10">
        <v>85.8</v>
      </c>
      <c r="N878" s="10">
        <v>44.2</v>
      </c>
      <c r="O878" s="11">
        <f t="shared" si="54"/>
        <v>0.34</v>
      </c>
      <c r="P878" s="10">
        <v>13.87</v>
      </c>
      <c r="Q878" s="10">
        <v>30.33</v>
      </c>
      <c r="R878" s="11">
        <f t="shared" si="55"/>
        <v>0.2333076923076923</v>
      </c>
      <c r="S878" t="s">
        <v>75</v>
      </c>
      <c r="T878" t="s">
        <v>86</v>
      </c>
      <c r="U878" t="s">
        <v>67</v>
      </c>
    </row>
    <row r="879" spans="1:21" x14ac:dyDescent="0.35">
      <c r="A879" t="s">
        <v>1004</v>
      </c>
      <c r="B879" s="5">
        <v>45848</v>
      </c>
      <c r="C879" t="s">
        <v>90</v>
      </c>
      <c r="D879" t="s">
        <v>70</v>
      </c>
      <c r="E879" s="9">
        <v>1</v>
      </c>
      <c r="F879" s="10">
        <v>38</v>
      </c>
      <c r="G879" s="11">
        <v>0</v>
      </c>
      <c r="H879" s="10">
        <v>38</v>
      </c>
      <c r="I879" s="9">
        <v>0</v>
      </c>
      <c r="J879" s="10">
        <v>0</v>
      </c>
      <c r="K879" s="9">
        <v>1</v>
      </c>
      <c r="L879" s="10">
        <v>38</v>
      </c>
      <c r="M879" s="10">
        <v>30.38</v>
      </c>
      <c r="N879" s="10">
        <v>7.62</v>
      </c>
      <c r="O879" s="11">
        <f t="shared" si="54"/>
        <v>0.20052631578947369</v>
      </c>
      <c r="P879" s="10">
        <v>4.38</v>
      </c>
      <c r="Q879" s="10">
        <v>3.24</v>
      </c>
      <c r="R879" s="11">
        <f t="shared" si="55"/>
        <v>8.5263157894736846E-2</v>
      </c>
      <c r="S879" t="s">
        <v>59</v>
      </c>
      <c r="T879" t="s">
        <v>66</v>
      </c>
      <c r="U879" t="s">
        <v>67</v>
      </c>
    </row>
    <row r="880" spans="1:21" x14ac:dyDescent="0.35">
      <c r="A880" t="s">
        <v>1005</v>
      </c>
      <c r="B880" s="5">
        <v>45900</v>
      </c>
      <c r="C880" t="s">
        <v>88</v>
      </c>
      <c r="D880" t="s">
        <v>57</v>
      </c>
      <c r="E880" s="9">
        <v>2</v>
      </c>
      <c r="F880" s="10">
        <v>30</v>
      </c>
      <c r="G880" s="11">
        <v>0</v>
      </c>
      <c r="H880" s="10">
        <v>60</v>
      </c>
      <c r="I880" s="9">
        <v>0</v>
      </c>
      <c r="J880" s="10">
        <v>0</v>
      </c>
      <c r="K880" s="9">
        <v>2</v>
      </c>
      <c r="L880" s="10">
        <v>60</v>
      </c>
      <c r="M880" s="10">
        <v>47.75</v>
      </c>
      <c r="N880" s="10">
        <v>12.25</v>
      </c>
      <c r="O880" s="11">
        <f t="shared" si="54"/>
        <v>0.20416666666666666</v>
      </c>
      <c r="P880" s="10">
        <v>3.01</v>
      </c>
      <c r="Q880" s="10">
        <v>9.24</v>
      </c>
      <c r="R880" s="11">
        <f t="shared" si="55"/>
        <v>0.154</v>
      </c>
      <c r="S880" t="s">
        <v>65</v>
      </c>
      <c r="T880" t="s">
        <v>66</v>
      </c>
      <c r="U880" t="s">
        <v>71</v>
      </c>
    </row>
    <row r="881" spans="1:21" x14ac:dyDescent="0.35">
      <c r="A881" t="s">
        <v>1006</v>
      </c>
      <c r="B881" s="5">
        <v>45886</v>
      </c>
      <c r="C881" t="s">
        <v>63</v>
      </c>
      <c r="D881" t="s">
        <v>64</v>
      </c>
      <c r="E881" s="9">
        <v>3</v>
      </c>
      <c r="F881" s="10">
        <v>145</v>
      </c>
      <c r="G881" s="11">
        <v>0.02</v>
      </c>
      <c r="H881" s="10">
        <v>426.3</v>
      </c>
      <c r="I881" s="9">
        <v>0</v>
      </c>
      <c r="J881" s="10">
        <v>0</v>
      </c>
      <c r="K881" s="9">
        <v>3</v>
      </c>
      <c r="L881" s="10">
        <v>426.3</v>
      </c>
      <c r="M881" s="10">
        <v>309.91000000000003</v>
      </c>
      <c r="N881" s="10">
        <v>116.39</v>
      </c>
      <c r="O881" s="11">
        <f t="shared" si="54"/>
        <v>0.27302369223551487</v>
      </c>
      <c r="P881" s="10">
        <v>30.35</v>
      </c>
      <c r="Q881" s="10">
        <v>86.04</v>
      </c>
      <c r="R881" s="11">
        <f t="shared" si="55"/>
        <v>0.20182969739619988</v>
      </c>
      <c r="S881" t="s">
        <v>59</v>
      </c>
      <c r="T881" t="s">
        <v>86</v>
      </c>
      <c r="U881" t="s">
        <v>67</v>
      </c>
    </row>
    <row r="882" spans="1:21" x14ac:dyDescent="0.35">
      <c r="A882" t="s">
        <v>1007</v>
      </c>
      <c r="B882" s="5">
        <v>46012</v>
      </c>
      <c r="C882" t="s">
        <v>69</v>
      </c>
      <c r="D882" t="s">
        <v>70</v>
      </c>
      <c r="E882" s="9">
        <v>3</v>
      </c>
      <c r="F882" s="10">
        <v>210</v>
      </c>
      <c r="G882" s="11">
        <v>0</v>
      </c>
      <c r="H882" s="10">
        <v>630</v>
      </c>
      <c r="I882" s="9">
        <v>0</v>
      </c>
      <c r="J882" s="10">
        <v>0</v>
      </c>
      <c r="K882" s="9">
        <v>3</v>
      </c>
      <c r="L882" s="10">
        <v>630</v>
      </c>
      <c r="M882" s="10">
        <v>393.32</v>
      </c>
      <c r="N882" s="10">
        <v>236.68</v>
      </c>
      <c r="O882" s="11">
        <f t="shared" si="54"/>
        <v>0.37568253968253967</v>
      </c>
      <c r="P882" s="10">
        <v>35.450000000000003</v>
      </c>
      <c r="Q882" s="10">
        <v>201.23</v>
      </c>
      <c r="R882" s="11">
        <f t="shared" si="55"/>
        <v>0.31941269841269837</v>
      </c>
      <c r="S882" t="s">
        <v>65</v>
      </c>
      <c r="T882" t="s">
        <v>86</v>
      </c>
      <c r="U882" t="s">
        <v>67</v>
      </c>
    </row>
    <row r="883" spans="1:21" x14ac:dyDescent="0.35">
      <c r="A883" t="s">
        <v>1008</v>
      </c>
      <c r="B883" s="5">
        <v>45936</v>
      </c>
      <c r="C883" t="s">
        <v>121</v>
      </c>
      <c r="D883" t="s">
        <v>70</v>
      </c>
      <c r="E883" s="9">
        <v>1</v>
      </c>
      <c r="F883" s="10">
        <v>110</v>
      </c>
      <c r="G883" s="11">
        <v>0</v>
      </c>
      <c r="H883" s="10">
        <v>110</v>
      </c>
      <c r="I883" s="9">
        <v>0</v>
      </c>
      <c r="J883" s="10">
        <v>0</v>
      </c>
      <c r="K883" s="9">
        <v>1</v>
      </c>
      <c r="L883" s="10">
        <v>110</v>
      </c>
      <c r="M883" s="10">
        <v>91.39</v>
      </c>
      <c r="N883" s="10">
        <v>18.61</v>
      </c>
      <c r="O883" s="11">
        <f t="shared" si="54"/>
        <v>0.16918181818181818</v>
      </c>
      <c r="P883" s="10">
        <v>13.68</v>
      </c>
      <c r="Q883" s="10">
        <v>4.93</v>
      </c>
      <c r="R883" s="11">
        <f t="shared" si="55"/>
        <v>4.4818181818181813E-2</v>
      </c>
      <c r="S883" t="s">
        <v>75</v>
      </c>
      <c r="T883" t="s">
        <v>82</v>
      </c>
      <c r="U883" t="s">
        <v>71</v>
      </c>
    </row>
    <row r="884" spans="1:21" x14ac:dyDescent="0.35">
      <c r="A884" t="s">
        <v>1009</v>
      </c>
      <c r="B884" s="5">
        <v>45864</v>
      </c>
      <c r="C884" t="s">
        <v>78</v>
      </c>
      <c r="D884" t="s">
        <v>79</v>
      </c>
      <c r="E884" s="9">
        <v>6</v>
      </c>
      <c r="F884" s="10">
        <v>120</v>
      </c>
      <c r="G884" s="11">
        <v>0</v>
      </c>
      <c r="H884" s="10">
        <v>720</v>
      </c>
      <c r="I884" s="9">
        <v>0</v>
      </c>
      <c r="J884" s="10">
        <v>0</v>
      </c>
      <c r="K884" s="9">
        <v>6</v>
      </c>
      <c r="L884" s="10">
        <v>720</v>
      </c>
      <c r="M884" s="10">
        <v>542.46</v>
      </c>
      <c r="N884" s="10">
        <v>177.54</v>
      </c>
      <c r="O884" s="11">
        <f t="shared" si="54"/>
        <v>0.24658333333333332</v>
      </c>
      <c r="P884" s="10">
        <v>62.5</v>
      </c>
      <c r="Q884" s="10">
        <v>115.04</v>
      </c>
      <c r="R884" s="11">
        <f t="shared" si="55"/>
        <v>0.1597777777777778</v>
      </c>
      <c r="S884" t="s">
        <v>81</v>
      </c>
      <c r="T884" t="s">
        <v>60</v>
      </c>
      <c r="U884" t="s">
        <v>61</v>
      </c>
    </row>
    <row r="885" spans="1:21" x14ac:dyDescent="0.35">
      <c r="A885" t="s">
        <v>1010</v>
      </c>
      <c r="B885" s="5">
        <v>45940</v>
      </c>
      <c r="C885" t="s">
        <v>117</v>
      </c>
      <c r="D885" t="s">
        <v>74</v>
      </c>
      <c r="E885" s="9">
        <v>5</v>
      </c>
      <c r="F885" s="10">
        <v>95</v>
      </c>
      <c r="G885" s="11">
        <v>0</v>
      </c>
      <c r="H885" s="10">
        <v>475</v>
      </c>
      <c r="I885" s="9">
        <v>0</v>
      </c>
      <c r="J885" s="10">
        <v>0</v>
      </c>
      <c r="K885" s="9">
        <v>5</v>
      </c>
      <c r="L885" s="10">
        <v>475</v>
      </c>
      <c r="M885" s="10">
        <v>363.01</v>
      </c>
      <c r="N885" s="10">
        <v>111.99</v>
      </c>
      <c r="O885" s="11">
        <f t="shared" si="54"/>
        <v>0.23576842105263157</v>
      </c>
      <c r="P885" s="10">
        <v>42.66</v>
      </c>
      <c r="Q885" s="10">
        <v>69.33</v>
      </c>
      <c r="R885" s="11">
        <f t="shared" si="55"/>
        <v>0.14595789473684209</v>
      </c>
      <c r="S885" t="s">
        <v>81</v>
      </c>
      <c r="T885" t="s">
        <v>60</v>
      </c>
      <c r="U885" t="s">
        <v>76</v>
      </c>
    </row>
    <row r="886" spans="1:21" x14ac:dyDescent="0.35">
      <c r="A886" t="s">
        <v>1011</v>
      </c>
      <c r="B886" s="5">
        <v>45981</v>
      </c>
      <c r="C886" t="s">
        <v>107</v>
      </c>
      <c r="D886" t="s">
        <v>74</v>
      </c>
      <c r="E886" s="9">
        <v>1</v>
      </c>
      <c r="F886" s="10">
        <v>125</v>
      </c>
      <c r="G886" s="11">
        <v>0</v>
      </c>
      <c r="H886" s="10">
        <v>125</v>
      </c>
      <c r="I886" s="9">
        <v>0</v>
      </c>
      <c r="J886" s="10">
        <v>0</v>
      </c>
      <c r="K886" s="9">
        <v>1</v>
      </c>
      <c r="L886" s="10">
        <v>125</v>
      </c>
      <c r="M886" s="10">
        <v>106.69</v>
      </c>
      <c r="N886" s="10">
        <v>18.309999999999999</v>
      </c>
      <c r="O886" s="11">
        <f t="shared" si="54"/>
        <v>0.14648</v>
      </c>
      <c r="P886" s="10">
        <v>14.31</v>
      </c>
      <c r="Q886" s="10">
        <v>4</v>
      </c>
      <c r="R886" s="11">
        <f t="shared" si="55"/>
        <v>3.2000000000000001E-2</v>
      </c>
      <c r="S886" t="s">
        <v>65</v>
      </c>
      <c r="T886" t="s">
        <v>60</v>
      </c>
      <c r="U886" t="s">
        <v>61</v>
      </c>
    </row>
    <row r="887" spans="1:21" x14ac:dyDescent="0.35">
      <c r="A887" t="s">
        <v>1012</v>
      </c>
      <c r="B887" s="5">
        <v>45851</v>
      </c>
      <c r="C887" t="s">
        <v>114</v>
      </c>
      <c r="D887" t="s">
        <v>64</v>
      </c>
      <c r="E887" s="9">
        <v>3</v>
      </c>
      <c r="F887" s="10">
        <v>420</v>
      </c>
      <c r="G887" s="11">
        <v>0.05</v>
      </c>
      <c r="H887" s="10">
        <v>1197</v>
      </c>
      <c r="I887" s="9">
        <v>0</v>
      </c>
      <c r="J887" s="10">
        <v>0</v>
      </c>
      <c r="K887" s="9">
        <v>3</v>
      </c>
      <c r="L887" s="10">
        <v>1197</v>
      </c>
      <c r="M887" s="10">
        <v>838.55</v>
      </c>
      <c r="N887" s="10">
        <v>358.45</v>
      </c>
      <c r="O887" s="11">
        <f t="shared" si="54"/>
        <v>0.29945697577276525</v>
      </c>
      <c r="P887" s="10">
        <v>101.29</v>
      </c>
      <c r="Q887" s="10">
        <v>257.16000000000003</v>
      </c>
      <c r="R887" s="11">
        <f t="shared" si="55"/>
        <v>0.2148370927318296</v>
      </c>
      <c r="S887" t="s">
        <v>65</v>
      </c>
      <c r="T887" t="s">
        <v>60</v>
      </c>
      <c r="U887" t="s">
        <v>61</v>
      </c>
    </row>
    <row r="888" spans="1:21" x14ac:dyDescent="0.35">
      <c r="A888" t="s">
        <v>1013</v>
      </c>
      <c r="B888" s="5">
        <v>45709</v>
      </c>
      <c r="C888" t="s">
        <v>90</v>
      </c>
      <c r="D888" t="s">
        <v>70</v>
      </c>
      <c r="E888" s="9">
        <v>4</v>
      </c>
      <c r="F888" s="10">
        <v>38</v>
      </c>
      <c r="G888" s="11">
        <v>0.02</v>
      </c>
      <c r="H888" s="10">
        <v>148.96</v>
      </c>
      <c r="I888" s="9">
        <v>0</v>
      </c>
      <c r="J888" s="10">
        <v>0</v>
      </c>
      <c r="K888" s="9">
        <v>4</v>
      </c>
      <c r="L888" s="10">
        <v>148.96</v>
      </c>
      <c r="M888" s="10">
        <v>103.43</v>
      </c>
      <c r="N888" s="10">
        <v>45.53</v>
      </c>
      <c r="O888" s="11">
        <f t="shared" si="54"/>
        <v>0.30565252416756178</v>
      </c>
      <c r="P888" s="10">
        <v>8.5299999999999994</v>
      </c>
      <c r="Q888" s="10">
        <v>37</v>
      </c>
      <c r="R888" s="11">
        <f t="shared" si="55"/>
        <v>0.24838882921589686</v>
      </c>
      <c r="S888" t="s">
        <v>65</v>
      </c>
      <c r="T888" t="s">
        <v>86</v>
      </c>
      <c r="U888" t="s">
        <v>67</v>
      </c>
    </row>
    <row r="889" spans="1:21" x14ac:dyDescent="0.35">
      <c r="A889" t="s">
        <v>1014</v>
      </c>
      <c r="B889" s="5">
        <v>45888</v>
      </c>
      <c r="C889" t="s">
        <v>107</v>
      </c>
      <c r="D889" t="s">
        <v>74</v>
      </c>
      <c r="E889" s="9">
        <v>1</v>
      </c>
      <c r="F889" s="10">
        <v>125</v>
      </c>
      <c r="G889" s="11">
        <v>0</v>
      </c>
      <c r="H889" s="10">
        <v>125</v>
      </c>
      <c r="I889" s="9">
        <v>0</v>
      </c>
      <c r="J889" s="10">
        <v>0</v>
      </c>
      <c r="K889" s="9">
        <v>1</v>
      </c>
      <c r="L889" s="10">
        <v>125</v>
      </c>
      <c r="M889" s="10">
        <v>87.1</v>
      </c>
      <c r="N889" s="10">
        <v>37.9</v>
      </c>
      <c r="O889" s="11">
        <f t="shared" si="54"/>
        <v>0.30319999999999997</v>
      </c>
      <c r="P889" s="10">
        <v>12.79</v>
      </c>
      <c r="Q889" s="10">
        <v>25.11</v>
      </c>
      <c r="R889" s="11">
        <f t="shared" si="55"/>
        <v>0.20088</v>
      </c>
      <c r="S889" t="s">
        <v>75</v>
      </c>
      <c r="T889" t="s">
        <v>82</v>
      </c>
      <c r="U889" t="s">
        <v>61</v>
      </c>
    </row>
    <row r="890" spans="1:21" x14ac:dyDescent="0.35">
      <c r="A890" t="s">
        <v>1015</v>
      </c>
      <c r="B890" s="5">
        <v>45715</v>
      </c>
      <c r="C890" t="s">
        <v>69</v>
      </c>
      <c r="D890" t="s">
        <v>70</v>
      </c>
      <c r="E890" s="9">
        <v>1</v>
      </c>
      <c r="F890" s="10">
        <v>210</v>
      </c>
      <c r="G890" s="11">
        <v>0.15</v>
      </c>
      <c r="H890" s="10">
        <v>178.5</v>
      </c>
      <c r="I890" s="9">
        <v>0</v>
      </c>
      <c r="J890" s="10">
        <v>0</v>
      </c>
      <c r="K890" s="9">
        <v>1</v>
      </c>
      <c r="L890" s="10">
        <v>178.5</v>
      </c>
      <c r="M890" s="10">
        <v>136.94999999999999</v>
      </c>
      <c r="N890" s="10">
        <v>41.55</v>
      </c>
      <c r="O890" s="11">
        <f t="shared" si="54"/>
        <v>0.23277310924369746</v>
      </c>
      <c r="P890" s="10">
        <v>9.8800000000000008</v>
      </c>
      <c r="Q890" s="10">
        <v>31.67</v>
      </c>
      <c r="R890" s="11">
        <f t="shared" si="55"/>
        <v>0.17742296918767508</v>
      </c>
      <c r="S890" t="s">
        <v>75</v>
      </c>
      <c r="T890" t="s">
        <v>82</v>
      </c>
      <c r="U890" t="s">
        <v>71</v>
      </c>
    </row>
    <row r="891" spans="1:21" x14ac:dyDescent="0.35">
      <c r="A891" t="s">
        <v>1016</v>
      </c>
      <c r="B891" s="5">
        <v>45870</v>
      </c>
      <c r="C891" t="s">
        <v>117</v>
      </c>
      <c r="D891" t="s">
        <v>74</v>
      </c>
      <c r="E891" s="9">
        <v>8</v>
      </c>
      <c r="F891" s="10">
        <v>95</v>
      </c>
      <c r="G891" s="11">
        <v>0.05</v>
      </c>
      <c r="H891" s="10">
        <v>722</v>
      </c>
      <c r="I891" s="9">
        <v>0</v>
      </c>
      <c r="J891" s="10">
        <v>0</v>
      </c>
      <c r="K891" s="9">
        <v>8</v>
      </c>
      <c r="L891" s="10">
        <v>722</v>
      </c>
      <c r="M891" s="10">
        <v>484.38</v>
      </c>
      <c r="N891" s="10">
        <v>237.62</v>
      </c>
      <c r="O891" s="11">
        <f t="shared" si="54"/>
        <v>0.32911357340720221</v>
      </c>
      <c r="P891" s="10">
        <v>75.86</v>
      </c>
      <c r="Q891" s="10">
        <v>161.76</v>
      </c>
      <c r="R891" s="11">
        <f t="shared" si="55"/>
        <v>0.22404432132963989</v>
      </c>
      <c r="S891" t="s">
        <v>65</v>
      </c>
      <c r="T891" t="s">
        <v>66</v>
      </c>
      <c r="U891" t="s">
        <v>61</v>
      </c>
    </row>
    <row r="892" spans="1:21" x14ac:dyDescent="0.35">
      <c r="A892" t="s">
        <v>1017</v>
      </c>
      <c r="B892" s="5">
        <v>45974</v>
      </c>
      <c r="C892" t="s">
        <v>69</v>
      </c>
      <c r="D892" t="s">
        <v>70</v>
      </c>
      <c r="E892" s="9">
        <v>5</v>
      </c>
      <c r="F892" s="10">
        <v>210</v>
      </c>
      <c r="G892" s="11">
        <v>0</v>
      </c>
      <c r="H892" s="10">
        <v>1050</v>
      </c>
      <c r="I892" s="9">
        <v>0</v>
      </c>
      <c r="J892" s="10">
        <v>0</v>
      </c>
      <c r="K892" s="9">
        <v>5</v>
      </c>
      <c r="L892" s="10">
        <v>1050</v>
      </c>
      <c r="M892" s="10">
        <v>825.53</v>
      </c>
      <c r="N892" s="10">
        <v>224.47</v>
      </c>
      <c r="O892" s="11">
        <f t="shared" si="54"/>
        <v>0.21378095238095238</v>
      </c>
      <c r="P892" s="10">
        <v>128.72999999999999</v>
      </c>
      <c r="Q892" s="10">
        <v>95.74</v>
      </c>
      <c r="R892" s="11">
        <f t="shared" si="55"/>
        <v>9.1180952380952376E-2</v>
      </c>
      <c r="S892" t="s">
        <v>65</v>
      </c>
      <c r="T892" t="s">
        <v>86</v>
      </c>
      <c r="U892" t="s">
        <v>71</v>
      </c>
    </row>
    <row r="893" spans="1:21" x14ac:dyDescent="0.35">
      <c r="A893" t="s">
        <v>1018</v>
      </c>
      <c r="B893" s="5">
        <v>46020</v>
      </c>
      <c r="C893" t="s">
        <v>92</v>
      </c>
      <c r="D893" t="s">
        <v>79</v>
      </c>
      <c r="E893" s="9">
        <v>2</v>
      </c>
      <c r="F893" s="10">
        <v>85</v>
      </c>
      <c r="G893" s="11">
        <v>0</v>
      </c>
      <c r="H893" s="10">
        <v>170</v>
      </c>
      <c r="I893" s="9">
        <v>0</v>
      </c>
      <c r="J893" s="10">
        <v>0</v>
      </c>
      <c r="K893" s="9">
        <v>2</v>
      </c>
      <c r="L893" s="10">
        <v>170</v>
      </c>
      <c r="M893" s="10">
        <v>108.27</v>
      </c>
      <c r="N893" s="10">
        <v>61.73</v>
      </c>
      <c r="O893" s="11">
        <f t="shared" si="54"/>
        <v>0.36311764705882349</v>
      </c>
      <c r="P893" s="10">
        <v>12.91</v>
      </c>
      <c r="Q893" s="10">
        <v>48.82</v>
      </c>
      <c r="R893" s="11">
        <f t="shared" si="55"/>
        <v>0.28717647058823531</v>
      </c>
      <c r="S893" t="s">
        <v>81</v>
      </c>
      <c r="T893" t="s">
        <v>60</v>
      </c>
      <c r="U893" t="s">
        <v>71</v>
      </c>
    </row>
    <row r="894" spans="1:21" x14ac:dyDescent="0.35">
      <c r="A894" t="s">
        <v>1019</v>
      </c>
      <c r="B894" s="5">
        <v>45922</v>
      </c>
      <c r="C894" t="s">
        <v>88</v>
      </c>
      <c r="D894" t="s">
        <v>57</v>
      </c>
      <c r="E894" s="9">
        <v>4</v>
      </c>
      <c r="F894" s="10">
        <v>30</v>
      </c>
      <c r="G894" s="11">
        <v>0</v>
      </c>
      <c r="H894" s="10">
        <v>120</v>
      </c>
      <c r="I894" s="9">
        <v>0</v>
      </c>
      <c r="J894" s="10">
        <v>0</v>
      </c>
      <c r="K894" s="9">
        <v>4</v>
      </c>
      <c r="L894" s="10">
        <v>120</v>
      </c>
      <c r="M894" s="10">
        <v>88.41</v>
      </c>
      <c r="N894" s="10">
        <v>31.59</v>
      </c>
      <c r="O894" s="11">
        <f t="shared" si="54"/>
        <v>0.26324999999999998</v>
      </c>
      <c r="P894" s="10">
        <v>14.32</v>
      </c>
      <c r="Q894" s="10">
        <v>17.27</v>
      </c>
      <c r="R894" s="11">
        <f t="shared" si="55"/>
        <v>0.14391666666666666</v>
      </c>
      <c r="S894" t="s">
        <v>59</v>
      </c>
      <c r="T894" t="s">
        <v>60</v>
      </c>
      <c r="U894" t="s">
        <v>67</v>
      </c>
    </row>
    <row r="895" spans="1:21" x14ac:dyDescent="0.35">
      <c r="A895" t="s">
        <v>1020</v>
      </c>
      <c r="B895" s="5">
        <v>45820</v>
      </c>
      <c r="C895" t="s">
        <v>90</v>
      </c>
      <c r="D895" t="s">
        <v>70</v>
      </c>
      <c r="E895" s="9">
        <v>5</v>
      </c>
      <c r="F895" s="10">
        <v>38</v>
      </c>
      <c r="G895" s="11">
        <v>0.02</v>
      </c>
      <c r="H895" s="10">
        <v>186.2</v>
      </c>
      <c r="I895" s="9">
        <v>0</v>
      </c>
      <c r="J895" s="10">
        <v>0</v>
      </c>
      <c r="K895" s="9">
        <v>5</v>
      </c>
      <c r="L895" s="10">
        <v>186.2</v>
      </c>
      <c r="M895" s="10">
        <v>136.52000000000001</v>
      </c>
      <c r="N895" s="10">
        <v>49.68</v>
      </c>
      <c r="O895" s="11">
        <f t="shared" si="54"/>
        <v>0.26680988184747584</v>
      </c>
      <c r="P895" s="10">
        <v>10</v>
      </c>
      <c r="Q895" s="10">
        <v>39.68</v>
      </c>
      <c r="R895" s="11">
        <f t="shared" si="55"/>
        <v>0.21310418904403869</v>
      </c>
      <c r="S895" t="s">
        <v>59</v>
      </c>
      <c r="T895" t="s">
        <v>86</v>
      </c>
      <c r="U895" t="s">
        <v>61</v>
      </c>
    </row>
    <row r="896" spans="1:21" x14ac:dyDescent="0.35">
      <c r="A896" t="s">
        <v>1021</v>
      </c>
      <c r="B896" s="5">
        <v>45775</v>
      </c>
      <c r="C896" t="s">
        <v>109</v>
      </c>
      <c r="D896" t="s">
        <v>85</v>
      </c>
      <c r="E896" s="9">
        <v>3</v>
      </c>
      <c r="F896" s="10">
        <v>180</v>
      </c>
      <c r="G896" s="11">
        <v>0</v>
      </c>
      <c r="H896" s="10">
        <v>540</v>
      </c>
      <c r="I896" s="9">
        <v>0</v>
      </c>
      <c r="J896" s="10">
        <v>0</v>
      </c>
      <c r="K896" s="9">
        <v>3</v>
      </c>
      <c r="L896" s="10">
        <v>540</v>
      </c>
      <c r="M896" s="10">
        <v>374.48</v>
      </c>
      <c r="N896" s="10">
        <v>165.52</v>
      </c>
      <c r="O896" s="11">
        <f t="shared" si="54"/>
        <v>0.30651851851851852</v>
      </c>
      <c r="P896" s="10">
        <v>37.340000000000003</v>
      </c>
      <c r="Q896" s="10">
        <v>128.18</v>
      </c>
      <c r="R896" s="11">
        <f t="shared" si="55"/>
        <v>0.23737037037037037</v>
      </c>
      <c r="S896" t="s">
        <v>81</v>
      </c>
      <c r="T896" t="s">
        <v>86</v>
      </c>
      <c r="U896" t="s">
        <v>76</v>
      </c>
    </row>
    <row r="897" spans="1:21" x14ac:dyDescent="0.35">
      <c r="A897" t="s">
        <v>1022</v>
      </c>
      <c r="B897" s="5">
        <v>45683</v>
      </c>
      <c r="C897" t="s">
        <v>121</v>
      </c>
      <c r="D897" t="s">
        <v>70</v>
      </c>
      <c r="E897" s="9">
        <v>3</v>
      </c>
      <c r="F897" s="10">
        <v>110</v>
      </c>
      <c r="G897" s="11">
        <v>0</v>
      </c>
      <c r="H897" s="10">
        <v>330</v>
      </c>
      <c r="I897" s="9">
        <v>0</v>
      </c>
      <c r="J897" s="10">
        <v>0</v>
      </c>
      <c r="K897" s="9">
        <v>3</v>
      </c>
      <c r="L897" s="10">
        <v>330</v>
      </c>
      <c r="M897" s="10">
        <v>262.49</v>
      </c>
      <c r="N897" s="10">
        <v>67.510000000000005</v>
      </c>
      <c r="O897" s="11">
        <f t="shared" si="54"/>
        <v>0.20457575757575758</v>
      </c>
      <c r="P897" s="10">
        <v>35.96</v>
      </c>
      <c r="Q897" s="10">
        <v>31.55</v>
      </c>
      <c r="R897" s="11">
        <f t="shared" si="55"/>
        <v>9.5606060606060611E-2</v>
      </c>
      <c r="S897" t="s">
        <v>81</v>
      </c>
      <c r="T897" t="s">
        <v>86</v>
      </c>
      <c r="U897" t="s">
        <v>67</v>
      </c>
    </row>
    <row r="898" spans="1:21" x14ac:dyDescent="0.35">
      <c r="A898" t="s">
        <v>1023</v>
      </c>
      <c r="B898" s="5">
        <v>46001</v>
      </c>
      <c r="C898" t="s">
        <v>92</v>
      </c>
      <c r="D898" t="s">
        <v>79</v>
      </c>
      <c r="E898" s="9">
        <v>4</v>
      </c>
      <c r="F898" s="10">
        <v>85</v>
      </c>
      <c r="G898" s="11">
        <v>0</v>
      </c>
      <c r="H898" s="10">
        <v>340</v>
      </c>
      <c r="I898" s="9">
        <v>0</v>
      </c>
      <c r="J898" s="10">
        <v>0</v>
      </c>
      <c r="K898" s="9">
        <v>4</v>
      </c>
      <c r="L898" s="10">
        <v>340</v>
      </c>
      <c r="M898" s="10">
        <v>280.95999999999998</v>
      </c>
      <c r="N898" s="10">
        <v>59.04</v>
      </c>
      <c r="O898" s="11">
        <f t="shared" si="54"/>
        <v>0.1736470588235294</v>
      </c>
      <c r="P898" s="10">
        <v>24.14</v>
      </c>
      <c r="Q898" s="10">
        <v>34.9</v>
      </c>
      <c r="R898" s="11">
        <f t="shared" si="55"/>
        <v>0.10264705882352941</v>
      </c>
      <c r="S898" t="s">
        <v>75</v>
      </c>
      <c r="T898" t="s">
        <v>66</v>
      </c>
      <c r="U898" t="s">
        <v>76</v>
      </c>
    </row>
    <row r="899" spans="1:21" x14ac:dyDescent="0.35">
      <c r="A899" t="s">
        <v>1024</v>
      </c>
      <c r="B899" s="5">
        <v>45895</v>
      </c>
      <c r="C899" t="s">
        <v>69</v>
      </c>
      <c r="D899" t="s">
        <v>70</v>
      </c>
      <c r="E899" s="9">
        <v>2</v>
      </c>
      <c r="F899" s="10">
        <v>210</v>
      </c>
      <c r="G899" s="11">
        <v>0.05</v>
      </c>
      <c r="H899" s="10">
        <v>399</v>
      </c>
      <c r="I899" s="9">
        <v>0</v>
      </c>
      <c r="J899" s="10">
        <v>0</v>
      </c>
      <c r="K899" s="9">
        <v>2</v>
      </c>
      <c r="L899" s="10">
        <v>399</v>
      </c>
      <c r="M899" s="10">
        <v>281.51</v>
      </c>
      <c r="N899" s="10">
        <v>117.49</v>
      </c>
      <c r="O899" s="11">
        <f t="shared" ref="O899:O909" si="56">N899/L899</f>
        <v>0.29446115288220548</v>
      </c>
      <c r="P899" s="10">
        <v>50.65</v>
      </c>
      <c r="Q899" s="10">
        <v>66.84</v>
      </c>
      <c r="R899" s="11">
        <f t="shared" ref="R899:R909" si="57">Q899/L899</f>
        <v>0.16751879699248121</v>
      </c>
      <c r="S899" t="s">
        <v>65</v>
      </c>
      <c r="T899" t="s">
        <v>82</v>
      </c>
      <c r="U899" t="s">
        <v>61</v>
      </c>
    </row>
    <row r="900" spans="1:21" x14ac:dyDescent="0.35">
      <c r="A900" t="s">
        <v>1025</v>
      </c>
      <c r="B900" s="5">
        <v>45987</v>
      </c>
      <c r="C900" t="s">
        <v>63</v>
      </c>
      <c r="D900" t="s">
        <v>64</v>
      </c>
      <c r="E900" s="9">
        <v>3</v>
      </c>
      <c r="F900" s="10">
        <v>145</v>
      </c>
      <c r="G900" s="11">
        <v>0</v>
      </c>
      <c r="H900" s="10">
        <v>435</v>
      </c>
      <c r="I900" s="9">
        <v>0</v>
      </c>
      <c r="J900" s="10">
        <v>0</v>
      </c>
      <c r="K900" s="9">
        <v>3</v>
      </c>
      <c r="L900" s="10">
        <v>435</v>
      </c>
      <c r="M900" s="10">
        <v>312.45999999999998</v>
      </c>
      <c r="N900" s="10">
        <v>122.54</v>
      </c>
      <c r="O900" s="11">
        <f t="shared" si="56"/>
        <v>0.28170114942528734</v>
      </c>
      <c r="P900" s="10">
        <v>48.59</v>
      </c>
      <c r="Q900" s="10">
        <v>73.95</v>
      </c>
      <c r="R900" s="11">
        <f t="shared" si="57"/>
        <v>0.17</v>
      </c>
      <c r="S900" t="s">
        <v>75</v>
      </c>
      <c r="T900" t="s">
        <v>60</v>
      </c>
      <c r="U900" t="s">
        <v>76</v>
      </c>
    </row>
    <row r="901" spans="1:21" x14ac:dyDescent="0.35">
      <c r="A901" t="s">
        <v>1026</v>
      </c>
      <c r="B901" s="5">
        <v>45803</v>
      </c>
      <c r="C901" t="s">
        <v>73</v>
      </c>
      <c r="D901" t="s">
        <v>74</v>
      </c>
      <c r="E901" s="9">
        <v>1</v>
      </c>
      <c r="F901" s="10">
        <v>280</v>
      </c>
      <c r="G901" s="11">
        <v>0</v>
      </c>
      <c r="H901" s="10">
        <v>280</v>
      </c>
      <c r="I901" s="9">
        <v>0</v>
      </c>
      <c r="J901" s="10">
        <v>0</v>
      </c>
      <c r="K901" s="9">
        <v>1</v>
      </c>
      <c r="L901" s="10">
        <v>280</v>
      </c>
      <c r="M901" s="10">
        <v>190.72</v>
      </c>
      <c r="N901" s="10">
        <v>89.28</v>
      </c>
      <c r="O901" s="11">
        <f t="shared" si="56"/>
        <v>0.31885714285714284</v>
      </c>
      <c r="P901" s="10">
        <v>16.53</v>
      </c>
      <c r="Q901" s="10">
        <v>72.75</v>
      </c>
      <c r="R901" s="11">
        <f t="shared" si="57"/>
        <v>0.25982142857142859</v>
      </c>
      <c r="S901" t="s">
        <v>81</v>
      </c>
      <c r="T901" t="s">
        <v>66</v>
      </c>
      <c r="U901" t="s">
        <v>67</v>
      </c>
    </row>
    <row r="902" spans="1:21" x14ac:dyDescent="0.35">
      <c r="A902" t="s">
        <v>1027</v>
      </c>
      <c r="B902" s="5">
        <v>45771</v>
      </c>
      <c r="C902" t="s">
        <v>117</v>
      </c>
      <c r="D902" t="s">
        <v>74</v>
      </c>
      <c r="E902" s="9">
        <v>5</v>
      </c>
      <c r="F902" s="10">
        <v>95</v>
      </c>
      <c r="G902" s="11">
        <v>0</v>
      </c>
      <c r="H902" s="10">
        <v>475</v>
      </c>
      <c r="I902" s="9">
        <v>0</v>
      </c>
      <c r="J902" s="10">
        <v>0</v>
      </c>
      <c r="K902" s="9">
        <v>5</v>
      </c>
      <c r="L902" s="10">
        <v>475</v>
      </c>
      <c r="M902" s="10">
        <v>309.44</v>
      </c>
      <c r="N902" s="10">
        <v>165.56</v>
      </c>
      <c r="O902" s="11">
        <f t="shared" si="56"/>
        <v>0.34854736842105266</v>
      </c>
      <c r="P902" s="10">
        <v>59.18</v>
      </c>
      <c r="Q902" s="10">
        <v>106.38</v>
      </c>
      <c r="R902" s="11">
        <f t="shared" si="57"/>
        <v>0.22395789473684211</v>
      </c>
      <c r="S902" t="s">
        <v>59</v>
      </c>
      <c r="T902" t="s">
        <v>86</v>
      </c>
      <c r="U902" t="s">
        <v>76</v>
      </c>
    </row>
    <row r="903" spans="1:21" x14ac:dyDescent="0.35">
      <c r="A903" t="s">
        <v>1028</v>
      </c>
      <c r="B903" s="5">
        <v>45856</v>
      </c>
      <c r="C903" t="s">
        <v>56</v>
      </c>
      <c r="D903" t="s">
        <v>57</v>
      </c>
      <c r="E903" s="9">
        <v>3</v>
      </c>
      <c r="F903" s="10">
        <v>40</v>
      </c>
      <c r="G903" s="11">
        <v>0</v>
      </c>
      <c r="H903" s="10">
        <v>120</v>
      </c>
      <c r="I903" s="9">
        <v>0</v>
      </c>
      <c r="J903" s="10">
        <v>0</v>
      </c>
      <c r="K903" s="9">
        <v>3</v>
      </c>
      <c r="L903" s="10">
        <v>120</v>
      </c>
      <c r="M903" s="10">
        <v>101.3</v>
      </c>
      <c r="N903" s="10">
        <v>18.7</v>
      </c>
      <c r="O903" s="11">
        <f t="shared" si="56"/>
        <v>0.15583333333333332</v>
      </c>
      <c r="P903" s="10">
        <v>8.43</v>
      </c>
      <c r="Q903" s="10">
        <v>10.27</v>
      </c>
      <c r="R903" s="11">
        <f t="shared" si="57"/>
        <v>8.5583333333333331E-2</v>
      </c>
      <c r="S903" t="s">
        <v>59</v>
      </c>
      <c r="T903" t="s">
        <v>60</v>
      </c>
      <c r="U903" t="s">
        <v>61</v>
      </c>
    </row>
    <row r="904" spans="1:21" x14ac:dyDescent="0.35">
      <c r="A904" t="s">
        <v>1029</v>
      </c>
      <c r="B904" s="5">
        <v>46013</v>
      </c>
      <c r="C904" t="s">
        <v>56</v>
      </c>
      <c r="D904" t="s">
        <v>57</v>
      </c>
      <c r="E904" s="9">
        <v>3</v>
      </c>
      <c r="F904" s="10">
        <v>40</v>
      </c>
      <c r="G904" s="11">
        <v>0</v>
      </c>
      <c r="H904" s="10">
        <v>120</v>
      </c>
      <c r="I904" s="9">
        <v>0</v>
      </c>
      <c r="J904" s="10">
        <v>0</v>
      </c>
      <c r="K904" s="9">
        <v>3</v>
      </c>
      <c r="L904" s="10">
        <v>120</v>
      </c>
      <c r="M904" s="10">
        <v>82.1</v>
      </c>
      <c r="N904" s="10">
        <v>37.9</v>
      </c>
      <c r="O904" s="11">
        <f t="shared" si="56"/>
        <v>0.3158333333333333</v>
      </c>
      <c r="P904" s="10">
        <v>7.42</v>
      </c>
      <c r="Q904" s="10">
        <v>30.48</v>
      </c>
      <c r="R904" s="11">
        <f t="shared" si="57"/>
        <v>0.254</v>
      </c>
      <c r="S904" t="s">
        <v>59</v>
      </c>
      <c r="T904" t="s">
        <v>60</v>
      </c>
      <c r="U904" t="s">
        <v>67</v>
      </c>
    </row>
    <row r="905" spans="1:21" x14ac:dyDescent="0.35">
      <c r="A905" t="s">
        <v>1030</v>
      </c>
      <c r="B905" s="5">
        <v>46022</v>
      </c>
      <c r="C905" t="s">
        <v>107</v>
      </c>
      <c r="D905" t="s">
        <v>74</v>
      </c>
      <c r="E905" s="9">
        <v>8</v>
      </c>
      <c r="F905" s="10">
        <v>125</v>
      </c>
      <c r="G905" s="11">
        <v>0.1</v>
      </c>
      <c r="H905" s="10">
        <v>900</v>
      </c>
      <c r="I905" s="9">
        <v>0</v>
      </c>
      <c r="J905" s="10">
        <v>0</v>
      </c>
      <c r="K905" s="9">
        <v>8</v>
      </c>
      <c r="L905" s="10">
        <v>900</v>
      </c>
      <c r="M905" s="10">
        <v>762.35</v>
      </c>
      <c r="N905" s="10">
        <v>137.65</v>
      </c>
      <c r="O905" s="11">
        <f t="shared" si="56"/>
        <v>0.15294444444444444</v>
      </c>
      <c r="P905" s="10">
        <v>54.47</v>
      </c>
      <c r="Q905" s="10">
        <v>83.18</v>
      </c>
      <c r="R905" s="11">
        <f t="shared" si="57"/>
        <v>9.2422222222222225E-2</v>
      </c>
      <c r="S905" t="s">
        <v>81</v>
      </c>
      <c r="T905" t="s">
        <v>82</v>
      </c>
      <c r="U905" t="s">
        <v>61</v>
      </c>
    </row>
    <row r="906" spans="1:21" x14ac:dyDescent="0.35">
      <c r="A906" t="s">
        <v>1031</v>
      </c>
      <c r="B906" s="5">
        <v>45760</v>
      </c>
      <c r="C906" t="s">
        <v>97</v>
      </c>
      <c r="D906" t="s">
        <v>57</v>
      </c>
      <c r="E906" s="9">
        <v>3</v>
      </c>
      <c r="F906" s="10">
        <v>55</v>
      </c>
      <c r="G906" s="11">
        <v>0.02</v>
      </c>
      <c r="H906" s="10">
        <v>161.69999999999999</v>
      </c>
      <c r="I906" s="9">
        <v>0</v>
      </c>
      <c r="J906" s="10">
        <v>0</v>
      </c>
      <c r="K906" s="9">
        <v>3</v>
      </c>
      <c r="L906" s="10">
        <v>161.69999999999999</v>
      </c>
      <c r="M906" s="10">
        <v>113.57</v>
      </c>
      <c r="N906" s="10">
        <v>48.13</v>
      </c>
      <c r="O906" s="11">
        <f t="shared" si="56"/>
        <v>0.29764996907854052</v>
      </c>
      <c r="P906" s="10">
        <v>9.0299999999999994</v>
      </c>
      <c r="Q906" s="10">
        <v>39.1</v>
      </c>
      <c r="R906" s="11">
        <f t="shared" si="57"/>
        <v>0.24180581323438469</v>
      </c>
      <c r="S906" t="s">
        <v>65</v>
      </c>
      <c r="T906" t="s">
        <v>82</v>
      </c>
      <c r="U906" t="s">
        <v>67</v>
      </c>
    </row>
    <row r="907" spans="1:21" x14ac:dyDescent="0.35">
      <c r="A907" t="s">
        <v>1032</v>
      </c>
      <c r="B907" s="5">
        <v>45856</v>
      </c>
      <c r="C907" t="s">
        <v>95</v>
      </c>
      <c r="D907" t="s">
        <v>64</v>
      </c>
      <c r="E907" s="9">
        <v>4</v>
      </c>
      <c r="F907" s="10">
        <v>52</v>
      </c>
      <c r="G907" s="11">
        <v>0</v>
      </c>
      <c r="H907" s="10">
        <v>208</v>
      </c>
      <c r="I907" s="9">
        <v>0</v>
      </c>
      <c r="J907" s="10">
        <v>0</v>
      </c>
      <c r="K907" s="9">
        <v>4</v>
      </c>
      <c r="L907" s="10">
        <v>208</v>
      </c>
      <c r="M907" s="10">
        <v>166.58</v>
      </c>
      <c r="N907" s="10">
        <v>41.42</v>
      </c>
      <c r="O907" s="11">
        <f t="shared" si="56"/>
        <v>0.19913461538461538</v>
      </c>
      <c r="P907" s="10">
        <v>23.37</v>
      </c>
      <c r="Q907" s="10">
        <v>18.05</v>
      </c>
      <c r="R907" s="11">
        <f t="shared" si="57"/>
        <v>8.6778846153846151E-2</v>
      </c>
      <c r="S907" t="s">
        <v>65</v>
      </c>
      <c r="T907" t="s">
        <v>82</v>
      </c>
      <c r="U907" t="s">
        <v>61</v>
      </c>
    </row>
    <row r="908" spans="1:21" x14ac:dyDescent="0.35">
      <c r="A908" t="s">
        <v>1033</v>
      </c>
      <c r="B908" s="5">
        <v>45814</v>
      </c>
      <c r="C908" t="s">
        <v>125</v>
      </c>
      <c r="D908" t="s">
        <v>85</v>
      </c>
      <c r="E908" s="9">
        <v>1</v>
      </c>
      <c r="F908" s="10">
        <v>125</v>
      </c>
      <c r="G908" s="11">
        <v>0.02</v>
      </c>
      <c r="H908" s="10">
        <v>122.5</v>
      </c>
      <c r="I908" s="9">
        <v>0</v>
      </c>
      <c r="J908" s="10">
        <v>0</v>
      </c>
      <c r="K908" s="9">
        <v>1</v>
      </c>
      <c r="L908" s="10">
        <v>122.5</v>
      </c>
      <c r="M908" s="10">
        <v>101.32</v>
      </c>
      <c r="N908" s="10">
        <v>21.18</v>
      </c>
      <c r="O908" s="11">
        <f t="shared" si="56"/>
        <v>0.17289795918367346</v>
      </c>
      <c r="P908" s="10">
        <v>14.09</v>
      </c>
      <c r="Q908" s="10">
        <v>7.09</v>
      </c>
      <c r="R908" s="11">
        <f t="shared" si="57"/>
        <v>5.7877551020408161E-2</v>
      </c>
      <c r="S908" t="s">
        <v>75</v>
      </c>
      <c r="T908" t="s">
        <v>66</v>
      </c>
      <c r="U908" t="s">
        <v>76</v>
      </c>
    </row>
    <row r="909" spans="1:21" x14ac:dyDescent="0.35">
      <c r="A909" t="s">
        <v>1034</v>
      </c>
      <c r="B909" s="5">
        <v>45875</v>
      </c>
      <c r="C909" t="s">
        <v>78</v>
      </c>
      <c r="D909" t="s">
        <v>79</v>
      </c>
      <c r="E909" s="9">
        <v>8</v>
      </c>
      <c r="F909" s="10">
        <v>120</v>
      </c>
      <c r="G909" s="11">
        <v>0.02</v>
      </c>
      <c r="H909" s="10">
        <v>940.8</v>
      </c>
      <c r="I909" s="9">
        <v>0</v>
      </c>
      <c r="J909" s="10">
        <v>0</v>
      </c>
      <c r="K909" s="9">
        <v>8</v>
      </c>
      <c r="L909" s="10">
        <v>940.8</v>
      </c>
      <c r="M909" s="10">
        <v>672.47</v>
      </c>
      <c r="N909" s="10">
        <v>268.33</v>
      </c>
      <c r="O909" s="11">
        <f t="shared" si="56"/>
        <v>0.28521471088435374</v>
      </c>
      <c r="P909" s="10">
        <v>120.96</v>
      </c>
      <c r="Q909" s="10">
        <v>147.37</v>
      </c>
      <c r="R909" s="11">
        <f t="shared" si="57"/>
        <v>0.15664328231292518</v>
      </c>
      <c r="S909" t="s">
        <v>65</v>
      </c>
      <c r="T909" t="s">
        <v>66</v>
      </c>
      <c r="U909" t="s">
        <v>67</v>
      </c>
    </row>
    <row r="910" spans="1:21" x14ac:dyDescent="0.35">
      <c r="A910" t="s">
        <v>1035</v>
      </c>
      <c r="B910" s="5">
        <v>45950</v>
      </c>
      <c r="C910" t="s">
        <v>97</v>
      </c>
      <c r="D910" t="s">
        <v>57</v>
      </c>
      <c r="E910" s="9">
        <v>2</v>
      </c>
      <c r="F910" s="10">
        <v>55</v>
      </c>
      <c r="G910" s="11">
        <v>0</v>
      </c>
      <c r="H910" s="10">
        <v>110</v>
      </c>
      <c r="I910" s="9">
        <v>2</v>
      </c>
      <c r="J910" s="10">
        <v>110</v>
      </c>
      <c r="K910" s="9">
        <v>0</v>
      </c>
      <c r="L910" s="10">
        <v>0</v>
      </c>
      <c r="M910" s="10">
        <v>0</v>
      </c>
      <c r="N910" s="10">
        <v>0</v>
      </c>
      <c r="O910" s="11">
        <v>0</v>
      </c>
      <c r="P910" s="10">
        <v>0</v>
      </c>
      <c r="Q910" s="10">
        <v>0</v>
      </c>
      <c r="R910" s="11">
        <v>0</v>
      </c>
      <c r="S910" t="s">
        <v>59</v>
      </c>
      <c r="T910" t="s">
        <v>60</v>
      </c>
      <c r="U910" t="s">
        <v>71</v>
      </c>
    </row>
    <row r="911" spans="1:21" x14ac:dyDescent="0.35">
      <c r="A911" t="s">
        <v>1036</v>
      </c>
      <c r="B911" s="5">
        <v>45705</v>
      </c>
      <c r="C911" t="s">
        <v>104</v>
      </c>
      <c r="D911" t="s">
        <v>105</v>
      </c>
      <c r="E911" s="9">
        <v>3</v>
      </c>
      <c r="F911" s="10">
        <v>65</v>
      </c>
      <c r="G911" s="11">
        <v>0</v>
      </c>
      <c r="H911" s="10">
        <v>195</v>
      </c>
      <c r="I911" s="9">
        <v>0</v>
      </c>
      <c r="J911" s="10">
        <v>0</v>
      </c>
      <c r="K911" s="9">
        <v>3</v>
      </c>
      <c r="L911" s="10">
        <v>195</v>
      </c>
      <c r="M911" s="10">
        <v>135.91</v>
      </c>
      <c r="N911" s="10">
        <v>59.09</v>
      </c>
      <c r="O911" s="11">
        <f t="shared" ref="O911:O930" si="58">N911/L911</f>
        <v>0.30302564102564106</v>
      </c>
      <c r="P911" s="10">
        <v>19.760000000000002</v>
      </c>
      <c r="Q911" s="10">
        <v>39.33</v>
      </c>
      <c r="R911" s="11">
        <f t="shared" ref="R911:R930" si="59">Q911/L911</f>
        <v>0.20169230769230767</v>
      </c>
      <c r="S911" t="s">
        <v>81</v>
      </c>
      <c r="T911" t="s">
        <v>82</v>
      </c>
      <c r="U911" t="s">
        <v>67</v>
      </c>
    </row>
    <row r="912" spans="1:21" x14ac:dyDescent="0.35">
      <c r="A912" t="s">
        <v>1037</v>
      </c>
      <c r="B912" s="5">
        <v>46014</v>
      </c>
      <c r="C912" t="s">
        <v>90</v>
      </c>
      <c r="D912" t="s">
        <v>70</v>
      </c>
      <c r="E912" s="9">
        <v>5</v>
      </c>
      <c r="F912" s="10">
        <v>38</v>
      </c>
      <c r="G912" s="11">
        <v>0.02</v>
      </c>
      <c r="H912" s="10">
        <v>186.2</v>
      </c>
      <c r="I912" s="9">
        <v>0</v>
      </c>
      <c r="J912" s="10">
        <v>0</v>
      </c>
      <c r="K912" s="9">
        <v>5</v>
      </c>
      <c r="L912" s="10">
        <v>186.2</v>
      </c>
      <c r="M912" s="10">
        <v>140.93</v>
      </c>
      <c r="N912" s="10">
        <v>45.27</v>
      </c>
      <c r="O912" s="11">
        <f t="shared" si="58"/>
        <v>0.24312567132116009</v>
      </c>
      <c r="P912" s="10">
        <v>11.4</v>
      </c>
      <c r="Q912" s="10">
        <v>33.869999999999997</v>
      </c>
      <c r="R912" s="11">
        <f t="shared" si="59"/>
        <v>0.18190118152524168</v>
      </c>
      <c r="S912" t="s">
        <v>59</v>
      </c>
      <c r="T912" t="s">
        <v>66</v>
      </c>
      <c r="U912" t="s">
        <v>71</v>
      </c>
    </row>
    <row r="913" spans="1:21" x14ac:dyDescent="0.35">
      <c r="A913" t="s">
        <v>1038</v>
      </c>
      <c r="B913" s="5">
        <v>45746</v>
      </c>
      <c r="C913" t="s">
        <v>107</v>
      </c>
      <c r="D913" t="s">
        <v>74</v>
      </c>
      <c r="E913" s="9">
        <v>8</v>
      </c>
      <c r="F913" s="10">
        <v>125</v>
      </c>
      <c r="G913" s="11">
        <v>0.1</v>
      </c>
      <c r="H913" s="10">
        <v>900</v>
      </c>
      <c r="I913" s="9">
        <v>0</v>
      </c>
      <c r="J913" s="10">
        <v>0</v>
      </c>
      <c r="K913" s="9">
        <v>8</v>
      </c>
      <c r="L913" s="10">
        <v>900</v>
      </c>
      <c r="M913" s="10">
        <v>677.84</v>
      </c>
      <c r="N913" s="10">
        <v>222.16</v>
      </c>
      <c r="O913" s="11">
        <f t="shared" si="58"/>
        <v>0.24684444444444445</v>
      </c>
      <c r="P913" s="10">
        <v>114.25</v>
      </c>
      <c r="Q913" s="10">
        <v>107.91</v>
      </c>
      <c r="R913" s="11">
        <f t="shared" si="59"/>
        <v>0.11989999999999999</v>
      </c>
      <c r="S913" t="s">
        <v>75</v>
      </c>
      <c r="T913" t="s">
        <v>66</v>
      </c>
      <c r="U913" t="s">
        <v>67</v>
      </c>
    </row>
    <row r="914" spans="1:21" x14ac:dyDescent="0.35">
      <c r="A914" t="s">
        <v>1039</v>
      </c>
      <c r="B914" s="5">
        <v>45802</v>
      </c>
      <c r="C914" t="s">
        <v>84</v>
      </c>
      <c r="D914" t="s">
        <v>85</v>
      </c>
      <c r="E914" s="9">
        <v>10</v>
      </c>
      <c r="F914" s="10">
        <v>48</v>
      </c>
      <c r="G914" s="11">
        <v>0</v>
      </c>
      <c r="H914" s="10">
        <v>480</v>
      </c>
      <c r="I914" s="9">
        <v>0</v>
      </c>
      <c r="J914" s="10">
        <v>0</v>
      </c>
      <c r="K914" s="9">
        <v>10</v>
      </c>
      <c r="L914" s="10">
        <v>480</v>
      </c>
      <c r="M914" s="10">
        <v>353.76</v>
      </c>
      <c r="N914" s="10">
        <v>126.24</v>
      </c>
      <c r="O914" s="11">
        <f t="shared" si="58"/>
        <v>0.26300000000000001</v>
      </c>
      <c r="P914" s="10">
        <v>48.55</v>
      </c>
      <c r="Q914" s="10">
        <v>77.69</v>
      </c>
      <c r="R914" s="11">
        <f t="shared" si="59"/>
        <v>0.16185416666666666</v>
      </c>
      <c r="S914" t="s">
        <v>65</v>
      </c>
      <c r="T914" t="s">
        <v>82</v>
      </c>
      <c r="U914" t="s">
        <v>61</v>
      </c>
    </row>
    <row r="915" spans="1:21" x14ac:dyDescent="0.35">
      <c r="A915" t="s">
        <v>1040</v>
      </c>
      <c r="B915" s="5">
        <v>45835</v>
      </c>
      <c r="C915" t="s">
        <v>107</v>
      </c>
      <c r="D915" t="s">
        <v>74</v>
      </c>
      <c r="E915" s="9">
        <v>4</v>
      </c>
      <c r="F915" s="10">
        <v>125</v>
      </c>
      <c r="G915" s="11">
        <v>0</v>
      </c>
      <c r="H915" s="10">
        <v>500</v>
      </c>
      <c r="I915" s="9">
        <v>0</v>
      </c>
      <c r="J915" s="10">
        <v>0</v>
      </c>
      <c r="K915" s="9">
        <v>4</v>
      </c>
      <c r="L915" s="10">
        <v>500</v>
      </c>
      <c r="M915" s="10">
        <v>340.8</v>
      </c>
      <c r="N915" s="10">
        <v>159.19999999999999</v>
      </c>
      <c r="O915" s="11">
        <f t="shared" si="58"/>
        <v>0.31839999999999996</v>
      </c>
      <c r="P915" s="10">
        <v>44.2</v>
      </c>
      <c r="Q915" s="10">
        <v>115</v>
      </c>
      <c r="R915" s="11">
        <f t="shared" si="59"/>
        <v>0.23</v>
      </c>
      <c r="S915" t="s">
        <v>75</v>
      </c>
      <c r="T915" t="s">
        <v>82</v>
      </c>
      <c r="U915" t="s">
        <v>71</v>
      </c>
    </row>
    <row r="916" spans="1:21" x14ac:dyDescent="0.35">
      <c r="A916" t="s">
        <v>1041</v>
      </c>
      <c r="B916" s="5">
        <v>45737</v>
      </c>
      <c r="C916" t="s">
        <v>73</v>
      </c>
      <c r="D916" t="s">
        <v>74</v>
      </c>
      <c r="E916" s="9">
        <v>5</v>
      </c>
      <c r="F916" s="10">
        <v>280</v>
      </c>
      <c r="G916" s="11">
        <v>0</v>
      </c>
      <c r="H916" s="10">
        <v>1400</v>
      </c>
      <c r="I916" s="9">
        <v>0</v>
      </c>
      <c r="J916" s="10">
        <v>0</v>
      </c>
      <c r="K916" s="9">
        <v>5</v>
      </c>
      <c r="L916" s="10">
        <v>1400</v>
      </c>
      <c r="M916" s="10">
        <v>869.81</v>
      </c>
      <c r="N916" s="10">
        <v>530.19000000000005</v>
      </c>
      <c r="O916" s="11">
        <f t="shared" si="58"/>
        <v>0.37870714285714291</v>
      </c>
      <c r="P916" s="10">
        <v>178.93</v>
      </c>
      <c r="Q916" s="10">
        <v>351.26</v>
      </c>
      <c r="R916" s="11">
        <f t="shared" si="59"/>
        <v>0.25090000000000001</v>
      </c>
      <c r="S916" t="s">
        <v>81</v>
      </c>
      <c r="T916" t="s">
        <v>82</v>
      </c>
      <c r="U916" t="s">
        <v>67</v>
      </c>
    </row>
    <row r="917" spans="1:21" x14ac:dyDescent="0.35">
      <c r="A917" t="s">
        <v>1042</v>
      </c>
      <c r="B917" s="5">
        <v>45684</v>
      </c>
      <c r="C917" t="s">
        <v>97</v>
      </c>
      <c r="D917" t="s">
        <v>57</v>
      </c>
      <c r="E917" s="9">
        <v>2</v>
      </c>
      <c r="F917" s="10">
        <v>55</v>
      </c>
      <c r="G917" s="11">
        <v>0</v>
      </c>
      <c r="H917" s="10">
        <v>110</v>
      </c>
      <c r="I917" s="9">
        <v>0</v>
      </c>
      <c r="J917" s="10">
        <v>0</v>
      </c>
      <c r="K917" s="9">
        <v>2</v>
      </c>
      <c r="L917" s="10">
        <v>110</v>
      </c>
      <c r="M917" s="10">
        <v>80.930000000000007</v>
      </c>
      <c r="N917" s="10">
        <v>29.07</v>
      </c>
      <c r="O917" s="11">
        <f t="shared" si="58"/>
        <v>0.26427272727272727</v>
      </c>
      <c r="P917" s="10">
        <v>6.1</v>
      </c>
      <c r="Q917" s="10">
        <v>22.97</v>
      </c>
      <c r="R917" s="11">
        <f t="shared" si="59"/>
        <v>0.20881818181818182</v>
      </c>
      <c r="S917" t="s">
        <v>81</v>
      </c>
      <c r="T917" t="s">
        <v>82</v>
      </c>
      <c r="U917" t="s">
        <v>67</v>
      </c>
    </row>
    <row r="918" spans="1:21" x14ac:dyDescent="0.35">
      <c r="A918" t="s">
        <v>1043</v>
      </c>
      <c r="B918" s="5">
        <v>45703</v>
      </c>
      <c r="C918" t="s">
        <v>69</v>
      </c>
      <c r="D918" t="s">
        <v>70</v>
      </c>
      <c r="E918" s="9">
        <v>3</v>
      </c>
      <c r="F918" s="10">
        <v>210</v>
      </c>
      <c r="G918" s="11">
        <v>0</v>
      </c>
      <c r="H918" s="10">
        <v>630</v>
      </c>
      <c r="I918" s="9">
        <v>0</v>
      </c>
      <c r="J918" s="10">
        <v>0</v>
      </c>
      <c r="K918" s="9">
        <v>3</v>
      </c>
      <c r="L918" s="10">
        <v>630</v>
      </c>
      <c r="M918" s="10">
        <v>520.88</v>
      </c>
      <c r="N918" s="10">
        <v>109.12</v>
      </c>
      <c r="O918" s="11">
        <f t="shared" si="58"/>
        <v>0.17320634920634922</v>
      </c>
      <c r="P918" s="10">
        <v>57.63</v>
      </c>
      <c r="Q918" s="10">
        <v>51.49</v>
      </c>
      <c r="R918" s="11">
        <f t="shared" si="59"/>
        <v>8.1730158730158736E-2</v>
      </c>
      <c r="S918" t="s">
        <v>75</v>
      </c>
      <c r="T918" t="s">
        <v>82</v>
      </c>
      <c r="U918" t="s">
        <v>61</v>
      </c>
    </row>
    <row r="919" spans="1:21" x14ac:dyDescent="0.35">
      <c r="A919" t="s">
        <v>1044</v>
      </c>
      <c r="B919" s="5">
        <v>45967</v>
      </c>
      <c r="C919" t="s">
        <v>56</v>
      </c>
      <c r="D919" t="s">
        <v>57</v>
      </c>
      <c r="E919" s="9">
        <v>8</v>
      </c>
      <c r="F919" s="10">
        <v>40</v>
      </c>
      <c r="G919" s="11">
        <v>0</v>
      </c>
      <c r="H919" s="10">
        <v>320</v>
      </c>
      <c r="I919" s="9">
        <v>0</v>
      </c>
      <c r="J919" s="10">
        <v>0</v>
      </c>
      <c r="K919" s="9">
        <v>8</v>
      </c>
      <c r="L919" s="10">
        <v>320</v>
      </c>
      <c r="M919" s="10">
        <v>272.17</v>
      </c>
      <c r="N919" s="10">
        <v>47.83</v>
      </c>
      <c r="O919" s="11">
        <f t="shared" si="58"/>
        <v>0.14946874999999998</v>
      </c>
      <c r="P919" s="10">
        <v>29.03</v>
      </c>
      <c r="Q919" s="10">
        <v>18.8</v>
      </c>
      <c r="R919" s="11">
        <f t="shared" si="59"/>
        <v>5.8750000000000004E-2</v>
      </c>
      <c r="S919" t="s">
        <v>59</v>
      </c>
      <c r="T919" t="s">
        <v>60</v>
      </c>
      <c r="U919" t="s">
        <v>67</v>
      </c>
    </row>
    <row r="920" spans="1:21" x14ac:dyDescent="0.35">
      <c r="A920" t="s">
        <v>1045</v>
      </c>
      <c r="B920" s="5">
        <v>45940</v>
      </c>
      <c r="C920" t="s">
        <v>90</v>
      </c>
      <c r="D920" t="s">
        <v>70</v>
      </c>
      <c r="E920" s="9">
        <v>1</v>
      </c>
      <c r="F920" s="10">
        <v>38</v>
      </c>
      <c r="G920" s="11">
        <v>0</v>
      </c>
      <c r="H920" s="10">
        <v>38</v>
      </c>
      <c r="I920" s="9">
        <v>0</v>
      </c>
      <c r="J920" s="10">
        <v>0</v>
      </c>
      <c r="K920" s="9">
        <v>1</v>
      </c>
      <c r="L920" s="10">
        <v>38</v>
      </c>
      <c r="M920" s="10">
        <v>29.21</v>
      </c>
      <c r="N920" s="10">
        <v>8.7899999999999991</v>
      </c>
      <c r="O920" s="11">
        <f t="shared" si="58"/>
        <v>0.2313157894736842</v>
      </c>
      <c r="P920" s="10">
        <v>4.26</v>
      </c>
      <c r="Q920" s="10">
        <v>4.53</v>
      </c>
      <c r="R920" s="11">
        <f t="shared" si="59"/>
        <v>0.11921052631578948</v>
      </c>
      <c r="S920" t="s">
        <v>75</v>
      </c>
      <c r="T920" t="s">
        <v>82</v>
      </c>
      <c r="U920" t="s">
        <v>67</v>
      </c>
    </row>
    <row r="921" spans="1:21" x14ac:dyDescent="0.35">
      <c r="A921" t="s">
        <v>1046</v>
      </c>
      <c r="B921" s="5">
        <v>45830</v>
      </c>
      <c r="C921" t="s">
        <v>95</v>
      </c>
      <c r="D921" t="s">
        <v>64</v>
      </c>
      <c r="E921" s="9">
        <v>3</v>
      </c>
      <c r="F921" s="10">
        <v>52</v>
      </c>
      <c r="G921" s="11">
        <v>0</v>
      </c>
      <c r="H921" s="10">
        <v>156</v>
      </c>
      <c r="I921" s="9">
        <v>0</v>
      </c>
      <c r="J921" s="10">
        <v>0</v>
      </c>
      <c r="K921" s="9">
        <v>3</v>
      </c>
      <c r="L921" s="10">
        <v>156</v>
      </c>
      <c r="M921" s="10">
        <v>103.03</v>
      </c>
      <c r="N921" s="10">
        <v>52.97</v>
      </c>
      <c r="O921" s="11">
        <f t="shared" si="58"/>
        <v>0.33955128205128204</v>
      </c>
      <c r="P921" s="10">
        <v>20.09</v>
      </c>
      <c r="Q921" s="10">
        <v>32.880000000000003</v>
      </c>
      <c r="R921" s="11">
        <f t="shared" si="59"/>
        <v>0.21076923076923079</v>
      </c>
      <c r="S921" t="s">
        <v>81</v>
      </c>
      <c r="T921" t="s">
        <v>82</v>
      </c>
      <c r="U921" t="s">
        <v>76</v>
      </c>
    </row>
    <row r="922" spans="1:21" x14ac:dyDescent="0.35">
      <c r="A922" t="s">
        <v>1047</v>
      </c>
      <c r="B922" s="5">
        <v>45794</v>
      </c>
      <c r="C922" t="s">
        <v>114</v>
      </c>
      <c r="D922" t="s">
        <v>64</v>
      </c>
      <c r="E922" s="9">
        <v>4</v>
      </c>
      <c r="F922" s="10">
        <v>420</v>
      </c>
      <c r="G922" s="11">
        <v>0</v>
      </c>
      <c r="H922" s="10">
        <v>1680</v>
      </c>
      <c r="I922" s="9">
        <v>0</v>
      </c>
      <c r="J922" s="10">
        <v>0</v>
      </c>
      <c r="K922" s="9">
        <v>4</v>
      </c>
      <c r="L922" s="10">
        <v>1680</v>
      </c>
      <c r="M922" s="10">
        <v>1120.04</v>
      </c>
      <c r="N922" s="10">
        <v>559.96</v>
      </c>
      <c r="O922" s="11">
        <f t="shared" si="58"/>
        <v>0.33330952380952383</v>
      </c>
      <c r="P922" s="10">
        <v>104.72</v>
      </c>
      <c r="Q922" s="10">
        <v>455.24</v>
      </c>
      <c r="R922" s="11">
        <f t="shared" si="59"/>
        <v>0.27097619047619048</v>
      </c>
      <c r="S922" t="s">
        <v>75</v>
      </c>
      <c r="T922" t="s">
        <v>60</v>
      </c>
      <c r="U922" t="s">
        <v>67</v>
      </c>
    </row>
    <row r="923" spans="1:21" x14ac:dyDescent="0.35">
      <c r="A923" t="s">
        <v>1048</v>
      </c>
      <c r="B923" s="5">
        <v>45970</v>
      </c>
      <c r="C923" t="s">
        <v>117</v>
      </c>
      <c r="D923" t="s">
        <v>74</v>
      </c>
      <c r="E923" s="9">
        <v>6</v>
      </c>
      <c r="F923" s="10">
        <v>95</v>
      </c>
      <c r="G923" s="11">
        <v>0.02</v>
      </c>
      <c r="H923" s="10">
        <v>558.6</v>
      </c>
      <c r="I923" s="9">
        <v>0</v>
      </c>
      <c r="J923" s="10">
        <v>0</v>
      </c>
      <c r="K923" s="9">
        <v>6</v>
      </c>
      <c r="L923" s="10">
        <v>558.6</v>
      </c>
      <c r="M923" s="10">
        <v>431.23</v>
      </c>
      <c r="N923" s="10">
        <v>127.37</v>
      </c>
      <c r="O923" s="11">
        <f t="shared" si="58"/>
        <v>0.22801646974579307</v>
      </c>
      <c r="P923" s="10">
        <v>54.93</v>
      </c>
      <c r="Q923" s="10">
        <v>72.44</v>
      </c>
      <c r="R923" s="11">
        <f t="shared" si="59"/>
        <v>0.12968134622269958</v>
      </c>
      <c r="S923" t="s">
        <v>75</v>
      </c>
      <c r="T923" t="s">
        <v>60</v>
      </c>
      <c r="U923" t="s">
        <v>61</v>
      </c>
    </row>
    <row r="924" spans="1:21" x14ac:dyDescent="0.35">
      <c r="A924" t="s">
        <v>1049</v>
      </c>
      <c r="B924" s="5">
        <v>45999</v>
      </c>
      <c r="C924" t="s">
        <v>95</v>
      </c>
      <c r="D924" t="s">
        <v>64</v>
      </c>
      <c r="E924" s="9">
        <v>2</v>
      </c>
      <c r="F924" s="10">
        <v>52</v>
      </c>
      <c r="G924" s="11">
        <v>0</v>
      </c>
      <c r="H924" s="10">
        <v>104</v>
      </c>
      <c r="I924" s="9">
        <v>0</v>
      </c>
      <c r="J924" s="10">
        <v>0</v>
      </c>
      <c r="K924" s="9">
        <v>2</v>
      </c>
      <c r="L924" s="10">
        <v>104</v>
      </c>
      <c r="M924" s="10">
        <v>81.540000000000006</v>
      </c>
      <c r="N924" s="10">
        <v>22.46</v>
      </c>
      <c r="O924" s="11">
        <f t="shared" si="58"/>
        <v>0.21596153846153848</v>
      </c>
      <c r="P924" s="10">
        <v>9.3800000000000008</v>
      </c>
      <c r="Q924" s="10">
        <v>13.08</v>
      </c>
      <c r="R924" s="11">
        <f t="shared" si="59"/>
        <v>0.12576923076923077</v>
      </c>
      <c r="S924" t="s">
        <v>81</v>
      </c>
      <c r="T924" t="s">
        <v>66</v>
      </c>
      <c r="U924" t="s">
        <v>76</v>
      </c>
    </row>
    <row r="925" spans="1:21" x14ac:dyDescent="0.35">
      <c r="A925" t="s">
        <v>1050</v>
      </c>
      <c r="B925" s="5">
        <v>45944</v>
      </c>
      <c r="C925" t="s">
        <v>100</v>
      </c>
      <c r="D925" t="s">
        <v>64</v>
      </c>
      <c r="E925" s="9">
        <v>4</v>
      </c>
      <c r="F925" s="10">
        <v>310</v>
      </c>
      <c r="G925" s="11">
        <v>0</v>
      </c>
      <c r="H925" s="10">
        <v>1240</v>
      </c>
      <c r="I925" s="9">
        <v>0</v>
      </c>
      <c r="J925" s="10">
        <v>0</v>
      </c>
      <c r="K925" s="9">
        <v>4</v>
      </c>
      <c r="L925" s="10">
        <v>1240</v>
      </c>
      <c r="M925" s="10">
        <v>796.99</v>
      </c>
      <c r="N925" s="10">
        <v>443.01</v>
      </c>
      <c r="O925" s="11">
        <f t="shared" si="58"/>
        <v>0.35726612903225807</v>
      </c>
      <c r="P925" s="10">
        <v>90.4</v>
      </c>
      <c r="Q925" s="10">
        <v>352.61</v>
      </c>
      <c r="R925" s="11">
        <f t="shared" si="59"/>
        <v>0.28436290322580648</v>
      </c>
      <c r="S925" t="s">
        <v>75</v>
      </c>
      <c r="T925" t="s">
        <v>86</v>
      </c>
      <c r="U925" t="s">
        <v>71</v>
      </c>
    </row>
    <row r="926" spans="1:21" x14ac:dyDescent="0.35">
      <c r="A926" t="s">
        <v>1051</v>
      </c>
      <c r="B926" s="5">
        <v>45791</v>
      </c>
      <c r="C926" t="s">
        <v>121</v>
      </c>
      <c r="D926" t="s">
        <v>70</v>
      </c>
      <c r="E926" s="9">
        <v>3</v>
      </c>
      <c r="F926" s="10">
        <v>110</v>
      </c>
      <c r="G926" s="11">
        <v>0</v>
      </c>
      <c r="H926" s="10">
        <v>330</v>
      </c>
      <c r="I926" s="9">
        <v>0</v>
      </c>
      <c r="J926" s="10">
        <v>0</v>
      </c>
      <c r="K926" s="9">
        <v>3</v>
      </c>
      <c r="L926" s="10">
        <v>330</v>
      </c>
      <c r="M926" s="10">
        <v>209.48</v>
      </c>
      <c r="N926" s="10">
        <v>120.52</v>
      </c>
      <c r="O926" s="11">
        <f t="shared" si="58"/>
        <v>0.36521212121212121</v>
      </c>
      <c r="P926" s="10">
        <v>40.130000000000003</v>
      </c>
      <c r="Q926" s="10">
        <v>80.39</v>
      </c>
      <c r="R926" s="11">
        <f t="shared" si="59"/>
        <v>0.2436060606060606</v>
      </c>
      <c r="S926" t="s">
        <v>59</v>
      </c>
      <c r="T926" t="s">
        <v>66</v>
      </c>
      <c r="U926" t="s">
        <v>67</v>
      </c>
    </row>
    <row r="927" spans="1:21" x14ac:dyDescent="0.35">
      <c r="A927" t="s">
        <v>1052</v>
      </c>
      <c r="B927" s="5">
        <v>45716</v>
      </c>
      <c r="C927" t="s">
        <v>78</v>
      </c>
      <c r="D927" t="s">
        <v>79</v>
      </c>
      <c r="E927" s="9">
        <v>4</v>
      </c>
      <c r="F927" s="10">
        <v>120</v>
      </c>
      <c r="G927" s="11">
        <v>0</v>
      </c>
      <c r="H927" s="10">
        <v>480</v>
      </c>
      <c r="I927" s="9">
        <v>0</v>
      </c>
      <c r="J927" s="10">
        <v>0</v>
      </c>
      <c r="K927" s="9">
        <v>4</v>
      </c>
      <c r="L927" s="10">
        <v>480</v>
      </c>
      <c r="M927" s="10">
        <v>351.63</v>
      </c>
      <c r="N927" s="10">
        <v>128.37</v>
      </c>
      <c r="O927" s="11">
        <f t="shared" si="58"/>
        <v>0.26743749999999999</v>
      </c>
      <c r="P927" s="10">
        <v>46.47</v>
      </c>
      <c r="Q927" s="10">
        <v>81.900000000000006</v>
      </c>
      <c r="R927" s="11">
        <f t="shared" si="59"/>
        <v>0.170625</v>
      </c>
      <c r="S927" t="s">
        <v>65</v>
      </c>
      <c r="T927" t="s">
        <v>60</v>
      </c>
      <c r="U927" t="s">
        <v>71</v>
      </c>
    </row>
    <row r="928" spans="1:21" x14ac:dyDescent="0.35">
      <c r="A928" t="s">
        <v>1053</v>
      </c>
      <c r="B928" s="5">
        <v>45709</v>
      </c>
      <c r="C928" t="s">
        <v>107</v>
      </c>
      <c r="D928" t="s">
        <v>74</v>
      </c>
      <c r="E928" s="9">
        <v>1</v>
      </c>
      <c r="F928" s="10">
        <v>125</v>
      </c>
      <c r="G928" s="11">
        <v>0</v>
      </c>
      <c r="H928" s="10">
        <v>125</v>
      </c>
      <c r="I928" s="9">
        <v>0</v>
      </c>
      <c r="J928" s="10">
        <v>0</v>
      </c>
      <c r="K928" s="9">
        <v>1</v>
      </c>
      <c r="L928" s="10">
        <v>125</v>
      </c>
      <c r="M928" s="10">
        <v>88.17</v>
      </c>
      <c r="N928" s="10">
        <v>36.83</v>
      </c>
      <c r="O928" s="11">
        <f t="shared" si="58"/>
        <v>0.29464000000000001</v>
      </c>
      <c r="P928" s="10">
        <v>9.3000000000000007</v>
      </c>
      <c r="Q928" s="10">
        <v>27.53</v>
      </c>
      <c r="R928" s="11">
        <f t="shared" si="59"/>
        <v>0.22024000000000002</v>
      </c>
      <c r="S928" t="s">
        <v>81</v>
      </c>
      <c r="T928" t="s">
        <v>60</v>
      </c>
      <c r="U928" t="s">
        <v>61</v>
      </c>
    </row>
    <row r="929" spans="1:21" x14ac:dyDescent="0.35">
      <c r="A929" t="s">
        <v>1054</v>
      </c>
      <c r="B929" s="5">
        <v>45685</v>
      </c>
      <c r="C929" t="s">
        <v>95</v>
      </c>
      <c r="D929" t="s">
        <v>64</v>
      </c>
      <c r="E929" s="9">
        <v>1</v>
      </c>
      <c r="F929" s="10">
        <v>52</v>
      </c>
      <c r="G929" s="11">
        <v>0</v>
      </c>
      <c r="H929" s="10">
        <v>52</v>
      </c>
      <c r="I929" s="9">
        <v>0</v>
      </c>
      <c r="J929" s="10">
        <v>0</v>
      </c>
      <c r="K929" s="9">
        <v>1</v>
      </c>
      <c r="L929" s="10">
        <v>52</v>
      </c>
      <c r="M929" s="10">
        <v>41.15</v>
      </c>
      <c r="N929" s="10">
        <v>10.85</v>
      </c>
      <c r="O929" s="11">
        <f t="shared" si="58"/>
        <v>0.20865384615384613</v>
      </c>
      <c r="P929" s="10">
        <v>5.47</v>
      </c>
      <c r="Q929" s="10">
        <v>5.38</v>
      </c>
      <c r="R929" s="11">
        <f t="shared" si="59"/>
        <v>0.10346153846153847</v>
      </c>
      <c r="S929" t="s">
        <v>75</v>
      </c>
      <c r="T929" t="s">
        <v>86</v>
      </c>
      <c r="U929" t="s">
        <v>76</v>
      </c>
    </row>
    <row r="930" spans="1:21" x14ac:dyDescent="0.35">
      <c r="A930" t="s">
        <v>1055</v>
      </c>
      <c r="B930" s="5">
        <v>45786</v>
      </c>
      <c r="C930" t="s">
        <v>63</v>
      </c>
      <c r="D930" t="s">
        <v>64</v>
      </c>
      <c r="E930" s="9">
        <v>3</v>
      </c>
      <c r="F930" s="10">
        <v>145</v>
      </c>
      <c r="G930" s="11">
        <v>0.05</v>
      </c>
      <c r="H930" s="10">
        <v>413.25</v>
      </c>
      <c r="I930" s="9">
        <v>0</v>
      </c>
      <c r="J930" s="10">
        <v>0</v>
      </c>
      <c r="K930" s="9">
        <v>3</v>
      </c>
      <c r="L930" s="10">
        <v>413.25</v>
      </c>
      <c r="M930" s="10">
        <v>261.68</v>
      </c>
      <c r="N930" s="10">
        <v>151.57</v>
      </c>
      <c r="O930" s="11">
        <f t="shared" si="58"/>
        <v>0.36677555958862673</v>
      </c>
      <c r="P930" s="10">
        <v>43.9</v>
      </c>
      <c r="Q930" s="10">
        <v>107.67</v>
      </c>
      <c r="R930" s="11">
        <f t="shared" si="59"/>
        <v>0.26054446460980035</v>
      </c>
      <c r="S930" t="s">
        <v>59</v>
      </c>
      <c r="T930" t="s">
        <v>86</v>
      </c>
      <c r="U930" t="s">
        <v>67</v>
      </c>
    </row>
    <row r="931" spans="1:21" x14ac:dyDescent="0.35">
      <c r="A931" t="s">
        <v>1056</v>
      </c>
      <c r="B931" s="5">
        <v>46003</v>
      </c>
      <c r="C931" t="s">
        <v>69</v>
      </c>
      <c r="D931" t="s">
        <v>70</v>
      </c>
      <c r="E931" s="9">
        <v>5</v>
      </c>
      <c r="F931" s="10">
        <v>210</v>
      </c>
      <c r="G931" s="11">
        <v>0</v>
      </c>
      <c r="H931" s="10">
        <v>1050</v>
      </c>
      <c r="I931" s="9">
        <v>5</v>
      </c>
      <c r="J931" s="10">
        <v>1050</v>
      </c>
      <c r="K931" s="9">
        <v>0</v>
      </c>
      <c r="L931" s="10">
        <v>0</v>
      </c>
      <c r="M931" s="10">
        <v>0</v>
      </c>
      <c r="N931" s="10">
        <v>0</v>
      </c>
      <c r="O931" s="11">
        <v>0</v>
      </c>
      <c r="P931" s="10">
        <v>0</v>
      </c>
      <c r="Q931" s="10">
        <v>0</v>
      </c>
      <c r="R931" s="11">
        <v>0</v>
      </c>
      <c r="S931" t="s">
        <v>65</v>
      </c>
      <c r="T931" t="s">
        <v>66</v>
      </c>
      <c r="U931" t="s">
        <v>71</v>
      </c>
    </row>
    <row r="932" spans="1:21" x14ac:dyDescent="0.35">
      <c r="A932" t="s">
        <v>1057</v>
      </c>
      <c r="B932" s="5">
        <v>45934</v>
      </c>
      <c r="C932" t="s">
        <v>78</v>
      </c>
      <c r="D932" t="s">
        <v>79</v>
      </c>
      <c r="E932" s="9">
        <v>4</v>
      </c>
      <c r="F932" s="10">
        <v>120</v>
      </c>
      <c r="G932" s="11">
        <v>0</v>
      </c>
      <c r="H932" s="10">
        <v>480</v>
      </c>
      <c r="I932" s="9">
        <v>0</v>
      </c>
      <c r="J932" s="10">
        <v>0</v>
      </c>
      <c r="K932" s="9">
        <v>4</v>
      </c>
      <c r="L932" s="10">
        <v>480</v>
      </c>
      <c r="M932" s="10">
        <v>379.16</v>
      </c>
      <c r="N932" s="10">
        <v>100.84</v>
      </c>
      <c r="O932" s="11">
        <f t="shared" ref="O932:O974" si="60">N932/L932</f>
        <v>0.21008333333333334</v>
      </c>
      <c r="P932" s="10">
        <v>33.83</v>
      </c>
      <c r="Q932" s="10">
        <v>67.010000000000005</v>
      </c>
      <c r="R932" s="11">
        <f t="shared" ref="R932:R974" si="61">Q932/L932</f>
        <v>0.13960416666666667</v>
      </c>
      <c r="S932" t="s">
        <v>75</v>
      </c>
      <c r="T932" t="s">
        <v>60</v>
      </c>
      <c r="U932" t="s">
        <v>76</v>
      </c>
    </row>
    <row r="933" spans="1:21" x14ac:dyDescent="0.35">
      <c r="A933" t="s">
        <v>1058</v>
      </c>
      <c r="B933" s="5">
        <v>45901</v>
      </c>
      <c r="C933" t="s">
        <v>97</v>
      </c>
      <c r="D933" t="s">
        <v>57</v>
      </c>
      <c r="E933" s="9">
        <v>3</v>
      </c>
      <c r="F933" s="10">
        <v>55</v>
      </c>
      <c r="G933" s="11">
        <v>0.02</v>
      </c>
      <c r="H933" s="10">
        <v>161.69999999999999</v>
      </c>
      <c r="I933" s="9">
        <v>0</v>
      </c>
      <c r="J933" s="10">
        <v>0</v>
      </c>
      <c r="K933" s="9">
        <v>3</v>
      </c>
      <c r="L933" s="10">
        <v>161.69999999999999</v>
      </c>
      <c r="M933" s="10">
        <v>119.55</v>
      </c>
      <c r="N933" s="10">
        <v>42.15</v>
      </c>
      <c r="O933" s="11">
        <f t="shared" si="60"/>
        <v>0.26066790352504637</v>
      </c>
      <c r="P933" s="10">
        <v>11.85</v>
      </c>
      <c r="Q933" s="10">
        <v>30.3</v>
      </c>
      <c r="R933" s="11">
        <f t="shared" si="61"/>
        <v>0.18738404452690169</v>
      </c>
      <c r="S933" t="s">
        <v>75</v>
      </c>
      <c r="T933" t="s">
        <v>82</v>
      </c>
      <c r="U933" t="s">
        <v>76</v>
      </c>
    </row>
    <row r="934" spans="1:21" x14ac:dyDescent="0.35">
      <c r="A934" t="s">
        <v>1059</v>
      </c>
      <c r="B934" s="5">
        <v>45990</v>
      </c>
      <c r="C934" t="s">
        <v>121</v>
      </c>
      <c r="D934" t="s">
        <v>70</v>
      </c>
      <c r="E934" s="9">
        <v>3</v>
      </c>
      <c r="F934" s="10">
        <v>110</v>
      </c>
      <c r="G934" s="11">
        <v>0</v>
      </c>
      <c r="H934" s="10">
        <v>330</v>
      </c>
      <c r="I934" s="9">
        <v>0</v>
      </c>
      <c r="J934" s="10">
        <v>0</v>
      </c>
      <c r="K934" s="9">
        <v>3</v>
      </c>
      <c r="L934" s="10">
        <v>330</v>
      </c>
      <c r="M934" s="10">
        <v>276.97000000000003</v>
      </c>
      <c r="N934" s="10">
        <v>53.03</v>
      </c>
      <c r="O934" s="11">
        <f t="shared" si="60"/>
        <v>0.1606969696969697</v>
      </c>
      <c r="P934" s="10">
        <v>26.36</v>
      </c>
      <c r="Q934" s="10">
        <v>26.67</v>
      </c>
      <c r="R934" s="11">
        <f t="shared" si="61"/>
        <v>8.0818181818181817E-2</v>
      </c>
      <c r="S934" t="s">
        <v>81</v>
      </c>
      <c r="T934" t="s">
        <v>66</v>
      </c>
      <c r="U934" t="s">
        <v>61</v>
      </c>
    </row>
    <row r="935" spans="1:21" x14ac:dyDescent="0.35">
      <c r="A935" t="s">
        <v>1060</v>
      </c>
      <c r="B935" s="5">
        <v>45769</v>
      </c>
      <c r="C935" t="s">
        <v>92</v>
      </c>
      <c r="D935" t="s">
        <v>79</v>
      </c>
      <c r="E935" s="9">
        <v>3</v>
      </c>
      <c r="F935" s="10">
        <v>85</v>
      </c>
      <c r="G935" s="11">
        <v>0</v>
      </c>
      <c r="H935" s="10">
        <v>255</v>
      </c>
      <c r="I935" s="9">
        <v>0</v>
      </c>
      <c r="J935" s="10">
        <v>0</v>
      </c>
      <c r="K935" s="9">
        <v>3</v>
      </c>
      <c r="L935" s="10">
        <v>255</v>
      </c>
      <c r="M935" s="10">
        <v>208.16</v>
      </c>
      <c r="N935" s="10">
        <v>46.84</v>
      </c>
      <c r="O935" s="11">
        <f t="shared" si="60"/>
        <v>0.18368627450980393</v>
      </c>
      <c r="P935" s="10">
        <v>30.51</v>
      </c>
      <c r="Q935" s="10">
        <v>16.329999999999998</v>
      </c>
      <c r="R935" s="11">
        <f t="shared" si="61"/>
        <v>6.4039215686274506E-2</v>
      </c>
      <c r="S935" t="s">
        <v>81</v>
      </c>
      <c r="T935" t="s">
        <v>66</v>
      </c>
      <c r="U935" t="s">
        <v>67</v>
      </c>
    </row>
    <row r="936" spans="1:21" x14ac:dyDescent="0.35">
      <c r="A936" t="s">
        <v>1061</v>
      </c>
      <c r="B936" s="5">
        <v>45744</v>
      </c>
      <c r="C936" t="s">
        <v>104</v>
      </c>
      <c r="D936" t="s">
        <v>105</v>
      </c>
      <c r="E936" s="9">
        <v>4</v>
      </c>
      <c r="F936" s="10">
        <v>65</v>
      </c>
      <c r="G936" s="11">
        <v>0</v>
      </c>
      <c r="H936" s="10">
        <v>260</v>
      </c>
      <c r="I936" s="9">
        <v>0</v>
      </c>
      <c r="J936" s="10">
        <v>0</v>
      </c>
      <c r="K936" s="9">
        <v>4</v>
      </c>
      <c r="L936" s="10">
        <v>260</v>
      </c>
      <c r="M936" s="10">
        <v>215.58</v>
      </c>
      <c r="N936" s="10">
        <v>44.42</v>
      </c>
      <c r="O936" s="11">
        <f t="shared" si="60"/>
        <v>0.17084615384615384</v>
      </c>
      <c r="P936" s="10">
        <v>20.13</v>
      </c>
      <c r="Q936" s="10">
        <v>24.29</v>
      </c>
      <c r="R936" s="11">
        <f t="shared" si="61"/>
        <v>9.3423076923076914E-2</v>
      </c>
      <c r="S936" t="s">
        <v>75</v>
      </c>
      <c r="T936" t="s">
        <v>2133</v>
      </c>
      <c r="U936" t="s">
        <v>67</v>
      </c>
    </row>
    <row r="937" spans="1:21" x14ac:dyDescent="0.35">
      <c r="A937" t="s">
        <v>1062</v>
      </c>
      <c r="B937" s="5">
        <v>45848</v>
      </c>
      <c r="C937" t="s">
        <v>114</v>
      </c>
      <c r="D937" t="s">
        <v>64</v>
      </c>
      <c r="E937" s="9">
        <v>6</v>
      </c>
      <c r="F937" s="10">
        <v>420</v>
      </c>
      <c r="G937" s="11">
        <v>0.05</v>
      </c>
      <c r="H937" s="10">
        <v>2394</v>
      </c>
      <c r="I937" s="9">
        <v>0</v>
      </c>
      <c r="J937" s="10">
        <v>0</v>
      </c>
      <c r="K937" s="9">
        <v>6</v>
      </c>
      <c r="L937" s="10">
        <v>2394</v>
      </c>
      <c r="M937" s="10">
        <v>2034.61</v>
      </c>
      <c r="N937" s="10">
        <v>359.39</v>
      </c>
      <c r="O937" s="11">
        <f t="shared" si="60"/>
        <v>0.15012113617376774</v>
      </c>
      <c r="P937" s="10">
        <v>298.45</v>
      </c>
      <c r="Q937" s="10">
        <v>60.94</v>
      </c>
      <c r="R937" s="11">
        <f t="shared" si="61"/>
        <v>2.5455304928989137E-2</v>
      </c>
      <c r="S937" t="s">
        <v>81</v>
      </c>
      <c r="T937" t="s">
        <v>66</v>
      </c>
      <c r="U937" t="s">
        <v>67</v>
      </c>
    </row>
    <row r="938" spans="1:21" x14ac:dyDescent="0.35">
      <c r="A938" t="s">
        <v>1063</v>
      </c>
      <c r="B938" s="5">
        <v>45789</v>
      </c>
      <c r="C938" t="s">
        <v>78</v>
      </c>
      <c r="D938" t="s">
        <v>79</v>
      </c>
      <c r="E938" s="9">
        <v>1</v>
      </c>
      <c r="F938" s="10">
        <v>120</v>
      </c>
      <c r="G938" s="11">
        <v>0.02</v>
      </c>
      <c r="H938" s="10">
        <v>117.6</v>
      </c>
      <c r="I938" s="9">
        <v>0</v>
      </c>
      <c r="J938" s="10">
        <v>0</v>
      </c>
      <c r="K938" s="9">
        <v>1</v>
      </c>
      <c r="L938" s="10">
        <v>117.6</v>
      </c>
      <c r="M938" s="10">
        <v>87.13</v>
      </c>
      <c r="N938" s="10">
        <v>30.47</v>
      </c>
      <c r="O938" s="11">
        <f t="shared" si="60"/>
        <v>0.25909863945578232</v>
      </c>
      <c r="P938" s="10">
        <v>14.84</v>
      </c>
      <c r="Q938" s="10">
        <v>15.63</v>
      </c>
      <c r="R938" s="11">
        <f t="shared" si="61"/>
        <v>0.13290816326530613</v>
      </c>
      <c r="S938" t="s">
        <v>81</v>
      </c>
      <c r="T938" t="s">
        <v>66</v>
      </c>
      <c r="U938" t="s">
        <v>67</v>
      </c>
    </row>
    <row r="939" spans="1:21" x14ac:dyDescent="0.35">
      <c r="A939" t="s">
        <v>1064</v>
      </c>
      <c r="B939" s="5">
        <v>45818</v>
      </c>
      <c r="C939" t="s">
        <v>125</v>
      </c>
      <c r="D939" t="s">
        <v>85</v>
      </c>
      <c r="E939" s="9">
        <v>5</v>
      </c>
      <c r="F939" s="10">
        <v>125</v>
      </c>
      <c r="G939" s="11">
        <v>0</v>
      </c>
      <c r="H939" s="10">
        <v>625</v>
      </c>
      <c r="I939" s="9">
        <v>0</v>
      </c>
      <c r="J939" s="10">
        <v>0</v>
      </c>
      <c r="K939" s="9">
        <v>5</v>
      </c>
      <c r="L939" s="10">
        <v>625</v>
      </c>
      <c r="M939" s="10">
        <v>489.72</v>
      </c>
      <c r="N939" s="10">
        <v>135.28</v>
      </c>
      <c r="O939" s="11">
        <f t="shared" si="60"/>
        <v>0.216448</v>
      </c>
      <c r="P939" s="10">
        <v>75.44</v>
      </c>
      <c r="Q939" s="10">
        <v>59.84</v>
      </c>
      <c r="R939" s="11">
        <f t="shared" si="61"/>
        <v>9.574400000000001E-2</v>
      </c>
      <c r="S939" t="s">
        <v>75</v>
      </c>
      <c r="T939" t="s">
        <v>86</v>
      </c>
      <c r="U939" t="s">
        <v>61</v>
      </c>
    </row>
    <row r="940" spans="1:21" x14ac:dyDescent="0.35">
      <c r="A940" t="s">
        <v>1065</v>
      </c>
      <c r="B940" s="5">
        <v>45699</v>
      </c>
      <c r="C940" t="s">
        <v>117</v>
      </c>
      <c r="D940" t="s">
        <v>74</v>
      </c>
      <c r="E940" s="9">
        <v>10</v>
      </c>
      <c r="F940" s="10">
        <v>95</v>
      </c>
      <c r="G940" s="11">
        <v>0</v>
      </c>
      <c r="H940" s="10">
        <v>950</v>
      </c>
      <c r="I940" s="9">
        <v>0</v>
      </c>
      <c r="J940" s="10">
        <v>0</v>
      </c>
      <c r="K940" s="9">
        <v>10</v>
      </c>
      <c r="L940" s="10">
        <v>950</v>
      </c>
      <c r="M940" s="10">
        <v>614.73</v>
      </c>
      <c r="N940" s="10">
        <v>335.27</v>
      </c>
      <c r="O940" s="11">
        <f t="shared" si="60"/>
        <v>0.35291578947368418</v>
      </c>
      <c r="P940" s="10">
        <v>109.86</v>
      </c>
      <c r="Q940" s="10">
        <v>225.41</v>
      </c>
      <c r="R940" s="11">
        <f t="shared" si="61"/>
        <v>0.2372736842105263</v>
      </c>
      <c r="S940" t="s">
        <v>65</v>
      </c>
      <c r="T940" t="s">
        <v>66</v>
      </c>
      <c r="U940" t="s">
        <v>71</v>
      </c>
    </row>
    <row r="941" spans="1:21" x14ac:dyDescent="0.35">
      <c r="A941" t="s">
        <v>1066</v>
      </c>
      <c r="B941" s="5">
        <v>45991</v>
      </c>
      <c r="C941" t="s">
        <v>97</v>
      </c>
      <c r="D941" t="s">
        <v>57</v>
      </c>
      <c r="E941" s="9">
        <v>1</v>
      </c>
      <c r="F941" s="10">
        <v>55</v>
      </c>
      <c r="G941" s="11">
        <v>0</v>
      </c>
      <c r="H941" s="10">
        <v>55</v>
      </c>
      <c r="I941" s="9">
        <v>0</v>
      </c>
      <c r="J941" s="10">
        <v>0</v>
      </c>
      <c r="K941" s="9">
        <v>1</v>
      </c>
      <c r="L941" s="10">
        <v>55</v>
      </c>
      <c r="M941" s="10">
        <v>40.78</v>
      </c>
      <c r="N941" s="10">
        <v>14.22</v>
      </c>
      <c r="O941" s="11">
        <f t="shared" si="60"/>
        <v>0.25854545454545458</v>
      </c>
      <c r="P941" s="10">
        <v>5.96</v>
      </c>
      <c r="Q941" s="10">
        <v>8.26</v>
      </c>
      <c r="R941" s="11">
        <f t="shared" si="61"/>
        <v>0.15018181818181817</v>
      </c>
      <c r="S941" t="s">
        <v>75</v>
      </c>
      <c r="T941" t="s">
        <v>60</v>
      </c>
      <c r="U941" t="s">
        <v>71</v>
      </c>
    </row>
    <row r="942" spans="1:21" x14ac:dyDescent="0.35">
      <c r="A942" t="s">
        <v>1067</v>
      </c>
      <c r="B942" s="5">
        <v>45746</v>
      </c>
      <c r="C942" t="s">
        <v>114</v>
      </c>
      <c r="D942" t="s">
        <v>64</v>
      </c>
      <c r="E942" s="9">
        <v>2</v>
      </c>
      <c r="F942" s="10">
        <v>420</v>
      </c>
      <c r="G942" s="11">
        <v>0.05</v>
      </c>
      <c r="H942" s="10">
        <v>798</v>
      </c>
      <c r="I942" s="9">
        <v>0</v>
      </c>
      <c r="J942" s="10">
        <v>0</v>
      </c>
      <c r="K942" s="9">
        <v>2</v>
      </c>
      <c r="L942" s="10">
        <v>798</v>
      </c>
      <c r="M942" s="10">
        <v>576.64</v>
      </c>
      <c r="N942" s="10">
        <v>221.36</v>
      </c>
      <c r="O942" s="11">
        <f t="shared" si="60"/>
        <v>0.27739348370927319</v>
      </c>
      <c r="P942" s="10">
        <v>64.42</v>
      </c>
      <c r="Q942" s="10">
        <v>156.94</v>
      </c>
      <c r="R942" s="11">
        <f t="shared" si="61"/>
        <v>0.19666666666666666</v>
      </c>
      <c r="S942" t="s">
        <v>59</v>
      </c>
      <c r="T942" t="s">
        <v>82</v>
      </c>
      <c r="U942" t="s">
        <v>76</v>
      </c>
    </row>
    <row r="943" spans="1:21" x14ac:dyDescent="0.35">
      <c r="A943" t="s">
        <v>1068</v>
      </c>
      <c r="B943" s="5">
        <v>45666</v>
      </c>
      <c r="C943" t="s">
        <v>114</v>
      </c>
      <c r="D943" t="s">
        <v>64</v>
      </c>
      <c r="E943" s="9">
        <v>5</v>
      </c>
      <c r="F943" s="10">
        <v>420</v>
      </c>
      <c r="G943" s="11">
        <v>0.05</v>
      </c>
      <c r="H943" s="10">
        <v>1995</v>
      </c>
      <c r="I943" s="9">
        <v>0</v>
      </c>
      <c r="J943" s="10">
        <v>0</v>
      </c>
      <c r="K943" s="9">
        <v>5</v>
      </c>
      <c r="L943" s="10">
        <v>1995</v>
      </c>
      <c r="M943" s="10">
        <v>1614.69</v>
      </c>
      <c r="N943" s="10">
        <v>380.31</v>
      </c>
      <c r="O943" s="11">
        <f t="shared" si="60"/>
        <v>0.19063157894736843</v>
      </c>
      <c r="P943" s="10">
        <v>164.33</v>
      </c>
      <c r="Q943" s="10">
        <v>215.98</v>
      </c>
      <c r="R943" s="11">
        <f t="shared" si="61"/>
        <v>0.10826065162907268</v>
      </c>
      <c r="S943" t="s">
        <v>75</v>
      </c>
      <c r="T943" t="s">
        <v>66</v>
      </c>
      <c r="U943" t="s">
        <v>67</v>
      </c>
    </row>
    <row r="944" spans="1:21" x14ac:dyDescent="0.35">
      <c r="A944" t="s">
        <v>1069</v>
      </c>
      <c r="B944" s="5">
        <v>45746</v>
      </c>
      <c r="C944" t="s">
        <v>100</v>
      </c>
      <c r="D944" t="s">
        <v>64</v>
      </c>
      <c r="E944" s="9">
        <v>5</v>
      </c>
      <c r="F944" s="10">
        <v>310</v>
      </c>
      <c r="G944" s="11">
        <v>0</v>
      </c>
      <c r="H944" s="10">
        <v>1550</v>
      </c>
      <c r="I944" s="9">
        <v>0</v>
      </c>
      <c r="J944" s="10">
        <v>0</v>
      </c>
      <c r="K944" s="9">
        <v>5</v>
      </c>
      <c r="L944" s="10">
        <v>1550</v>
      </c>
      <c r="M944" s="10">
        <v>1239.4100000000001</v>
      </c>
      <c r="N944" s="10">
        <v>310.58999999999997</v>
      </c>
      <c r="O944" s="11">
        <f t="shared" si="60"/>
        <v>0.20038064516129031</v>
      </c>
      <c r="P944" s="10">
        <v>134.41</v>
      </c>
      <c r="Q944" s="10">
        <v>176.18</v>
      </c>
      <c r="R944" s="11">
        <f t="shared" si="61"/>
        <v>0.11366451612903226</v>
      </c>
      <c r="S944" t="s">
        <v>81</v>
      </c>
      <c r="T944" t="s">
        <v>86</v>
      </c>
      <c r="U944" t="s">
        <v>71</v>
      </c>
    </row>
    <row r="945" spans="1:21" x14ac:dyDescent="0.35">
      <c r="A945" t="s">
        <v>1070</v>
      </c>
      <c r="B945" s="5">
        <v>45880</v>
      </c>
      <c r="C945" t="s">
        <v>104</v>
      </c>
      <c r="D945" t="s">
        <v>105</v>
      </c>
      <c r="E945" s="9">
        <v>4</v>
      </c>
      <c r="F945" s="10">
        <v>65</v>
      </c>
      <c r="G945" s="11">
        <v>0.1</v>
      </c>
      <c r="H945" s="10">
        <v>234</v>
      </c>
      <c r="I945" s="9">
        <v>0</v>
      </c>
      <c r="J945" s="10">
        <v>0</v>
      </c>
      <c r="K945" s="9">
        <v>4</v>
      </c>
      <c r="L945" s="10">
        <v>234</v>
      </c>
      <c r="M945" s="10">
        <v>168.05</v>
      </c>
      <c r="N945" s="10">
        <v>65.95</v>
      </c>
      <c r="O945" s="11">
        <f t="shared" si="60"/>
        <v>0.28183760683760684</v>
      </c>
      <c r="P945" s="10">
        <v>20.399999999999999</v>
      </c>
      <c r="Q945" s="10">
        <v>45.55</v>
      </c>
      <c r="R945" s="11">
        <f t="shared" si="61"/>
        <v>0.19465811965811963</v>
      </c>
      <c r="S945" t="s">
        <v>75</v>
      </c>
      <c r="T945" t="s">
        <v>66</v>
      </c>
      <c r="U945" t="s">
        <v>67</v>
      </c>
    </row>
    <row r="946" spans="1:21" x14ac:dyDescent="0.35">
      <c r="A946" t="s">
        <v>1072</v>
      </c>
      <c r="B946" s="5">
        <v>45694</v>
      </c>
      <c r="C946" t="s">
        <v>114</v>
      </c>
      <c r="D946" t="s">
        <v>64</v>
      </c>
      <c r="E946" s="9">
        <v>3</v>
      </c>
      <c r="F946" s="10">
        <v>420</v>
      </c>
      <c r="G946" s="11">
        <v>0</v>
      </c>
      <c r="H946" s="10">
        <v>1260</v>
      </c>
      <c r="I946" s="9">
        <v>0</v>
      </c>
      <c r="J946" s="10">
        <v>0</v>
      </c>
      <c r="K946" s="9">
        <v>3</v>
      </c>
      <c r="L946" s="10">
        <v>1260</v>
      </c>
      <c r="M946" s="10">
        <v>954.67</v>
      </c>
      <c r="N946" s="10">
        <v>305.33</v>
      </c>
      <c r="O946" s="11">
        <f t="shared" si="60"/>
        <v>0.2423253968253968</v>
      </c>
      <c r="P946" s="10">
        <v>65.88</v>
      </c>
      <c r="Q946" s="10">
        <v>239.45</v>
      </c>
      <c r="R946" s="11">
        <f t="shared" si="61"/>
        <v>0.19003968253968254</v>
      </c>
      <c r="S946" t="s">
        <v>65</v>
      </c>
      <c r="T946" t="s">
        <v>60</v>
      </c>
      <c r="U946" t="s">
        <v>67</v>
      </c>
    </row>
    <row r="947" spans="1:21" x14ac:dyDescent="0.35">
      <c r="A947" t="s">
        <v>1073</v>
      </c>
      <c r="B947" s="5">
        <v>45773</v>
      </c>
      <c r="C947" t="s">
        <v>69</v>
      </c>
      <c r="D947" t="s">
        <v>70</v>
      </c>
      <c r="E947" s="9">
        <v>2</v>
      </c>
      <c r="F947" s="10">
        <v>210</v>
      </c>
      <c r="G947" s="11">
        <v>0.05</v>
      </c>
      <c r="H947" s="10">
        <v>399</v>
      </c>
      <c r="I947" s="9">
        <v>0</v>
      </c>
      <c r="J947" s="10">
        <v>0</v>
      </c>
      <c r="K947" s="9">
        <v>2</v>
      </c>
      <c r="L947" s="10">
        <v>399</v>
      </c>
      <c r="M947" s="10">
        <v>273.69</v>
      </c>
      <c r="N947" s="10">
        <v>125.31</v>
      </c>
      <c r="O947" s="11">
        <f t="shared" si="60"/>
        <v>0.31406015037593987</v>
      </c>
      <c r="P947" s="10">
        <v>22.95</v>
      </c>
      <c r="Q947" s="10">
        <v>102.36</v>
      </c>
      <c r="R947" s="11">
        <f t="shared" si="61"/>
        <v>0.25654135338345863</v>
      </c>
      <c r="S947" t="s">
        <v>65</v>
      </c>
      <c r="T947" t="s">
        <v>86</v>
      </c>
      <c r="U947" t="s">
        <v>71</v>
      </c>
    </row>
    <row r="948" spans="1:21" x14ac:dyDescent="0.35">
      <c r="A948" t="s">
        <v>1074</v>
      </c>
      <c r="B948" s="5">
        <v>45993</v>
      </c>
      <c r="C948" t="s">
        <v>114</v>
      </c>
      <c r="D948" t="s">
        <v>64</v>
      </c>
      <c r="E948" s="9">
        <v>4</v>
      </c>
      <c r="F948" s="10">
        <v>420</v>
      </c>
      <c r="G948" s="11">
        <v>0</v>
      </c>
      <c r="H948" s="10">
        <v>1680</v>
      </c>
      <c r="I948" s="9">
        <v>0</v>
      </c>
      <c r="J948" s="10">
        <v>0</v>
      </c>
      <c r="K948" s="9">
        <v>4</v>
      </c>
      <c r="L948" s="10">
        <v>1680</v>
      </c>
      <c r="M948" s="10">
        <v>1109.58</v>
      </c>
      <c r="N948" s="10">
        <v>570.41999999999996</v>
      </c>
      <c r="O948" s="11">
        <f t="shared" si="60"/>
        <v>0.33953571428571427</v>
      </c>
      <c r="P948" s="10">
        <v>180.01</v>
      </c>
      <c r="Q948" s="10">
        <v>390.41</v>
      </c>
      <c r="R948" s="11">
        <f t="shared" si="61"/>
        <v>0.23238690476190477</v>
      </c>
      <c r="S948" t="s">
        <v>59</v>
      </c>
      <c r="T948" t="s">
        <v>86</v>
      </c>
      <c r="U948" t="s">
        <v>67</v>
      </c>
    </row>
    <row r="949" spans="1:21" x14ac:dyDescent="0.35">
      <c r="A949" t="s">
        <v>1075</v>
      </c>
      <c r="B949" s="5">
        <v>45958</v>
      </c>
      <c r="C949" t="s">
        <v>117</v>
      </c>
      <c r="D949" t="s">
        <v>74</v>
      </c>
      <c r="E949" s="9">
        <v>2</v>
      </c>
      <c r="F949" s="10">
        <v>95</v>
      </c>
      <c r="G949" s="11">
        <v>0.05</v>
      </c>
      <c r="H949" s="10">
        <v>180.5</v>
      </c>
      <c r="I949" s="9">
        <v>0</v>
      </c>
      <c r="J949" s="10">
        <v>0</v>
      </c>
      <c r="K949" s="9">
        <v>2</v>
      </c>
      <c r="L949" s="10">
        <v>180.5</v>
      </c>
      <c r="M949" s="10">
        <v>141.19</v>
      </c>
      <c r="N949" s="10">
        <v>39.31</v>
      </c>
      <c r="O949" s="11">
        <f t="shared" si="60"/>
        <v>0.21778393351800554</v>
      </c>
      <c r="P949" s="10">
        <v>16.09</v>
      </c>
      <c r="Q949" s="10">
        <v>23.22</v>
      </c>
      <c r="R949" s="11">
        <f t="shared" si="61"/>
        <v>0.12864265927977839</v>
      </c>
      <c r="S949" t="s">
        <v>65</v>
      </c>
      <c r="T949" t="s">
        <v>86</v>
      </c>
      <c r="U949" t="s">
        <v>71</v>
      </c>
    </row>
    <row r="950" spans="1:21" x14ac:dyDescent="0.35">
      <c r="A950" t="s">
        <v>1076</v>
      </c>
      <c r="B950" s="5">
        <v>45995</v>
      </c>
      <c r="C950" t="s">
        <v>114</v>
      </c>
      <c r="D950" t="s">
        <v>64</v>
      </c>
      <c r="E950" s="9">
        <v>1</v>
      </c>
      <c r="F950" s="10">
        <v>420</v>
      </c>
      <c r="G950" s="11">
        <v>0</v>
      </c>
      <c r="H950" s="10">
        <v>420</v>
      </c>
      <c r="I950" s="9">
        <v>0</v>
      </c>
      <c r="J950" s="10">
        <v>0</v>
      </c>
      <c r="K950" s="9">
        <v>1</v>
      </c>
      <c r="L950" s="10">
        <v>420</v>
      </c>
      <c r="M950" s="10">
        <v>345.07</v>
      </c>
      <c r="N950" s="10">
        <v>74.930000000000007</v>
      </c>
      <c r="O950" s="11">
        <f t="shared" si="60"/>
        <v>0.17840476190476193</v>
      </c>
      <c r="P950" s="10">
        <v>51.06</v>
      </c>
      <c r="Q950" s="10">
        <v>23.87</v>
      </c>
      <c r="R950" s="11">
        <f t="shared" si="61"/>
        <v>5.6833333333333333E-2</v>
      </c>
      <c r="S950" t="s">
        <v>75</v>
      </c>
      <c r="T950" t="s">
        <v>60</v>
      </c>
      <c r="U950" t="s">
        <v>71</v>
      </c>
    </row>
    <row r="951" spans="1:21" x14ac:dyDescent="0.35">
      <c r="A951" t="s">
        <v>1077</v>
      </c>
      <c r="B951" s="5">
        <v>45752</v>
      </c>
      <c r="C951" t="s">
        <v>88</v>
      </c>
      <c r="D951" t="s">
        <v>57</v>
      </c>
      <c r="E951" s="9">
        <v>1</v>
      </c>
      <c r="F951" s="10">
        <v>30</v>
      </c>
      <c r="G951" s="11">
        <v>0.15</v>
      </c>
      <c r="H951" s="10">
        <v>25.5</v>
      </c>
      <c r="I951" s="9">
        <v>0</v>
      </c>
      <c r="J951" s="10">
        <v>0</v>
      </c>
      <c r="K951" s="9">
        <v>1</v>
      </c>
      <c r="L951" s="10">
        <v>25.5</v>
      </c>
      <c r="M951" s="10">
        <v>17.53</v>
      </c>
      <c r="N951" s="10">
        <v>7.97</v>
      </c>
      <c r="O951" s="11">
        <f t="shared" si="60"/>
        <v>0.31254901960784315</v>
      </c>
      <c r="P951" s="10">
        <v>1.64</v>
      </c>
      <c r="Q951" s="10">
        <v>6.33</v>
      </c>
      <c r="R951" s="11">
        <f t="shared" si="61"/>
        <v>0.24823529411764705</v>
      </c>
      <c r="S951" t="s">
        <v>75</v>
      </c>
      <c r="T951" t="s">
        <v>60</v>
      </c>
      <c r="U951" t="s">
        <v>71</v>
      </c>
    </row>
    <row r="952" spans="1:21" x14ac:dyDescent="0.35">
      <c r="A952" t="s">
        <v>1078</v>
      </c>
      <c r="B952" s="5">
        <v>45976</v>
      </c>
      <c r="C952" t="s">
        <v>56</v>
      </c>
      <c r="D952" t="s">
        <v>57</v>
      </c>
      <c r="E952" s="9">
        <v>1</v>
      </c>
      <c r="F952" s="10">
        <v>40</v>
      </c>
      <c r="G952" s="11">
        <v>0.02</v>
      </c>
      <c r="H952" s="10">
        <v>39.200000000000003</v>
      </c>
      <c r="I952" s="9">
        <v>0</v>
      </c>
      <c r="J952" s="10">
        <v>0</v>
      </c>
      <c r="K952" s="9">
        <v>1</v>
      </c>
      <c r="L952" s="10">
        <v>39.200000000000003</v>
      </c>
      <c r="M952" s="10">
        <v>27.47</v>
      </c>
      <c r="N952" s="10">
        <v>11.73</v>
      </c>
      <c r="O952" s="11">
        <f t="shared" si="60"/>
        <v>0.29923469387755103</v>
      </c>
      <c r="P952" s="10">
        <v>2.94</v>
      </c>
      <c r="Q952" s="10">
        <v>8.7899999999999991</v>
      </c>
      <c r="R952" s="11">
        <f t="shared" si="61"/>
        <v>0.22423469387755099</v>
      </c>
      <c r="S952" t="s">
        <v>65</v>
      </c>
      <c r="T952" t="s">
        <v>66</v>
      </c>
      <c r="U952" t="s">
        <v>61</v>
      </c>
    </row>
    <row r="953" spans="1:21" x14ac:dyDescent="0.35">
      <c r="A953" t="s">
        <v>1079</v>
      </c>
      <c r="B953" s="5">
        <v>46004</v>
      </c>
      <c r="C953" t="s">
        <v>109</v>
      </c>
      <c r="D953" t="s">
        <v>85</v>
      </c>
      <c r="E953" s="9">
        <v>3</v>
      </c>
      <c r="F953" s="10">
        <v>180</v>
      </c>
      <c r="G953" s="11">
        <v>0</v>
      </c>
      <c r="H953" s="10">
        <v>540</v>
      </c>
      <c r="I953" s="9">
        <v>0</v>
      </c>
      <c r="J953" s="10">
        <v>0</v>
      </c>
      <c r="K953" s="9">
        <v>3</v>
      </c>
      <c r="L953" s="10">
        <v>540</v>
      </c>
      <c r="M953" s="10">
        <v>417.56</v>
      </c>
      <c r="N953" s="10">
        <v>122.44</v>
      </c>
      <c r="O953" s="11">
        <f t="shared" si="60"/>
        <v>0.22674074074074074</v>
      </c>
      <c r="P953" s="10">
        <v>67.02</v>
      </c>
      <c r="Q953" s="10">
        <v>55.42</v>
      </c>
      <c r="R953" s="11">
        <f t="shared" si="61"/>
        <v>0.10262962962962963</v>
      </c>
      <c r="S953" t="s">
        <v>75</v>
      </c>
      <c r="T953" t="s">
        <v>66</v>
      </c>
      <c r="U953" t="s">
        <v>61</v>
      </c>
    </row>
    <row r="954" spans="1:21" x14ac:dyDescent="0.35">
      <c r="A954" t="s">
        <v>1080</v>
      </c>
      <c r="B954" s="5">
        <v>45867</v>
      </c>
      <c r="C954" t="s">
        <v>125</v>
      </c>
      <c r="D954" t="s">
        <v>85</v>
      </c>
      <c r="E954" s="9">
        <v>1</v>
      </c>
      <c r="F954" s="10">
        <v>125</v>
      </c>
      <c r="G954" s="11">
        <v>0.05</v>
      </c>
      <c r="H954" s="10">
        <v>118.75</v>
      </c>
      <c r="I954" s="9">
        <v>0</v>
      </c>
      <c r="J954" s="10">
        <v>0</v>
      </c>
      <c r="K954" s="9">
        <v>1</v>
      </c>
      <c r="L954" s="10">
        <v>118.75</v>
      </c>
      <c r="M954" s="10">
        <v>83.52</v>
      </c>
      <c r="N954" s="10">
        <v>35.229999999999997</v>
      </c>
      <c r="O954" s="11">
        <f t="shared" si="60"/>
        <v>0.29667368421052631</v>
      </c>
      <c r="P954" s="10">
        <v>9.48</v>
      </c>
      <c r="Q954" s="10">
        <v>25.75</v>
      </c>
      <c r="R954" s="11">
        <f t="shared" si="61"/>
        <v>0.21684210526315789</v>
      </c>
      <c r="S954" t="s">
        <v>81</v>
      </c>
      <c r="T954" t="s">
        <v>66</v>
      </c>
      <c r="U954" t="s">
        <v>76</v>
      </c>
    </row>
    <row r="955" spans="1:21" x14ac:dyDescent="0.35">
      <c r="A955" t="s">
        <v>1081</v>
      </c>
      <c r="B955" s="5">
        <v>45751</v>
      </c>
      <c r="C955" t="s">
        <v>63</v>
      </c>
      <c r="D955" t="s">
        <v>64</v>
      </c>
      <c r="E955" s="9">
        <v>1</v>
      </c>
      <c r="F955" s="10">
        <v>145</v>
      </c>
      <c r="G955" s="11">
        <v>0</v>
      </c>
      <c r="H955" s="10">
        <v>145</v>
      </c>
      <c r="I955" s="9">
        <v>0</v>
      </c>
      <c r="J955" s="10">
        <v>0</v>
      </c>
      <c r="K955" s="9">
        <v>1</v>
      </c>
      <c r="L955" s="10">
        <v>145</v>
      </c>
      <c r="M955" s="10">
        <v>120.75</v>
      </c>
      <c r="N955" s="10">
        <v>24.25</v>
      </c>
      <c r="O955" s="11">
        <f t="shared" si="60"/>
        <v>0.16724137931034483</v>
      </c>
      <c r="P955" s="10">
        <v>17.489999999999998</v>
      </c>
      <c r="Q955" s="10">
        <v>6.76</v>
      </c>
      <c r="R955" s="11">
        <f t="shared" si="61"/>
        <v>4.6620689655172409E-2</v>
      </c>
      <c r="S955" t="s">
        <v>81</v>
      </c>
      <c r="T955" t="s">
        <v>66</v>
      </c>
      <c r="U955" t="s">
        <v>67</v>
      </c>
    </row>
    <row r="956" spans="1:21" x14ac:dyDescent="0.35">
      <c r="A956" t="s">
        <v>1082</v>
      </c>
      <c r="B956" s="5">
        <v>45913</v>
      </c>
      <c r="C956" t="s">
        <v>84</v>
      </c>
      <c r="D956" t="s">
        <v>85</v>
      </c>
      <c r="E956" s="9">
        <v>3</v>
      </c>
      <c r="F956" s="10">
        <v>48</v>
      </c>
      <c r="G956" s="11">
        <v>0</v>
      </c>
      <c r="H956" s="10">
        <v>144</v>
      </c>
      <c r="I956" s="9">
        <v>0</v>
      </c>
      <c r="J956" s="10">
        <v>0</v>
      </c>
      <c r="K956" s="9">
        <v>3</v>
      </c>
      <c r="L956" s="10">
        <v>144</v>
      </c>
      <c r="M956" s="10">
        <v>104.43</v>
      </c>
      <c r="N956" s="10">
        <v>39.57</v>
      </c>
      <c r="O956" s="11">
        <f t="shared" si="60"/>
        <v>0.27479166666666666</v>
      </c>
      <c r="P956" s="10">
        <v>9.1</v>
      </c>
      <c r="Q956" s="10">
        <v>30.47</v>
      </c>
      <c r="R956" s="11">
        <f t="shared" si="61"/>
        <v>0.21159722222222221</v>
      </c>
      <c r="S956" t="s">
        <v>75</v>
      </c>
      <c r="T956" t="s">
        <v>60</v>
      </c>
      <c r="U956" t="s">
        <v>71</v>
      </c>
    </row>
    <row r="957" spans="1:21" x14ac:dyDescent="0.35">
      <c r="A957" t="s">
        <v>1083</v>
      </c>
      <c r="B957" s="5">
        <v>45990</v>
      </c>
      <c r="C957" t="s">
        <v>63</v>
      </c>
      <c r="D957" t="s">
        <v>64</v>
      </c>
      <c r="E957" s="9">
        <v>3</v>
      </c>
      <c r="F957" s="10">
        <v>145</v>
      </c>
      <c r="G957" s="11">
        <v>0.02</v>
      </c>
      <c r="H957" s="10">
        <v>426.3</v>
      </c>
      <c r="I957" s="9">
        <v>1</v>
      </c>
      <c r="J957" s="10">
        <v>142.1</v>
      </c>
      <c r="K957" s="9">
        <v>2</v>
      </c>
      <c r="L957" s="10">
        <v>284.2</v>
      </c>
      <c r="M957" s="10">
        <v>229.34</v>
      </c>
      <c r="N957" s="10">
        <v>54.86</v>
      </c>
      <c r="O957" s="11">
        <f t="shared" si="60"/>
        <v>0.19303307529908514</v>
      </c>
      <c r="P957" s="10">
        <v>15.88</v>
      </c>
      <c r="Q957" s="10">
        <v>38.979999999999997</v>
      </c>
      <c r="R957" s="11">
        <f t="shared" si="61"/>
        <v>0.13715693173821253</v>
      </c>
      <c r="S957" t="s">
        <v>65</v>
      </c>
      <c r="T957" t="s">
        <v>60</v>
      </c>
      <c r="U957" t="s">
        <v>67</v>
      </c>
    </row>
    <row r="958" spans="1:21" x14ac:dyDescent="0.35">
      <c r="A958" t="s">
        <v>1085</v>
      </c>
      <c r="B958" s="5">
        <v>45873</v>
      </c>
      <c r="C958" t="s">
        <v>107</v>
      </c>
      <c r="D958" t="s">
        <v>74</v>
      </c>
      <c r="E958" s="9">
        <v>1</v>
      </c>
      <c r="F958" s="10">
        <v>125</v>
      </c>
      <c r="G958" s="11">
        <v>0</v>
      </c>
      <c r="H958" s="10">
        <v>125</v>
      </c>
      <c r="I958" s="9">
        <v>0</v>
      </c>
      <c r="J958" s="10">
        <v>0</v>
      </c>
      <c r="K958" s="9">
        <v>1</v>
      </c>
      <c r="L958" s="10">
        <v>125</v>
      </c>
      <c r="M958" s="10">
        <v>99.14</v>
      </c>
      <c r="N958" s="10">
        <v>25.86</v>
      </c>
      <c r="O958" s="11">
        <f t="shared" si="60"/>
        <v>0.20688000000000001</v>
      </c>
      <c r="P958" s="10">
        <v>14.75</v>
      </c>
      <c r="Q958" s="10">
        <v>11.11</v>
      </c>
      <c r="R958" s="11">
        <f t="shared" si="61"/>
        <v>8.8880000000000001E-2</v>
      </c>
      <c r="S958" t="s">
        <v>59</v>
      </c>
      <c r="T958" t="s">
        <v>66</v>
      </c>
      <c r="U958" t="s">
        <v>67</v>
      </c>
    </row>
    <row r="959" spans="1:21" x14ac:dyDescent="0.35">
      <c r="A959" t="s">
        <v>1086</v>
      </c>
      <c r="B959" s="5">
        <v>45950</v>
      </c>
      <c r="C959" t="s">
        <v>107</v>
      </c>
      <c r="D959" t="s">
        <v>74</v>
      </c>
      <c r="E959" s="9">
        <v>2</v>
      </c>
      <c r="F959" s="10">
        <v>125</v>
      </c>
      <c r="G959" s="11">
        <v>0.02</v>
      </c>
      <c r="H959" s="10">
        <v>245</v>
      </c>
      <c r="I959" s="9">
        <v>0</v>
      </c>
      <c r="J959" s="10">
        <v>0</v>
      </c>
      <c r="K959" s="9">
        <v>2</v>
      </c>
      <c r="L959" s="10">
        <v>245</v>
      </c>
      <c r="M959" s="10">
        <v>153.75</v>
      </c>
      <c r="N959" s="10">
        <v>91.25</v>
      </c>
      <c r="O959" s="11">
        <f t="shared" si="60"/>
        <v>0.37244897959183676</v>
      </c>
      <c r="P959" s="10">
        <v>28.63</v>
      </c>
      <c r="Q959" s="10">
        <v>62.62</v>
      </c>
      <c r="R959" s="11">
        <f t="shared" si="61"/>
        <v>0.25559183673469388</v>
      </c>
      <c r="S959" t="s">
        <v>59</v>
      </c>
      <c r="T959" t="s">
        <v>66</v>
      </c>
      <c r="U959" t="s">
        <v>67</v>
      </c>
    </row>
    <row r="960" spans="1:21" x14ac:dyDescent="0.35">
      <c r="A960" t="s">
        <v>1087</v>
      </c>
      <c r="B960" s="5">
        <v>46010</v>
      </c>
      <c r="C960" t="s">
        <v>90</v>
      </c>
      <c r="D960" t="s">
        <v>70</v>
      </c>
      <c r="E960" s="9">
        <v>2</v>
      </c>
      <c r="F960" s="10">
        <v>38</v>
      </c>
      <c r="G960" s="11">
        <v>0.15</v>
      </c>
      <c r="H960" s="10">
        <v>64.599999999999994</v>
      </c>
      <c r="I960" s="9">
        <v>0</v>
      </c>
      <c r="J960" s="10">
        <v>0</v>
      </c>
      <c r="K960" s="9">
        <v>2</v>
      </c>
      <c r="L960" s="10">
        <v>64.599999999999994</v>
      </c>
      <c r="M960" s="10">
        <v>55.34</v>
      </c>
      <c r="N960" s="10">
        <v>9.26</v>
      </c>
      <c r="O960" s="11">
        <f t="shared" si="60"/>
        <v>0.143343653250774</v>
      </c>
      <c r="P960" s="10">
        <v>8.06</v>
      </c>
      <c r="Q960" s="10">
        <v>1.2</v>
      </c>
      <c r="R960" s="11">
        <f t="shared" si="61"/>
        <v>1.8575851393188854E-2</v>
      </c>
      <c r="S960" t="s">
        <v>75</v>
      </c>
      <c r="T960" t="s">
        <v>66</v>
      </c>
      <c r="U960" t="s">
        <v>67</v>
      </c>
    </row>
    <row r="961" spans="1:21" x14ac:dyDescent="0.35">
      <c r="A961" t="s">
        <v>1088</v>
      </c>
      <c r="B961" s="5">
        <v>46006</v>
      </c>
      <c r="C961" t="s">
        <v>114</v>
      </c>
      <c r="D961" t="s">
        <v>64</v>
      </c>
      <c r="E961" s="9">
        <v>1</v>
      </c>
      <c r="F961" s="10">
        <v>420</v>
      </c>
      <c r="G961" s="11">
        <v>0.1</v>
      </c>
      <c r="H961" s="10">
        <v>378</v>
      </c>
      <c r="I961" s="9">
        <v>0</v>
      </c>
      <c r="J961" s="10">
        <v>0</v>
      </c>
      <c r="K961" s="9">
        <v>1</v>
      </c>
      <c r="L961" s="10">
        <v>378</v>
      </c>
      <c r="M961" s="10">
        <v>282.43</v>
      </c>
      <c r="N961" s="10">
        <v>95.57</v>
      </c>
      <c r="O961" s="11">
        <f t="shared" si="60"/>
        <v>0.25283068783068779</v>
      </c>
      <c r="P961" s="10">
        <v>33.49</v>
      </c>
      <c r="Q961" s="10">
        <v>62.08</v>
      </c>
      <c r="R961" s="11">
        <f t="shared" si="61"/>
        <v>0.16423280423280423</v>
      </c>
      <c r="S961" t="s">
        <v>81</v>
      </c>
      <c r="T961" t="s">
        <v>60</v>
      </c>
      <c r="U961" t="s">
        <v>71</v>
      </c>
    </row>
    <row r="962" spans="1:21" x14ac:dyDescent="0.35">
      <c r="A962" t="s">
        <v>1089</v>
      </c>
      <c r="B962" s="5">
        <v>45804</v>
      </c>
      <c r="C962" t="s">
        <v>264</v>
      </c>
      <c r="D962" t="s">
        <v>85</v>
      </c>
      <c r="E962" s="9">
        <v>1</v>
      </c>
      <c r="F962" s="10">
        <v>20</v>
      </c>
      <c r="G962" s="11">
        <v>0.02</v>
      </c>
      <c r="H962" s="10">
        <v>19.600000000000001</v>
      </c>
      <c r="I962" s="9">
        <v>0</v>
      </c>
      <c r="J962" s="10">
        <v>0</v>
      </c>
      <c r="K962" s="9">
        <v>1</v>
      </c>
      <c r="L962" s="10">
        <v>19.600000000000001</v>
      </c>
      <c r="M962" s="10">
        <v>15.53</v>
      </c>
      <c r="N962" s="10">
        <v>4.07</v>
      </c>
      <c r="O962" s="11">
        <f t="shared" si="60"/>
        <v>0.20765306122448979</v>
      </c>
      <c r="P962" s="10">
        <v>2.14</v>
      </c>
      <c r="Q962" s="10">
        <v>1.93</v>
      </c>
      <c r="R962" s="11">
        <f t="shared" si="61"/>
        <v>9.8469387755102028E-2</v>
      </c>
      <c r="S962" t="s">
        <v>59</v>
      </c>
      <c r="T962" t="s">
        <v>86</v>
      </c>
      <c r="U962" t="s">
        <v>76</v>
      </c>
    </row>
    <row r="963" spans="1:21" x14ac:dyDescent="0.35">
      <c r="A963" t="s">
        <v>1090</v>
      </c>
      <c r="B963" s="5">
        <v>45734</v>
      </c>
      <c r="C963" t="s">
        <v>73</v>
      </c>
      <c r="D963" t="s">
        <v>74</v>
      </c>
      <c r="E963" s="9">
        <v>1</v>
      </c>
      <c r="F963" s="10">
        <v>280</v>
      </c>
      <c r="G963" s="11">
        <v>0</v>
      </c>
      <c r="H963" s="10">
        <v>280</v>
      </c>
      <c r="I963" s="9">
        <v>0</v>
      </c>
      <c r="J963" s="10">
        <v>0</v>
      </c>
      <c r="K963" s="9">
        <v>1</v>
      </c>
      <c r="L963" s="10">
        <v>280</v>
      </c>
      <c r="M963" s="10">
        <v>230.37</v>
      </c>
      <c r="N963" s="10">
        <v>49.63</v>
      </c>
      <c r="O963" s="11">
        <f t="shared" si="60"/>
        <v>0.17725000000000002</v>
      </c>
      <c r="P963" s="10">
        <v>19.93</v>
      </c>
      <c r="Q963" s="10">
        <v>29.7</v>
      </c>
      <c r="R963" s="11">
        <f t="shared" si="61"/>
        <v>0.10607142857142857</v>
      </c>
      <c r="S963" t="s">
        <v>75</v>
      </c>
      <c r="T963" t="s">
        <v>66</v>
      </c>
      <c r="U963" t="s">
        <v>67</v>
      </c>
    </row>
    <row r="964" spans="1:21" x14ac:dyDescent="0.35">
      <c r="A964" t="s">
        <v>1091</v>
      </c>
      <c r="B964" s="5">
        <v>45868</v>
      </c>
      <c r="C964" t="s">
        <v>121</v>
      </c>
      <c r="D964" t="s">
        <v>70</v>
      </c>
      <c r="E964" s="9">
        <v>4</v>
      </c>
      <c r="F964" s="10">
        <v>110</v>
      </c>
      <c r="G964" s="11">
        <v>0</v>
      </c>
      <c r="H964" s="10">
        <v>440</v>
      </c>
      <c r="I964" s="9">
        <v>0</v>
      </c>
      <c r="J964" s="10">
        <v>0</v>
      </c>
      <c r="K964" s="9">
        <v>4</v>
      </c>
      <c r="L964" s="10">
        <v>440</v>
      </c>
      <c r="M964" s="10">
        <v>277.99</v>
      </c>
      <c r="N964" s="10">
        <v>162.01</v>
      </c>
      <c r="O964" s="11">
        <f t="shared" si="60"/>
        <v>0.36820454545454545</v>
      </c>
      <c r="P964" s="10">
        <v>41.51</v>
      </c>
      <c r="Q964" s="10">
        <v>120.5</v>
      </c>
      <c r="R964" s="11">
        <f t="shared" si="61"/>
        <v>0.27386363636363636</v>
      </c>
      <c r="S964" t="s">
        <v>59</v>
      </c>
      <c r="T964" t="s">
        <v>60</v>
      </c>
      <c r="U964" t="s">
        <v>67</v>
      </c>
    </row>
    <row r="965" spans="1:21" x14ac:dyDescent="0.35">
      <c r="A965" t="s">
        <v>1092</v>
      </c>
      <c r="B965" s="5">
        <v>45684</v>
      </c>
      <c r="C965" t="s">
        <v>90</v>
      </c>
      <c r="D965" t="s">
        <v>70</v>
      </c>
      <c r="E965" s="9">
        <v>2</v>
      </c>
      <c r="F965" s="10">
        <v>38</v>
      </c>
      <c r="G965" s="11">
        <v>0</v>
      </c>
      <c r="H965" s="10">
        <v>76</v>
      </c>
      <c r="I965" s="9">
        <v>0</v>
      </c>
      <c r="J965" s="10">
        <v>0</v>
      </c>
      <c r="K965" s="9">
        <v>2</v>
      </c>
      <c r="L965" s="10">
        <v>76</v>
      </c>
      <c r="M965" s="10">
        <v>55.28</v>
      </c>
      <c r="N965" s="10">
        <v>20.72</v>
      </c>
      <c r="O965" s="11">
        <f t="shared" si="60"/>
        <v>0.27263157894736839</v>
      </c>
      <c r="P965" s="10">
        <v>9.6</v>
      </c>
      <c r="Q965" s="10">
        <v>11.12</v>
      </c>
      <c r="R965" s="11">
        <f t="shared" si="61"/>
        <v>0.1463157894736842</v>
      </c>
      <c r="S965" t="s">
        <v>81</v>
      </c>
      <c r="T965" t="s">
        <v>82</v>
      </c>
      <c r="U965" t="s">
        <v>71</v>
      </c>
    </row>
    <row r="966" spans="1:21" x14ac:dyDescent="0.35">
      <c r="A966" t="s">
        <v>1093</v>
      </c>
      <c r="B966" s="5">
        <v>45697</v>
      </c>
      <c r="C966" t="s">
        <v>90</v>
      </c>
      <c r="D966" t="s">
        <v>70</v>
      </c>
      <c r="E966" s="9">
        <v>4</v>
      </c>
      <c r="F966" s="10">
        <v>38</v>
      </c>
      <c r="G966" s="11">
        <v>0</v>
      </c>
      <c r="H966" s="10">
        <v>152</v>
      </c>
      <c r="I966" s="9">
        <v>0</v>
      </c>
      <c r="J966" s="10">
        <v>0</v>
      </c>
      <c r="K966" s="9">
        <v>4</v>
      </c>
      <c r="L966" s="10">
        <v>152</v>
      </c>
      <c r="M966" s="10">
        <v>109.1</v>
      </c>
      <c r="N966" s="10">
        <v>42.9</v>
      </c>
      <c r="O966" s="11">
        <f t="shared" si="60"/>
        <v>0.28223684210526317</v>
      </c>
      <c r="P966" s="10">
        <v>8.93</v>
      </c>
      <c r="Q966" s="10">
        <v>33.97</v>
      </c>
      <c r="R966" s="11">
        <f t="shared" si="61"/>
        <v>0.22348684210526315</v>
      </c>
      <c r="S966" t="s">
        <v>81</v>
      </c>
      <c r="T966" t="s">
        <v>86</v>
      </c>
      <c r="U966" t="s">
        <v>76</v>
      </c>
    </row>
    <row r="967" spans="1:21" x14ac:dyDescent="0.35">
      <c r="A967" t="s">
        <v>1094</v>
      </c>
      <c r="B967" s="5">
        <v>45794</v>
      </c>
      <c r="C967" t="s">
        <v>264</v>
      </c>
      <c r="D967" t="s">
        <v>85</v>
      </c>
      <c r="E967" s="9">
        <v>4</v>
      </c>
      <c r="F967" s="10">
        <v>20</v>
      </c>
      <c r="G967" s="11">
        <v>0</v>
      </c>
      <c r="H967" s="10">
        <v>80</v>
      </c>
      <c r="I967" s="9">
        <v>0</v>
      </c>
      <c r="J967" s="10">
        <v>0</v>
      </c>
      <c r="K967" s="9">
        <v>4</v>
      </c>
      <c r="L967" s="10">
        <v>80</v>
      </c>
      <c r="M967" s="10">
        <v>65.08</v>
      </c>
      <c r="N967" s="10">
        <v>14.92</v>
      </c>
      <c r="O967" s="11">
        <f t="shared" si="60"/>
        <v>0.1865</v>
      </c>
      <c r="P967" s="10">
        <v>10.14</v>
      </c>
      <c r="Q967" s="10">
        <v>4.78</v>
      </c>
      <c r="R967" s="11">
        <f t="shared" si="61"/>
        <v>5.9750000000000004E-2</v>
      </c>
      <c r="S967" t="s">
        <v>81</v>
      </c>
      <c r="T967" t="s">
        <v>82</v>
      </c>
      <c r="U967" t="s">
        <v>61</v>
      </c>
    </row>
    <row r="968" spans="1:21" x14ac:dyDescent="0.35">
      <c r="A968" t="s">
        <v>1095</v>
      </c>
      <c r="B968" s="5">
        <v>45957</v>
      </c>
      <c r="C968" t="s">
        <v>109</v>
      </c>
      <c r="D968" t="s">
        <v>85</v>
      </c>
      <c r="E968" s="9">
        <v>3</v>
      </c>
      <c r="F968" s="10">
        <v>180</v>
      </c>
      <c r="G968" s="11">
        <v>0</v>
      </c>
      <c r="H968" s="10">
        <v>540</v>
      </c>
      <c r="I968" s="9">
        <v>0</v>
      </c>
      <c r="J968" s="10">
        <v>0</v>
      </c>
      <c r="K968" s="9">
        <v>3</v>
      </c>
      <c r="L968" s="10">
        <v>540</v>
      </c>
      <c r="M968" s="10">
        <v>429.02</v>
      </c>
      <c r="N968" s="10">
        <v>110.98</v>
      </c>
      <c r="O968" s="11">
        <f t="shared" si="60"/>
        <v>0.20551851851851852</v>
      </c>
      <c r="P968" s="10">
        <v>34.020000000000003</v>
      </c>
      <c r="Q968" s="10">
        <v>76.959999999999994</v>
      </c>
      <c r="R968" s="11">
        <f t="shared" si="61"/>
        <v>0.14251851851851852</v>
      </c>
      <c r="S968" t="s">
        <v>75</v>
      </c>
      <c r="T968" t="s">
        <v>86</v>
      </c>
      <c r="U968" t="s">
        <v>71</v>
      </c>
    </row>
    <row r="969" spans="1:21" x14ac:dyDescent="0.35">
      <c r="A969" t="s">
        <v>1096</v>
      </c>
      <c r="B969" s="5">
        <v>45906</v>
      </c>
      <c r="C969" t="s">
        <v>92</v>
      </c>
      <c r="D969" t="s">
        <v>79</v>
      </c>
      <c r="E969" s="9">
        <v>3</v>
      </c>
      <c r="F969" s="10">
        <v>85</v>
      </c>
      <c r="G969" s="11">
        <v>0.02</v>
      </c>
      <c r="H969" s="10">
        <v>249.9</v>
      </c>
      <c r="I969" s="9">
        <v>0</v>
      </c>
      <c r="J969" s="10">
        <v>0</v>
      </c>
      <c r="K969" s="9">
        <v>3</v>
      </c>
      <c r="L969" s="10">
        <v>249.9</v>
      </c>
      <c r="M969" s="10">
        <v>165.21</v>
      </c>
      <c r="N969" s="10">
        <v>84.69</v>
      </c>
      <c r="O969" s="11">
        <f t="shared" si="60"/>
        <v>0.33889555822328932</v>
      </c>
      <c r="P969" s="10">
        <v>18.55</v>
      </c>
      <c r="Q969" s="10">
        <v>66.14</v>
      </c>
      <c r="R969" s="11">
        <f t="shared" si="61"/>
        <v>0.2646658663465386</v>
      </c>
      <c r="S969" t="s">
        <v>65</v>
      </c>
      <c r="T969" t="s">
        <v>66</v>
      </c>
      <c r="U969" t="s">
        <v>61</v>
      </c>
    </row>
    <row r="970" spans="1:21" x14ac:dyDescent="0.35">
      <c r="A970" t="s">
        <v>1097</v>
      </c>
      <c r="B970" s="5">
        <v>45675</v>
      </c>
      <c r="C970" t="s">
        <v>97</v>
      </c>
      <c r="D970" t="s">
        <v>57</v>
      </c>
      <c r="E970" s="9">
        <v>6</v>
      </c>
      <c r="F970" s="10">
        <v>55</v>
      </c>
      <c r="G970" s="11">
        <v>0</v>
      </c>
      <c r="H970" s="10">
        <v>330</v>
      </c>
      <c r="I970" s="9">
        <v>0</v>
      </c>
      <c r="J970" s="10">
        <v>0</v>
      </c>
      <c r="K970" s="9">
        <v>6</v>
      </c>
      <c r="L970" s="10">
        <v>330</v>
      </c>
      <c r="M970" s="10">
        <v>249.35</v>
      </c>
      <c r="N970" s="10">
        <v>80.650000000000006</v>
      </c>
      <c r="O970" s="11">
        <f t="shared" si="60"/>
        <v>0.24439393939393941</v>
      </c>
      <c r="P970" s="10">
        <v>41.88</v>
      </c>
      <c r="Q970" s="10">
        <v>38.770000000000003</v>
      </c>
      <c r="R970" s="11">
        <f t="shared" si="61"/>
        <v>0.1174848484848485</v>
      </c>
      <c r="S970" t="s">
        <v>81</v>
      </c>
      <c r="T970" t="s">
        <v>82</v>
      </c>
      <c r="U970" t="s">
        <v>61</v>
      </c>
    </row>
    <row r="971" spans="1:21" x14ac:dyDescent="0.35">
      <c r="A971" t="s">
        <v>1098</v>
      </c>
      <c r="B971" s="5">
        <v>45674</v>
      </c>
      <c r="C971" t="s">
        <v>117</v>
      </c>
      <c r="D971" t="s">
        <v>74</v>
      </c>
      <c r="E971" s="9">
        <v>3</v>
      </c>
      <c r="F971" s="10">
        <v>95</v>
      </c>
      <c r="G971" s="11">
        <v>0</v>
      </c>
      <c r="H971" s="10">
        <v>285</v>
      </c>
      <c r="I971" s="9">
        <v>0</v>
      </c>
      <c r="J971" s="10">
        <v>0</v>
      </c>
      <c r="K971" s="9">
        <v>3</v>
      </c>
      <c r="L971" s="10">
        <v>285</v>
      </c>
      <c r="M971" s="10">
        <v>203.48</v>
      </c>
      <c r="N971" s="10">
        <v>81.52</v>
      </c>
      <c r="O971" s="11">
        <f t="shared" si="60"/>
        <v>0.28603508771929825</v>
      </c>
      <c r="P971" s="10">
        <v>29.28</v>
      </c>
      <c r="Q971" s="10">
        <v>52.24</v>
      </c>
      <c r="R971" s="11">
        <f t="shared" si="61"/>
        <v>0.1832982456140351</v>
      </c>
      <c r="S971" t="s">
        <v>81</v>
      </c>
      <c r="T971" t="s">
        <v>86</v>
      </c>
      <c r="U971" t="s">
        <v>71</v>
      </c>
    </row>
    <row r="972" spans="1:21" x14ac:dyDescent="0.35">
      <c r="A972" t="s">
        <v>1099</v>
      </c>
      <c r="B972" s="5">
        <v>45705</v>
      </c>
      <c r="C972" t="s">
        <v>92</v>
      </c>
      <c r="D972" t="s">
        <v>79</v>
      </c>
      <c r="E972" s="9">
        <v>1</v>
      </c>
      <c r="F972" s="10">
        <v>85</v>
      </c>
      <c r="G972" s="11">
        <v>0.05</v>
      </c>
      <c r="H972" s="10">
        <v>80.75</v>
      </c>
      <c r="I972" s="9">
        <v>0</v>
      </c>
      <c r="J972" s="10">
        <v>0</v>
      </c>
      <c r="K972" s="9">
        <v>1</v>
      </c>
      <c r="L972" s="10">
        <v>80.75</v>
      </c>
      <c r="M972" s="10">
        <v>59.83</v>
      </c>
      <c r="N972" s="10">
        <v>20.92</v>
      </c>
      <c r="O972" s="11">
        <f t="shared" si="60"/>
        <v>0.25907120743034057</v>
      </c>
      <c r="P972" s="10">
        <v>5.65</v>
      </c>
      <c r="Q972" s="10">
        <v>15.27</v>
      </c>
      <c r="R972" s="11">
        <f t="shared" si="61"/>
        <v>0.18910216718266254</v>
      </c>
      <c r="S972" t="s">
        <v>75</v>
      </c>
      <c r="T972" t="s">
        <v>82</v>
      </c>
      <c r="U972" t="s">
        <v>76</v>
      </c>
    </row>
    <row r="973" spans="1:21" x14ac:dyDescent="0.35">
      <c r="A973" t="s">
        <v>1100</v>
      </c>
      <c r="B973" s="5">
        <v>45985</v>
      </c>
      <c r="C973" t="s">
        <v>84</v>
      </c>
      <c r="D973" t="s">
        <v>85</v>
      </c>
      <c r="E973" s="9">
        <v>2</v>
      </c>
      <c r="F973" s="10">
        <v>48</v>
      </c>
      <c r="G973" s="11">
        <v>0.05</v>
      </c>
      <c r="H973" s="10">
        <v>91.2</v>
      </c>
      <c r="I973" s="9">
        <v>0</v>
      </c>
      <c r="J973" s="10">
        <v>0</v>
      </c>
      <c r="K973" s="9">
        <v>2</v>
      </c>
      <c r="L973" s="10">
        <v>91.2</v>
      </c>
      <c r="M973" s="10">
        <v>76.180000000000007</v>
      </c>
      <c r="N973" s="10">
        <v>15.02</v>
      </c>
      <c r="O973" s="11">
        <f t="shared" si="60"/>
        <v>0.16469298245614034</v>
      </c>
      <c r="P973" s="10">
        <v>7.88</v>
      </c>
      <c r="Q973" s="10">
        <v>7.14</v>
      </c>
      <c r="R973" s="11">
        <f t="shared" si="61"/>
        <v>7.828947368421052E-2</v>
      </c>
      <c r="S973" t="s">
        <v>65</v>
      </c>
      <c r="T973" t="s">
        <v>66</v>
      </c>
      <c r="U973" t="s">
        <v>61</v>
      </c>
    </row>
    <row r="974" spans="1:21" x14ac:dyDescent="0.35">
      <c r="A974" t="s">
        <v>1101</v>
      </c>
      <c r="B974" s="5">
        <v>45914</v>
      </c>
      <c r="C974" t="s">
        <v>73</v>
      </c>
      <c r="D974" t="s">
        <v>74</v>
      </c>
      <c r="E974" s="9">
        <v>8</v>
      </c>
      <c r="F974" s="10">
        <v>280</v>
      </c>
      <c r="G974" s="11">
        <v>0</v>
      </c>
      <c r="H974" s="10">
        <v>2240</v>
      </c>
      <c r="I974" s="9">
        <v>0</v>
      </c>
      <c r="J974" s="10">
        <v>0</v>
      </c>
      <c r="K974" s="9">
        <v>8</v>
      </c>
      <c r="L974" s="10">
        <v>2240</v>
      </c>
      <c r="M974" s="10">
        <v>1572.62</v>
      </c>
      <c r="N974" s="10">
        <v>667.38</v>
      </c>
      <c r="O974" s="11">
        <f t="shared" si="60"/>
        <v>0.29793750000000002</v>
      </c>
      <c r="P974" s="10">
        <v>116.37</v>
      </c>
      <c r="Q974" s="10">
        <v>551.01</v>
      </c>
      <c r="R974" s="11">
        <f t="shared" si="61"/>
        <v>0.24598660714285714</v>
      </c>
      <c r="S974" t="s">
        <v>59</v>
      </c>
      <c r="T974" t="s">
        <v>60</v>
      </c>
      <c r="U974" t="s">
        <v>67</v>
      </c>
    </row>
    <row r="975" spans="1:21" x14ac:dyDescent="0.35">
      <c r="A975" t="s">
        <v>1102</v>
      </c>
      <c r="B975" s="5">
        <v>45970</v>
      </c>
      <c r="C975" t="s">
        <v>114</v>
      </c>
      <c r="D975" t="s">
        <v>64</v>
      </c>
      <c r="E975" s="9">
        <v>2</v>
      </c>
      <c r="F975" s="10">
        <v>420</v>
      </c>
      <c r="G975" s="11">
        <v>0.02</v>
      </c>
      <c r="H975" s="10">
        <v>823.2</v>
      </c>
      <c r="I975" s="9">
        <v>2</v>
      </c>
      <c r="J975" s="10">
        <v>823.2</v>
      </c>
      <c r="K975" s="9">
        <v>0</v>
      </c>
      <c r="L975" s="10">
        <v>0</v>
      </c>
      <c r="M975" s="10">
        <v>0</v>
      </c>
      <c r="N975" s="10">
        <v>0</v>
      </c>
      <c r="O975" s="11">
        <v>0</v>
      </c>
      <c r="P975" s="10">
        <v>0</v>
      </c>
      <c r="Q975" s="10">
        <v>0</v>
      </c>
      <c r="R975" s="11">
        <v>0</v>
      </c>
      <c r="S975" t="s">
        <v>65</v>
      </c>
      <c r="T975" t="s">
        <v>60</v>
      </c>
      <c r="U975" t="s">
        <v>71</v>
      </c>
    </row>
    <row r="976" spans="1:21" x14ac:dyDescent="0.35">
      <c r="A976" t="s">
        <v>1103</v>
      </c>
      <c r="B976" s="5">
        <v>46014</v>
      </c>
      <c r="C976" t="s">
        <v>114</v>
      </c>
      <c r="D976" t="s">
        <v>64</v>
      </c>
      <c r="E976" s="9">
        <v>1</v>
      </c>
      <c r="F976" s="10">
        <v>420</v>
      </c>
      <c r="G976" s="11">
        <v>0</v>
      </c>
      <c r="H976" s="10">
        <v>420</v>
      </c>
      <c r="I976" s="9">
        <v>0</v>
      </c>
      <c r="J976" s="10">
        <v>0</v>
      </c>
      <c r="K976" s="9">
        <v>1</v>
      </c>
      <c r="L976" s="10">
        <v>420</v>
      </c>
      <c r="M976" s="10">
        <v>359.82</v>
      </c>
      <c r="N976" s="10">
        <v>60.18</v>
      </c>
      <c r="O976" s="11">
        <f t="shared" ref="O976:O1039" si="62">N976/L976</f>
        <v>0.14328571428571429</v>
      </c>
      <c r="P976" s="10">
        <v>24.87</v>
      </c>
      <c r="Q976" s="10">
        <v>35.31</v>
      </c>
      <c r="R976" s="11">
        <f t="shared" ref="R976:R1039" si="63">Q976/L976</f>
        <v>8.4071428571428575E-2</v>
      </c>
      <c r="S976" t="s">
        <v>59</v>
      </c>
      <c r="T976" t="s">
        <v>86</v>
      </c>
      <c r="U976" t="s">
        <v>61</v>
      </c>
    </row>
    <row r="977" spans="1:21" x14ac:dyDescent="0.35">
      <c r="A977" t="s">
        <v>1104</v>
      </c>
      <c r="B977" s="5">
        <v>45882</v>
      </c>
      <c r="C977" t="s">
        <v>78</v>
      </c>
      <c r="D977" t="s">
        <v>79</v>
      </c>
      <c r="E977" s="9">
        <v>2</v>
      </c>
      <c r="F977" s="10">
        <v>120</v>
      </c>
      <c r="G977" s="11">
        <v>0</v>
      </c>
      <c r="H977" s="10">
        <v>240</v>
      </c>
      <c r="I977" s="9">
        <v>0</v>
      </c>
      <c r="J977" s="10">
        <v>0</v>
      </c>
      <c r="K977" s="9">
        <v>2</v>
      </c>
      <c r="L977" s="10">
        <v>240</v>
      </c>
      <c r="M977" s="10">
        <v>161.65</v>
      </c>
      <c r="N977" s="10">
        <v>78.349999999999994</v>
      </c>
      <c r="O977" s="11">
        <f t="shared" si="62"/>
        <v>0.32645833333333329</v>
      </c>
      <c r="P977" s="10">
        <v>13.99</v>
      </c>
      <c r="Q977" s="10">
        <v>64.36</v>
      </c>
      <c r="R977" s="11">
        <f t="shared" si="63"/>
        <v>0.26816666666666666</v>
      </c>
      <c r="S977" t="s">
        <v>75</v>
      </c>
      <c r="T977" t="s">
        <v>86</v>
      </c>
      <c r="U977" t="s">
        <v>76</v>
      </c>
    </row>
    <row r="978" spans="1:21" x14ac:dyDescent="0.35">
      <c r="A978" t="s">
        <v>1105</v>
      </c>
      <c r="B978" s="5">
        <v>45675</v>
      </c>
      <c r="C978" t="s">
        <v>125</v>
      </c>
      <c r="D978" t="s">
        <v>85</v>
      </c>
      <c r="E978" s="9">
        <v>3</v>
      </c>
      <c r="F978" s="10">
        <v>125</v>
      </c>
      <c r="G978" s="11">
        <v>0.02</v>
      </c>
      <c r="H978" s="10">
        <v>367.5</v>
      </c>
      <c r="I978" s="9">
        <v>0</v>
      </c>
      <c r="J978" s="10">
        <v>0</v>
      </c>
      <c r="K978" s="9">
        <v>3</v>
      </c>
      <c r="L978" s="10">
        <v>367.5</v>
      </c>
      <c r="M978" s="10">
        <v>285.47000000000003</v>
      </c>
      <c r="N978" s="10">
        <v>82.03</v>
      </c>
      <c r="O978" s="11">
        <f t="shared" si="62"/>
        <v>0.22321088435374151</v>
      </c>
      <c r="P978" s="10">
        <v>36.93</v>
      </c>
      <c r="Q978" s="10">
        <v>45.1</v>
      </c>
      <c r="R978" s="11">
        <f t="shared" si="63"/>
        <v>0.12272108843537416</v>
      </c>
      <c r="S978" t="s">
        <v>75</v>
      </c>
      <c r="T978" t="s">
        <v>82</v>
      </c>
      <c r="U978" t="s">
        <v>76</v>
      </c>
    </row>
    <row r="979" spans="1:21" x14ac:dyDescent="0.35">
      <c r="A979" t="s">
        <v>1106</v>
      </c>
      <c r="B979" s="5">
        <v>45778</v>
      </c>
      <c r="C979" t="s">
        <v>56</v>
      </c>
      <c r="D979" t="s">
        <v>57</v>
      </c>
      <c r="E979" s="9">
        <v>4</v>
      </c>
      <c r="F979" s="10">
        <v>40</v>
      </c>
      <c r="G979" s="11">
        <v>0</v>
      </c>
      <c r="H979" s="10">
        <v>160</v>
      </c>
      <c r="I979" s="9">
        <v>0</v>
      </c>
      <c r="J979" s="10">
        <v>0</v>
      </c>
      <c r="K979" s="9">
        <v>4</v>
      </c>
      <c r="L979" s="10">
        <v>160</v>
      </c>
      <c r="M979" s="10">
        <v>132.1</v>
      </c>
      <c r="N979" s="10">
        <v>27.9</v>
      </c>
      <c r="O979" s="11">
        <f t="shared" si="62"/>
        <v>0.174375</v>
      </c>
      <c r="P979" s="10">
        <v>12.3</v>
      </c>
      <c r="Q979" s="10">
        <v>15.6</v>
      </c>
      <c r="R979" s="11">
        <f t="shared" si="63"/>
        <v>9.7500000000000003E-2</v>
      </c>
      <c r="S979" t="s">
        <v>65</v>
      </c>
      <c r="T979" t="s">
        <v>66</v>
      </c>
      <c r="U979" t="s">
        <v>61</v>
      </c>
    </row>
    <row r="980" spans="1:21" x14ac:dyDescent="0.35">
      <c r="A980" t="s">
        <v>1107</v>
      </c>
      <c r="B980" s="5">
        <v>45886</v>
      </c>
      <c r="C980" t="s">
        <v>104</v>
      </c>
      <c r="D980" t="s">
        <v>105</v>
      </c>
      <c r="E980" s="9">
        <v>2</v>
      </c>
      <c r="F980" s="10">
        <v>65</v>
      </c>
      <c r="G980" s="11">
        <v>0</v>
      </c>
      <c r="H980" s="10">
        <v>130</v>
      </c>
      <c r="I980" s="9">
        <v>0</v>
      </c>
      <c r="J980" s="10">
        <v>0</v>
      </c>
      <c r="K980" s="9">
        <v>2</v>
      </c>
      <c r="L980" s="10">
        <v>130</v>
      </c>
      <c r="M980" s="10">
        <v>107.95</v>
      </c>
      <c r="N980" s="10">
        <v>22.05</v>
      </c>
      <c r="O980" s="11">
        <f t="shared" si="62"/>
        <v>0.16961538461538461</v>
      </c>
      <c r="P980" s="10">
        <v>11.24</v>
      </c>
      <c r="Q980" s="10">
        <v>10.81</v>
      </c>
      <c r="R980" s="11">
        <f t="shared" si="63"/>
        <v>8.3153846153846162E-2</v>
      </c>
      <c r="S980" t="s">
        <v>81</v>
      </c>
      <c r="T980" t="s">
        <v>82</v>
      </c>
      <c r="U980" t="s">
        <v>61</v>
      </c>
    </row>
    <row r="981" spans="1:21" x14ac:dyDescent="0.35">
      <c r="A981" t="s">
        <v>1108</v>
      </c>
      <c r="B981" s="5">
        <v>45768</v>
      </c>
      <c r="C981" t="s">
        <v>107</v>
      </c>
      <c r="D981" t="s">
        <v>74</v>
      </c>
      <c r="E981" s="9">
        <v>3</v>
      </c>
      <c r="F981" s="10">
        <v>125</v>
      </c>
      <c r="G981" s="11">
        <v>0</v>
      </c>
      <c r="H981" s="10">
        <v>375</v>
      </c>
      <c r="I981" s="9">
        <v>0</v>
      </c>
      <c r="J981" s="10">
        <v>0</v>
      </c>
      <c r="K981" s="9">
        <v>3</v>
      </c>
      <c r="L981" s="10">
        <v>375</v>
      </c>
      <c r="M981" s="10">
        <v>253.79</v>
      </c>
      <c r="N981" s="10">
        <v>121.21</v>
      </c>
      <c r="O981" s="11">
        <f t="shared" si="62"/>
        <v>0.32322666666666666</v>
      </c>
      <c r="P981" s="10">
        <v>22.7</v>
      </c>
      <c r="Q981" s="10">
        <v>98.51</v>
      </c>
      <c r="R981" s="11">
        <f t="shared" si="63"/>
        <v>0.26269333333333333</v>
      </c>
      <c r="S981" t="s">
        <v>75</v>
      </c>
      <c r="T981" t="s">
        <v>86</v>
      </c>
      <c r="U981" t="s">
        <v>61</v>
      </c>
    </row>
    <row r="982" spans="1:21" x14ac:dyDescent="0.35">
      <c r="A982" t="s">
        <v>1109</v>
      </c>
      <c r="B982" s="5">
        <v>45928</v>
      </c>
      <c r="C982" t="s">
        <v>92</v>
      </c>
      <c r="D982" t="s">
        <v>79</v>
      </c>
      <c r="E982" s="9">
        <v>6</v>
      </c>
      <c r="F982" s="10">
        <v>85</v>
      </c>
      <c r="G982" s="11">
        <v>0</v>
      </c>
      <c r="H982" s="10">
        <v>510</v>
      </c>
      <c r="I982" s="9">
        <v>0</v>
      </c>
      <c r="J982" s="10">
        <v>0</v>
      </c>
      <c r="K982" s="9">
        <v>6</v>
      </c>
      <c r="L982" s="10">
        <v>510</v>
      </c>
      <c r="M982" s="10">
        <v>427.93</v>
      </c>
      <c r="N982" s="10">
        <v>82.07</v>
      </c>
      <c r="O982" s="11">
        <f t="shared" si="62"/>
        <v>0.16092156862745097</v>
      </c>
      <c r="P982" s="10">
        <v>51.85</v>
      </c>
      <c r="Q982" s="10">
        <v>30.22</v>
      </c>
      <c r="R982" s="11">
        <f t="shared" si="63"/>
        <v>5.9254901960784312E-2</v>
      </c>
      <c r="S982" t="s">
        <v>65</v>
      </c>
      <c r="T982" t="s">
        <v>2133</v>
      </c>
      <c r="U982" t="s">
        <v>76</v>
      </c>
    </row>
    <row r="983" spans="1:21" x14ac:dyDescent="0.35">
      <c r="A983" t="s">
        <v>1110</v>
      </c>
      <c r="B983" s="5">
        <v>45880</v>
      </c>
      <c r="C983" t="s">
        <v>264</v>
      </c>
      <c r="D983" t="s">
        <v>85</v>
      </c>
      <c r="E983" s="9">
        <v>1</v>
      </c>
      <c r="F983" s="10">
        <v>20</v>
      </c>
      <c r="G983" s="11">
        <v>0.02</v>
      </c>
      <c r="H983" s="10">
        <v>19.600000000000001</v>
      </c>
      <c r="I983" s="9">
        <v>0</v>
      </c>
      <c r="J983" s="10">
        <v>0</v>
      </c>
      <c r="K983" s="9">
        <v>1</v>
      </c>
      <c r="L983" s="10">
        <v>19.600000000000001</v>
      </c>
      <c r="M983" s="10">
        <v>14.07</v>
      </c>
      <c r="N983" s="10">
        <v>5.53</v>
      </c>
      <c r="O983" s="11">
        <f t="shared" si="62"/>
        <v>0.28214285714285714</v>
      </c>
      <c r="P983" s="10">
        <v>2.36</v>
      </c>
      <c r="Q983" s="10">
        <v>3.17</v>
      </c>
      <c r="R983" s="11">
        <f t="shared" si="63"/>
        <v>0.16173469387755102</v>
      </c>
      <c r="S983" t="s">
        <v>65</v>
      </c>
      <c r="T983" t="s">
        <v>82</v>
      </c>
      <c r="U983" t="s">
        <v>67</v>
      </c>
    </row>
    <row r="984" spans="1:21" x14ac:dyDescent="0.35">
      <c r="A984" t="s">
        <v>1111</v>
      </c>
      <c r="B984" s="5">
        <v>45792</v>
      </c>
      <c r="C984" t="s">
        <v>69</v>
      </c>
      <c r="D984" t="s">
        <v>70</v>
      </c>
      <c r="E984" s="9">
        <v>2</v>
      </c>
      <c r="F984" s="10">
        <v>210</v>
      </c>
      <c r="G984" s="11">
        <v>0</v>
      </c>
      <c r="H984" s="10">
        <v>420</v>
      </c>
      <c r="I984" s="9">
        <v>0</v>
      </c>
      <c r="J984" s="10">
        <v>0</v>
      </c>
      <c r="K984" s="9">
        <v>2</v>
      </c>
      <c r="L984" s="10">
        <v>420</v>
      </c>
      <c r="M984" s="10">
        <v>278.83999999999997</v>
      </c>
      <c r="N984" s="10">
        <v>141.16</v>
      </c>
      <c r="O984" s="11">
        <f t="shared" si="62"/>
        <v>0.33609523809523811</v>
      </c>
      <c r="P984" s="10">
        <v>54.08</v>
      </c>
      <c r="Q984" s="10">
        <v>87.08</v>
      </c>
      <c r="R984" s="11">
        <f t="shared" si="63"/>
        <v>0.20733333333333334</v>
      </c>
      <c r="S984" t="s">
        <v>81</v>
      </c>
      <c r="T984" t="s">
        <v>86</v>
      </c>
      <c r="U984" t="s">
        <v>61</v>
      </c>
    </row>
    <row r="985" spans="1:21" x14ac:dyDescent="0.35">
      <c r="A985" t="s">
        <v>1112</v>
      </c>
      <c r="B985" s="5">
        <v>45661</v>
      </c>
      <c r="C985" t="s">
        <v>264</v>
      </c>
      <c r="D985" t="s">
        <v>85</v>
      </c>
      <c r="E985" s="9">
        <v>4</v>
      </c>
      <c r="F985" s="10">
        <v>20</v>
      </c>
      <c r="G985" s="11">
        <v>0</v>
      </c>
      <c r="H985" s="10">
        <v>80</v>
      </c>
      <c r="I985" s="9">
        <v>0</v>
      </c>
      <c r="J985" s="10">
        <v>0</v>
      </c>
      <c r="K985" s="9">
        <v>4</v>
      </c>
      <c r="L985" s="10">
        <v>80</v>
      </c>
      <c r="M985" s="10">
        <v>61.33</v>
      </c>
      <c r="N985" s="10">
        <v>18.670000000000002</v>
      </c>
      <c r="O985" s="11">
        <f t="shared" si="62"/>
        <v>0.23337500000000003</v>
      </c>
      <c r="P985" s="10">
        <v>4.0999999999999996</v>
      </c>
      <c r="Q985" s="10">
        <v>14.57</v>
      </c>
      <c r="R985" s="11">
        <f t="shared" si="63"/>
        <v>0.18212500000000001</v>
      </c>
      <c r="S985" t="s">
        <v>75</v>
      </c>
      <c r="T985" t="s">
        <v>86</v>
      </c>
      <c r="U985" t="s">
        <v>71</v>
      </c>
    </row>
    <row r="986" spans="1:21" x14ac:dyDescent="0.35">
      <c r="A986" t="s">
        <v>1113</v>
      </c>
      <c r="B986" s="5">
        <v>45864</v>
      </c>
      <c r="C986" t="s">
        <v>109</v>
      </c>
      <c r="D986" t="s">
        <v>85</v>
      </c>
      <c r="E986" s="9">
        <v>4</v>
      </c>
      <c r="F986" s="10">
        <v>180</v>
      </c>
      <c r="G986" s="11">
        <v>0</v>
      </c>
      <c r="H986" s="10">
        <v>720</v>
      </c>
      <c r="I986" s="9">
        <v>0</v>
      </c>
      <c r="J986" s="10">
        <v>0</v>
      </c>
      <c r="K986" s="9">
        <v>4</v>
      </c>
      <c r="L986" s="10">
        <v>720</v>
      </c>
      <c r="M986" s="10">
        <v>534.97</v>
      </c>
      <c r="N986" s="10">
        <v>185.03</v>
      </c>
      <c r="O986" s="11">
        <f t="shared" si="62"/>
        <v>0.25698611111111114</v>
      </c>
      <c r="P986" s="10">
        <v>64.459999999999994</v>
      </c>
      <c r="Q986" s="10">
        <v>120.57</v>
      </c>
      <c r="R986" s="11">
        <f t="shared" si="63"/>
        <v>0.16745833333333332</v>
      </c>
      <c r="S986" t="s">
        <v>59</v>
      </c>
      <c r="T986" t="s">
        <v>82</v>
      </c>
      <c r="U986" t="s">
        <v>76</v>
      </c>
    </row>
    <row r="987" spans="1:21" x14ac:dyDescent="0.35">
      <c r="A987" t="s">
        <v>1114</v>
      </c>
      <c r="B987" s="5">
        <v>45692</v>
      </c>
      <c r="C987" t="s">
        <v>125</v>
      </c>
      <c r="D987" t="s">
        <v>85</v>
      </c>
      <c r="E987" s="9">
        <v>2</v>
      </c>
      <c r="F987" s="10">
        <v>125</v>
      </c>
      <c r="G987" s="11">
        <v>0</v>
      </c>
      <c r="H987" s="10">
        <v>250</v>
      </c>
      <c r="I987" s="9">
        <v>0</v>
      </c>
      <c r="J987" s="10">
        <v>0</v>
      </c>
      <c r="K987" s="9">
        <v>2</v>
      </c>
      <c r="L987" s="10">
        <v>250</v>
      </c>
      <c r="M987" s="10">
        <v>185.21</v>
      </c>
      <c r="N987" s="10">
        <v>64.790000000000006</v>
      </c>
      <c r="O987" s="11">
        <f t="shared" si="62"/>
        <v>0.25916</v>
      </c>
      <c r="P987" s="10">
        <v>21.33</v>
      </c>
      <c r="Q987" s="10">
        <v>43.46</v>
      </c>
      <c r="R987" s="11">
        <f t="shared" si="63"/>
        <v>0.17383999999999999</v>
      </c>
      <c r="S987" t="s">
        <v>65</v>
      </c>
      <c r="T987" t="s">
        <v>60</v>
      </c>
      <c r="U987" t="s">
        <v>67</v>
      </c>
    </row>
    <row r="988" spans="1:21" x14ac:dyDescent="0.35">
      <c r="A988" t="s">
        <v>1115</v>
      </c>
      <c r="B988" s="5">
        <v>45712</v>
      </c>
      <c r="C988" t="s">
        <v>109</v>
      </c>
      <c r="D988" t="s">
        <v>85</v>
      </c>
      <c r="E988" s="9">
        <v>3</v>
      </c>
      <c r="F988" s="10">
        <v>180</v>
      </c>
      <c r="G988" s="11">
        <v>0</v>
      </c>
      <c r="H988" s="10">
        <v>540</v>
      </c>
      <c r="I988" s="9">
        <v>0</v>
      </c>
      <c r="J988" s="10">
        <v>0</v>
      </c>
      <c r="K988" s="9">
        <v>3</v>
      </c>
      <c r="L988" s="10">
        <v>540</v>
      </c>
      <c r="M988" s="10">
        <v>449.49</v>
      </c>
      <c r="N988" s="10">
        <v>90.51</v>
      </c>
      <c r="O988" s="11">
        <f t="shared" si="62"/>
        <v>0.16761111111111113</v>
      </c>
      <c r="P988" s="10">
        <v>36.549999999999997</v>
      </c>
      <c r="Q988" s="10">
        <v>53.96</v>
      </c>
      <c r="R988" s="11">
        <f t="shared" si="63"/>
        <v>9.9925925925925932E-2</v>
      </c>
      <c r="S988" t="s">
        <v>59</v>
      </c>
      <c r="T988" t="s">
        <v>66</v>
      </c>
      <c r="U988" t="s">
        <v>76</v>
      </c>
    </row>
    <row r="989" spans="1:21" x14ac:dyDescent="0.35">
      <c r="A989" t="s">
        <v>1116</v>
      </c>
      <c r="B989" s="5">
        <v>45892</v>
      </c>
      <c r="C989" t="s">
        <v>69</v>
      </c>
      <c r="D989" t="s">
        <v>70</v>
      </c>
      <c r="E989" s="9">
        <v>1</v>
      </c>
      <c r="F989" s="10">
        <v>210</v>
      </c>
      <c r="G989" s="11">
        <v>0</v>
      </c>
      <c r="H989" s="10">
        <v>210</v>
      </c>
      <c r="I989" s="9">
        <v>0</v>
      </c>
      <c r="J989" s="10">
        <v>0</v>
      </c>
      <c r="K989" s="9">
        <v>1</v>
      </c>
      <c r="L989" s="10">
        <v>210</v>
      </c>
      <c r="M989" s="10">
        <v>144.93</v>
      </c>
      <c r="N989" s="10">
        <v>65.069999999999993</v>
      </c>
      <c r="O989" s="11">
        <f t="shared" si="62"/>
        <v>0.30985714285714283</v>
      </c>
      <c r="P989" s="10">
        <v>11.97</v>
      </c>
      <c r="Q989" s="10">
        <v>53.1</v>
      </c>
      <c r="R989" s="11">
        <f t="shared" si="63"/>
        <v>0.25285714285714289</v>
      </c>
      <c r="S989" t="s">
        <v>65</v>
      </c>
      <c r="T989" t="s">
        <v>82</v>
      </c>
      <c r="U989" t="s">
        <v>76</v>
      </c>
    </row>
    <row r="990" spans="1:21" x14ac:dyDescent="0.35">
      <c r="A990" t="s">
        <v>1117</v>
      </c>
      <c r="B990" s="5">
        <v>45892</v>
      </c>
      <c r="C990" t="s">
        <v>95</v>
      </c>
      <c r="D990" t="s">
        <v>64</v>
      </c>
      <c r="E990" s="9">
        <v>2</v>
      </c>
      <c r="F990" s="10">
        <v>52</v>
      </c>
      <c r="G990" s="11">
        <v>0.02</v>
      </c>
      <c r="H990" s="10">
        <v>101.92</v>
      </c>
      <c r="I990" s="9">
        <v>0</v>
      </c>
      <c r="J990" s="10">
        <v>0</v>
      </c>
      <c r="K990" s="9">
        <v>2</v>
      </c>
      <c r="L990" s="10">
        <v>101.92</v>
      </c>
      <c r="M990" s="10">
        <v>78.09</v>
      </c>
      <c r="N990" s="10">
        <v>23.83</v>
      </c>
      <c r="O990" s="11">
        <f t="shared" si="62"/>
        <v>0.23381083202511771</v>
      </c>
      <c r="P990" s="10">
        <v>8.74</v>
      </c>
      <c r="Q990" s="10">
        <v>15.09</v>
      </c>
      <c r="R990" s="11">
        <f t="shared" si="63"/>
        <v>0.14805729984301413</v>
      </c>
      <c r="S990" t="s">
        <v>75</v>
      </c>
      <c r="T990" t="s">
        <v>86</v>
      </c>
      <c r="U990" t="s">
        <v>71</v>
      </c>
    </row>
    <row r="991" spans="1:21" x14ac:dyDescent="0.35">
      <c r="A991" t="s">
        <v>1118</v>
      </c>
      <c r="B991" s="5">
        <v>45724</v>
      </c>
      <c r="C991" t="s">
        <v>114</v>
      </c>
      <c r="D991" t="s">
        <v>64</v>
      </c>
      <c r="E991" s="9">
        <v>2</v>
      </c>
      <c r="F991" s="10">
        <v>420</v>
      </c>
      <c r="G991" s="11">
        <v>0.15</v>
      </c>
      <c r="H991" s="10">
        <v>714</v>
      </c>
      <c r="I991" s="9">
        <v>0</v>
      </c>
      <c r="J991" s="10">
        <v>0</v>
      </c>
      <c r="K991" s="9">
        <v>2</v>
      </c>
      <c r="L991" s="10">
        <v>714</v>
      </c>
      <c r="M991" s="10">
        <v>449.11</v>
      </c>
      <c r="N991" s="10">
        <v>264.89</v>
      </c>
      <c r="O991" s="11">
        <f t="shared" si="62"/>
        <v>0.37099439775910364</v>
      </c>
      <c r="P991" s="10">
        <v>53.64</v>
      </c>
      <c r="Q991" s="10">
        <v>211.25</v>
      </c>
      <c r="R991" s="11">
        <f t="shared" si="63"/>
        <v>0.29586834733893558</v>
      </c>
      <c r="S991" t="s">
        <v>75</v>
      </c>
      <c r="T991" t="s">
        <v>82</v>
      </c>
      <c r="U991" t="s">
        <v>76</v>
      </c>
    </row>
    <row r="992" spans="1:21" x14ac:dyDescent="0.35">
      <c r="A992" t="s">
        <v>1119</v>
      </c>
      <c r="B992" s="5">
        <v>45736</v>
      </c>
      <c r="C992" t="s">
        <v>73</v>
      </c>
      <c r="D992" t="s">
        <v>74</v>
      </c>
      <c r="E992" s="9">
        <v>1</v>
      </c>
      <c r="F992" s="10">
        <v>280</v>
      </c>
      <c r="G992" s="11">
        <v>0</v>
      </c>
      <c r="H992" s="10">
        <v>280</v>
      </c>
      <c r="I992" s="9">
        <v>0</v>
      </c>
      <c r="J992" s="10">
        <v>0</v>
      </c>
      <c r="K992" s="9">
        <v>1</v>
      </c>
      <c r="L992" s="10">
        <v>280</v>
      </c>
      <c r="M992" s="10">
        <v>222.53</v>
      </c>
      <c r="N992" s="10">
        <v>57.47</v>
      </c>
      <c r="O992" s="11">
        <f t="shared" si="62"/>
        <v>0.20524999999999999</v>
      </c>
      <c r="P992" s="10">
        <v>35.89</v>
      </c>
      <c r="Q992" s="10">
        <v>21.58</v>
      </c>
      <c r="R992" s="11">
        <f t="shared" si="63"/>
        <v>7.7071428571428569E-2</v>
      </c>
      <c r="S992" t="s">
        <v>81</v>
      </c>
      <c r="T992" t="s">
        <v>66</v>
      </c>
      <c r="U992" t="s">
        <v>76</v>
      </c>
    </row>
    <row r="993" spans="1:21" x14ac:dyDescent="0.35">
      <c r="A993" t="s">
        <v>1120</v>
      </c>
      <c r="B993" s="5">
        <v>45923</v>
      </c>
      <c r="C993" t="s">
        <v>92</v>
      </c>
      <c r="D993" t="s">
        <v>79</v>
      </c>
      <c r="E993" s="9">
        <v>3</v>
      </c>
      <c r="F993" s="10">
        <v>85</v>
      </c>
      <c r="G993" s="11">
        <v>0.02</v>
      </c>
      <c r="H993" s="10">
        <v>249.9</v>
      </c>
      <c r="I993" s="9">
        <v>0</v>
      </c>
      <c r="J993" s="10">
        <v>0</v>
      </c>
      <c r="K993" s="9">
        <v>3</v>
      </c>
      <c r="L993" s="10">
        <v>249.9</v>
      </c>
      <c r="M993" s="10">
        <v>176.49</v>
      </c>
      <c r="N993" s="10">
        <v>73.41</v>
      </c>
      <c r="O993" s="11">
        <f t="shared" si="62"/>
        <v>0.29375750300120046</v>
      </c>
      <c r="P993" s="10">
        <v>19.760000000000002</v>
      </c>
      <c r="Q993" s="10">
        <v>53.65</v>
      </c>
      <c r="R993" s="11">
        <f t="shared" si="63"/>
        <v>0.21468587434973987</v>
      </c>
      <c r="S993" t="s">
        <v>81</v>
      </c>
      <c r="T993" t="s">
        <v>66</v>
      </c>
      <c r="U993" t="s">
        <v>67</v>
      </c>
    </row>
    <row r="994" spans="1:21" x14ac:dyDescent="0.35">
      <c r="A994" t="s">
        <v>1121</v>
      </c>
      <c r="B994" s="5">
        <v>45814</v>
      </c>
      <c r="C994" t="s">
        <v>107</v>
      </c>
      <c r="D994" t="s">
        <v>74</v>
      </c>
      <c r="E994" s="9">
        <v>1</v>
      </c>
      <c r="F994" s="10">
        <v>125</v>
      </c>
      <c r="G994" s="11">
        <v>0.1</v>
      </c>
      <c r="H994" s="10">
        <v>112.5</v>
      </c>
      <c r="I994" s="9">
        <v>0</v>
      </c>
      <c r="J994" s="10">
        <v>0</v>
      </c>
      <c r="K994" s="9">
        <v>1</v>
      </c>
      <c r="L994" s="10">
        <v>112.5</v>
      </c>
      <c r="M994" s="10">
        <v>95.91</v>
      </c>
      <c r="N994" s="10">
        <v>16.59</v>
      </c>
      <c r="O994" s="11">
        <f t="shared" si="62"/>
        <v>0.14746666666666666</v>
      </c>
      <c r="P994" s="10">
        <v>12.73</v>
      </c>
      <c r="Q994" s="10">
        <v>3.86</v>
      </c>
      <c r="R994" s="11">
        <f t="shared" si="63"/>
        <v>3.4311111111111112E-2</v>
      </c>
      <c r="S994" t="s">
        <v>81</v>
      </c>
      <c r="T994" t="s">
        <v>86</v>
      </c>
      <c r="U994" t="s">
        <v>76</v>
      </c>
    </row>
    <row r="995" spans="1:21" x14ac:dyDescent="0.35">
      <c r="A995" t="s">
        <v>1122</v>
      </c>
      <c r="B995" s="5">
        <v>45752</v>
      </c>
      <c r="C995" t="s">
        <v>56</v>
      </c>
      <c r="D995" t="s">
        <v>57</v>
      </c>
      <c r="E995" s="9">
        <v>1</v>
      </c>
      <c r="F995" s="10">
        <v>40</v>
      </c>
      <c r="G995" s="11">
        <v>0.02</v>
      </c>
      <c r="H995" s="10">
        <v>39.200000000000003</v>
      </c>
      <c r="I995" s="9">
        <v>0</v>
      </c>
      <c r="J995" s="10">
        <v>0</v>
      </c>
      <c r="K995" s="9">
        <v>1</v>
      </c>
      <c r="L995" s="10">
        <v>39.200000000000003</v>
      </c>
      <c r="M995" s="10">
        <v>31.69</v>
      </c>
      <c r="N995" s="10">
        <v>7.51</v>
      </c>
      <c r="O995" s="11">
        <f t="shared" si="62"/>
        <v>0.19158163265306122</v>
      </c>
      <c r="P995" s="10">
        <v>4.83</v>
      </c>
      <c r="Q995" s="10">
        <v>2.68</v>
      </c>
      <c r="R995" s="11">
        <f t="shared" si="63"/>
        <v>6.8367346938775511E-2</v>
      </c>
      <c r="S995" t="s">
        <v>65</v>
      </c>
      <c r="T995" t="s">
        <v>60</v>
      </c>
      <c r="U995" t="s">
        <v>71</v>
      </c>
    </row>
    <row r="996" spans="1:21" x14ac:dyDescent="0.35">
      <c r="A996" t="s">
        <v>1123</v>
      </c>
      <c r="B996" s="5">
        <v>45750</v>
      </c>
      <c r="C996" t="s">
        <v>264</v>
      </c>
      <c r="D996" t="s">
        <v>85</v>
      </c>
      <c r="E996" s="9">
        <v>1</v>
      </c>
      <c r="F996" s="10">
        <v>20</v>
      </c>
      <c r="G996" s="11">
        <v>0.1</v>
      </c>
      <c r="H996" s="10">
        <v>18</v>
      </c>
      <c r="I996" s="9">
        <v>0</v>
      </c>
      <c r="J996" s="10">
        <v>0</v>
      </c>
      <c r="K996" s="9">
        <v>1</v>
      </c>
      <c r="L996" s="10">
        <v>18</v>
      </c>
      <c r="M996" s="10">
        <v>12.52</v>
      </c>
      <c r="N996" s="10">
        <v>5.48</v>
      </c>
      <c r="O996" s="11">
        <f t="shared" si="62"/>
        <v>0.30444444444444446</v>
      </c>
      <c r="P996" s="10">
        <v>1.57</v>
      </c>
      <c r="Q996" s="10">
        <v>3.91</v>
      </c>
      <c r="R996" s="11">
        <f t="shared" si="63"/>
        <v>0.21722222222222223</v>
      </c>
      <c r="S996" t="s">
        <v>65</v>
      </c>
      <c r="T996" t="s">
        <v>66</v>
      </c>
      <c r="U996" t="s">
        <v>76</v>
      </c>
    </row>
    <row r="997" spans="1:21" x14ac:dyDescent="0.35">
      <c r="A997" t="s">
        <v>1124</v>
      </c>
      <c r="B997" s="5">
        <v>45956</v>
      </c>
      <c r="C997" t="s">
        <v>92</v>
      </c>
      <c r="D997" t="s">
        <v>79</v>
      </c>
      <c r="E997" s="9">
        <v>6</v>
      </c>
      <c r="F997" s="10">
        <v>85</v>
      </c>
      <c r="G997" s="11">
        <v>0.15</v>
      </c>
      <c r="H997" s="10">
        <v>433.5</v>
      </c>
      <c r="I997" s="9">
        <v>0</v>
      </c>
      <c r="J997" s="10">
        <v>0</v>
      </c>
      <c r="K997" s="9">
        <v>6</v>
      </c>
      <c r="L997" s="10">
        <v>433.5</v>
      </c>
      <c r="M997" s="10">
        <v>335.05</v>
      </c>
      <c r="N997" s="10">
        <v>98.45</v>
      </c>
      <c r="O997" s="11">
        <f t="shared" si="62"/>
        <v>0.22710495963091121</v>
      </c>
      <c r="P997" s="10">
        <v>53.09</v>
      </c>
      <c r="Q997" s="10">
        <v>45.36</v>
      </c>
      <c r="R997" s="11">
        <f t="shared" si="63"/>
        <v>0.10463667820069204</v>
      </c>
      <c r="S997" t="s">
        <v>59</v>
      </c>
      <c r="T997" t="s">
        <v>66</v>
      </c>
      <c r="U997" t="s">
        <v>67</v>
      </c>
    </row>
    <row r="998" spans="1:21" x14ac:dyDescent="0.35">
      <c r="A998" t="s">
        <v>1125</v>
      </c>
      <c r="B998" s="5">
        <v>45748</v>
      </c>
      <c r="C998" t="s">
        <v>97</v>
      </c>
      <c r="D998" t="s">
        <v>57</v>
      </c>
      <c r="E998" s="9">
        <v>5</v>
      </c>
      <c r="F998" s="10">
        <v>55</v>
      </c>
      <c r="G998" s="11">
        <v>0.05</v>
      </c>
      <c r="H998" s="10">
        <v>261.25</v>
      </c>
      <c r="I998" s="9">
        <v>0</v>
      </c>
      <c r="J998" s="10">
        <v>0</v>
      </c>
      <c r="K998" s="9">
        <v>5</v>
      </c>
      <c r="L998" s="10">
        <v>261.25</v>
      </c>
      <c r="M998" s="10">
        <v>206.44</v>
      </c>
      <c r="N998" s="10">
        <v>54.81</v>
      </c>
      <c r="O998" s="11">
        <f t="shared" si="62"/>
        <v>0.20979904306220096</v>
      </c>
      <c r="P998" s="10">
        <v>17.47</v>
      </c>
      <c r="Q998" s="10">
        <v>37.340000000000003</v>
      </c>
      <c r="R998" s="11">
        <f t="shared" si="63"/>
        <v>0.14292822966507179</v>
      </c>
      <c r="S998" t="s">
        <v>59</v>
      </c>
      <c r="T998" t="s">
        <v>86</v>
      </c>
      <c r="U998" t="s">
        <v>61</v>
      </c>
    </row>
    <row r="999" spans="1:21" x14ac:dyDescent="0.35">
      <c r="A999" t="s">
        <v>1126</v>
      </c>
      <c r="B999" s="5">
        <v>45752</v>
      </c>
      <c r="C999" t="s">
        <v>104</v>
      </c>
      <c r="D999" t="s">
        <v>105</v>
      </c>
      <c r="E999" s="9">
        <v>3</v>
      </c>
      <c r="F999" s="10">
        <v>65</v>
      </c>
      <c r="G999" s="11">
        <v>0</v>
      </c>
      <c r="H999" s="10">
        <v>195</v>
      </c>
      <c r="I999" s="9">
        <v>0</v>
      </c>
      <c r="J999" s="10">
        <v>0</v>
      </c>
      <c r="K999" s="9">
        <v>3</v>
      </c>
      <c r="L999" s="10">
        <v>195</v>
      </c>
      <c r="M999" s="10">
        <v>160.16</v>
      </c>
      <c r="N999" s="10">
        <v>34.840000000000003</v>
      </c>
      <c r="O999" s="11">
        <f t="shared" si="62"/>
        <v>0.1786666666666667</v>
      </c>
      <c r="P999" s="10">
        <v>20.04</v>
      </c>
      <c r="Q999" s="10">
        <v>14.8</v>
      </c>
      <c r="R999" s="11">
        <f t="shared" si="63"/>
        <v>7.5897435897435903E-2</v>
      </c>
      <c r="S999" t="s">
        <v>75</v>
      </c>
      <c r="T999" t="s">
        <v>82</v>
      </c>
      <c r="U999" t="s">
        <v>71</v>
      </c>
    </row>
    <row r="1000" spans="1:21" x14ac:dyDescent="0.35">
      <c r="A1000" t="s">
        <v>1127</v>
      </c>
      <c r="B1000" s="5">
        <v>46000</v>
      </c>
      <c r="C1000" t="s">
        <v>69</v>
      </c>
      <c r="D1000" t="s">
        <v>70</v>
      </c>
      <c r="E1000" s="9">
        <v>3</v>
      </c>
      <c r="F1000" s="10">
        <v>210</v>
      </c>
      <c r="G1000" s="11">
        <v>0.02</v>
      </c>
      <c r="H1000" s="10">
        <v>617.4</v>
      </c>
      <c r="I1000" s="9">
        <v>0</v>
      </c>
      <c r="J1000" s="10">
        <v>0</v>
      </c>
      <c r="K1000" s="9">
        <v>3</v>
      </c>
      <c r="L1000" s="10">
        <v>617.4</v>
      </c>
      <c r="M1000" s="10">
        <v>525.20000000000005</v>
      </c>
      <c r="N1000" s="10">
        <v>92.2</v>
      </c>
      <c r="O1000" s="11">
        <f t="shared" si="62"/>
        <v>0.14933592484612893</v>
      </c>
      <c r="P1000" s="10">
        <v>43.69</v>
      </c>
      <c r="Q1000" s="10">
        <v>48.51</v>
      </c>
      <c r="R1000" s="11">
        <f t="shared" si="63"/>
        <v>7.857142857142857E-2</v>
      </c>
      <c r="S1000" t="s">
        <v>75</v>
      </c>
      <c r="T1000" t="s">
        <v>82</v>
      </c>
      <c r="U1000" t="s">
        <v>61</v>
      </c>
    </row>
    <row r="1001" spans="1:21" x14ac:dyDescent="0.35">
      <c r="A1001" t="s">
        <v>1128</v>
      </c>
      <c r="B1001" s="5">
        <v>45961</v>
      </c>
      <c r="C1001" t="s">
        <v>78</v>
      </c>
      <c r="D1001" t="s">
        <v>79</v>
      </c>
      <c r="E1001" s="9">
        <v>4</v>
      </c>
      <c r="F1001" s="10">
        <v>120</v>
      </c>
      <c r="G1001" s="11">
        <v>0</v>
      </c>
      <c r="H1001" s="10">
        <v>480</v>
      </c>
      <c r="I1001" s="9">
        <v>0</v>
      </c>
      <c r="J1001" s="10">
        <v>0</v>
      </c>
      <c r="K1001" s="9">
        <v>4</v>
      </c>
      <c r="L1001" s="10">
        <v>480</v>
      </c>
      <c r="M1001" s="10">
        <v>403.88</v>
      </c>
      <c r="N1001" s="10">
        <v>76.12</v>
      </c>
      <c r="O1001" s="11">
        <f t="shared" si="62"/>
        <v>0.15858333333333335</v>
      </c>
      <c r="P1001" s="10">
        <v>37.97</v>
      </c>
      <c r="Q1001" s="10">
        <v>38.15</v>
      </c>
      <c r="R1001" s="11">
        <f t="shared" si="63"/>
        <v>7.947916666666667E-2</v>
      </c>
      <c r="S1001" t="s">
        <v>65</v>
      </c>
      <c r="T1001" t="s">
        <v>66</v>
      </c>
      <c r="U1001" t="s">
        <v>71</v>
      </c>
    </row>
    <row r="1002" spans="1:21" x14ac:dyDescent="0.35">
      <c r="A1002" t="s">
        <v>1129</v>
      </c>
      <c r="B1002" s="5">
        <v>45857</v>
      </c>
      <c r="C1002" t="s">
        <v>100</v>
      </c>
      <c r="D1002" t="s">
        <v>64</v>
      </c>
      <c r="E1002" s="9">
        <v>5</v>
      </c>
      <c r="F1002" s="10">
        <v>310</v>
      </c>
      <c r="G1002" s="11">
        <v>0</v>
      </c>
      <c r="H1002" s="10">
        <v>1550</v>
      </c>
      <c r="I1002" s="9">
        <v>0</v>
      </c>
      <c r="J1002" s="10">
        <v>0</v>
      </c>
      <c r="K1002" s="9">
        <v>5</v>
      </c>
      <c r="L1002" s="10">
        <v>1550</v>
      </c>
      <c r="M1002" s="10">
        <v>1197.8499999999999</v>
      </c>
      <c r="N1002" s="10">
        <v>352.15</v>
      </c>
      <c r="O1002" s="11">
        <f t="shared" si="62"/>
        <v>0.22719354838709677</v>
      </c>
      <c r="P1002" s="10">
        <v>161.46</v>
      </c>
      <c r="Q1002" s="10">
        <v>190.69</v>
      </c>
      <c r="R1002" s="11">
        <f t="shared" si="63"/>
        <v>0.1230258064516129</v>
      </c>
      <c r="S1002" t="s">
        <v>81</v>
      </c>
      <c r="T1002" t="s">
        <v>82</v>
      </c>
      <c r="U1002" t="s">
        <v>76</v>
      </c>
    </row>
    <row r="1003" spans="1:21" x14ac:dyDescent="0.35">
      <c r="A1003" t="s">
        <v>1130</v>
      </c>
      <c r="B1003" s="5">
        <v>46018</v>
      </c>
      <c r="C1003" t="s">
        <v>84</v>
      </c>
      <c r="D1003" t="s">
        <v>85</v>
      </c>
      <c r="E1003" s="9">
        <v>4</v>
      </c>
      <c r="F1003" s="10">
        <v>48</v>
      </c>
      <c r="G1003" s="11">
        <v>0</v>
      </c>
      <c r="H1003" s="10">
        <v>192</v>
      </c>
      <c r="I1003" s="9">
        <v>0</v>
      </c>
      <c r="J1003" s="10">
        <v>0</v>
      </c>
      <c r="K1003" s="9">
        <v>4</v>
      </c>
      <c r="L1003" s="10">
        <v>192</v>
      </c>
      <c r="M1003" s="10">
        <v>130.55000000000001</v>
      </c>
      <c r="N1003" s="10">
        <v>61.45</v>
      </c>
      <c r="O1003" s="11">
        <f t="shared" si="62"/>
        <v>0.32005208333333335</v>
      </c>
      <c r="P1003" s="10">
        <v>18.649999999999999</v>
      </c>
      <c r="Q1003" s="10">
        <v>42.8</v>
      </c>
      <c r="R1003" s="11">
        <f t="shared" si="63"/>
        <v>0.22291666666666665</v>
      </c>
      <c r="S1003" t="s">
        <v>65</v>
      </c>
      <c r="T1003" t="s">
        <v>60</v>
      </c>
      <c r="U1003" t="s">
        <v>71</v>
      </c>
    </row>
    <row r="1004" spans="1:21" x14ac:dyDescent="0.35">
      <c r="A1004" t="s">
        <v>1131</v>
      </c>
      <c r="B1004" s="5">
        <v>45900</v>
      </c>
      <c r="C1004" t="s">
        <v>100</v>
      </c>
      <c r="D1004" t="s">
        <v>64</v>
      </c>
      <c r="E1004" s="9">
        <v>5</v>
      </c>
      <c r="F1004" s="10">
        <v>310</v>
      </c>
      <c r="G1004" s="11">
        <v>0</v>
      </c>
      <c r="H1004" s="10">
        <v>1550</v>
      </c>
      <c r="I1004" s="9">
        <v>0</v>
      </c>
      <c r="J1004" s="10">
        <v>0</v>
      </c>
      <c r="K1004" s="9">
        <v>5</v>
      </c>
      <c r="L1004" s="10">
        <v>1550</v>
      </c>
      <c r="M1004" s="10">
        <v>1156.0899999999999</v>
      </c>
      <c r="N1004" s="10">
        <v>393.91</v>
      </c>
      <c r="O1004" s="11">
        <f t="shared" si="62"/>
        <v>0.25413548387096774</v>
      </c>
      <c r="P1004" s="10">
        <v>121.33</v>
      </c>
      <c r="Q1004" s="10">
        <v>272.58</v>
      </c>
      <c r="R1004" s="11">
        <f t="shared" si="63"/>
        <v>0.17585806451612901</v>
      </c>
      <c r="S1004" t="s">
        <v>81</v>
      </c>
      <c r="T1004" t="s">
        <v>66</v>
      </c>
      <c r="U1004" t="s">
        <v>67</v>
      </c>
    </row>
    <row r="1005" spans="1:21" x14ac:dyDescent="0.35">
      <c r="A1005" t="s">
        <v>1132</v>
      </c>
      <c r="B1005" s="5">
        <v>45849</v>
      </c>
      <c r="C1005" t="s">
        <v>121</v>
      </c>
      <c r="D1005" t="s">
        <v>70</v>
      </c>
      <c r="E1005" s="9">
        <v>5</v>
      </c>
      <c r="F1005" s="10">
        <v>110</v>
      </c>
      <c r="G1005" s="11">
        <v>0</v>
      </c>
      <c r="H1005" s="10">
        <v>550</v>
      </c>
      <c r="I1005" s="9">
        <v>0</v>
      </c>
      <c r="J1005" s="10">
        <v>0</v>
      </c>
      <c r="K1005" s="9">
        <v>5</v>
      </c>
      <c r="L1005" s="10">
        <v>550</v>
      </c>
      <c r="M1005" s="10">
        <v>448.17</v>
      </c>
      <c r="N1005" s="10">
        <v>101.83</v>
      </c>
      <c r="O1005" s="11">
        <f t="shared" si="62"/>
        <v>0.18514545454545453</v>
      </c>
      <c r="P1005" s="10">
        <v>29.82</v>
      </c>
      <c r="Q1005" s="10">
        <v>72.010000000000005</v>
      </c>
      <c r="R1005" s="11">
        <f t="shared" si="63"/>
        <v>0.13092727272727273</v>
      </c>
      <c r="S1005" t="s">
        <v>81</v>
      </c>
      <c r="T1005" t="s">
        <v>82</v>
      </c>
      <c r="U1005" t="s">
        <v>71</v>
      </c>
    </row>
    <row r="1006" spans="1:21" x14ac:dyDescent="0.35">
      <c r="A1006" t="s">
        <v>1133</v>
      </c>
      <c r="B1006" s="5">
        <v>45733</v>
      </c>
      <c r="C1006" t="s">
        <v>73</v>
      </c>
      <c r="D1006" t="s">
        <v>74</v>
      </c>
      <c r="E1006" s="9">
        <v>1</v>
      </c>
      <c r="F1006" s="10">
        <v>280</v>
      </c>
      <c r="G1006" s="11">
        <v>0.05</v>
      </c>
      <c r="H1006" s="10">
        <v>266</v>
      </c>
      <c r="I1006" s="9">
        <v>0</v>
      </c>
      <c r="J1006" s="10">
        <v>0</v>
      </c>
      <c r="K1006" s="9">
        <v>1</v>
      </c>
      <c r="L1006" s="10">
        <v>266</v>
      </c>
      <c r="M1006" s="10">
        <v>216.36</v>
      </c>
      <c r="N1006" s="10">
        <v>49.64</v>
      </c>
      <c r="O1006" s="11">
        <f t="shared" si="62"/>
        <v>0.18661654135338346</v>
      </c>
      <c r="P1006" s="10">
        <v>23.34</v>
      </c>
      <c r="Q1006" s="10">
        <v>26.3</v>
      </c>
      <c r="R1006" s="11">
        <f t="shared" si="63"/>
        <v>9.887218045112782E-2</v>
      </c>
      <c r="S1006" t="s">
        <v>59</v>
      </c>
      <c r="T1006" t="s">
        <v>82</v>
      </c>
      <c r="U1006" t="s">
        <v>67</v>
      </c>
    </row>
    <row r="1007" spans="1:21" x14ac:dyDescent="0.35">
      <c r="A1007" t="s">
        <v>1134</v>
      </c>
      <c r="B1007" s="5">
        <v>45983</v>
      </c>
      <c r="C1007" t="s">
        <v>92</v>
      </c>
      <c r="D1007" t="s">
        <v>79</v>
      </c>
      <c r="E1007" s="9">
        <v>1</v>
      </c>
      <c r="F1007" s="10">
        <v>85</v>
      </c>
      <c r="G1007" s="11">
        <v>0.15</v>
      </c>
      <c r="H1007" s="10">
        <v>72.25</v>
      </c>
      <c r="I1007" s="9">
        <v>0</v>
      </c>
      <c r="J1007" s="10">
        <v>0</v>
      </c>
      <c r="K1007" s="9">
        <v>1</v>
      </c>
      <c r="L1007" s="10">
        <v>72.25</v>
      </c>
      <c r="M1007" s="10">
        <v>56.81</v>
      </c>
      <c r="N1007" s="10">
        <v>15.44</v>
      </c>
      <c r="O1007" s="11">
        <f t="shared" si="62"/>
        <v>0.21370242214532872</v>
      </c>
      <c r="P1007" s="10">
        <v>5.91</v>
      </c>
      <c r="Q1007" s="10">
        <v>9.5299999999999994</v>
      </c>
      <c r="R1007" s="11">
        <f t="shared" si="63"/>
        <v>0.13190311418685119</v>
      </c>
      <c r="S1007" t="s">
        <v>65</v>
      </c>
      <c r="T1007" t="s">
        <v>86</v>
      </c>
      <c r="U1007" t="s">
        <v>67</v>
      </c>
    </row>
    <row r="1008" spans="1:21" x14ac:dyDescent="0.35">
      <c r="A1008" t="s">
        <v>1135</v>
      </c>
      <c r="B1008" s="5">
        <v>45762</v>
      </c>
      <c r="C1008" t="s">
        <v>56</v>
      </c>
      <c r="D1008" t="s">
        <v>57</v>
      </c>
      <c r="E1008" s="9">
        <v>4</v>
      </c>
      <c r="F1008" s="10">
        <v>40</v>
      </c>
      <c r="G1008" s="11">
        <v>0</v>
      </c>
      <c r="H1008" s="10">
        <v>160</v>
      </c>
      <c r="I1008" s="9">
        <v>0</v>
      </c>
      <c r="J1008" s="10">
        <v>0</v>
      </c>
      <c r="K1008" s="9">
        <v>4</v>
      </c>
      <c r="L1008" s="10">
        <v>160</v>
      </c>
      <c r="M1008" s="10">
        <v>135.63</v>
      </c>
      <c r="N1008" s="10">
        <v>24.37</v>
      </c>
      <c r="O1008" s="11">
        <f t="shared" si="62"/>
        <v>0.15231250000000002</v>
      </c>
      <c r="P1008" s="10">
        <v>20.36</v>
      </c>
      <c r="Q1008" s="10">
        <v>4.01</v>
      </c>
      <c r="R1008" s="11">
        <f t="shared" si="63"/>
        <v>2.5062499999999998E-2</v>
      </c>
      <c r="S1008" t="s">
        <v>81</v>
      </c>
      <c r="T1008" t="s">
        <v>60</v>
      </c>
      <c r="U1008" t="s">
        <v>76</v>
      </c>
    </row>
    <row r="1009" spans="1:21" x14ac:dyDescent="0.35">
      <c r="A1009" t="s">
        <v>1136</v>
      </c>
      <c r="B1009" s="5">
        <v>45723</v>
      </c>
      <c r="C1009" t="s">
        <v>107</v>
      </c>
      <c r="D1009" t="s">
        <v>74</v>
      </c>
      <c r="E1009" s="9">
        <v>5</v>
      </c>
      <c r="F1009" s="10">
        <v>125</v>
      </c>
      <c r="G1009" s="11">
        <v>0</v>
      </c>
      <c r="H1009" s="10">
        <v>625</v>
      </c>
      <c r="I1009" s="9">
        <v>0</v>
      </c>
      <c r="J1009" s="10">
        <v>0</v>
      </c>
      <c r="K1009" s="9">
        <v>5</v>
      </c>
      <c r="L1009" s="10">
        <v>625</v>
      </c>
      <c r="M1009" s="10">
        <v>423.63</v>
      </c>
      <c r="N1009" s="10">
        <v>201.37</v>
      </c>
      <c r="O1009" s="11">
        <f t="shared" si="62"/>
        <v>0.32219200000000003</v>
      </c>
      <c r="P1009" s="10">
        <v>67.02</v>
      </c>
      <c r="Q1009" s="10">
        <v>134.35</v>
      </c>
      <c r="R1009" s="11">
        <f t="shared" si="63"/>
        <v>0.21495999999999998</v>
      </c>
      <c r="S1009" t="s">
        <v>75</v>
      </c>
      <c r="T1009" t="s">
        <v>60</v>
      </c>
      <c r="U1009" t="s">
        <v>76</v>
      </c>
    </row>
    <row r="1010" spans="1:21" x14ac:dyDescent="0.35">
      <c r="A1010" t="s">
        <v>1137</v>
      </c>
      <c r="B1010" s="5">
        <v>45872</v>
      </c>
      <c r="C1010" t="s">
        <v>97</v>
      </c>
      <c r="D1010" t="s">
        <v>57</v>
      </c>
      <c r="E1010" s="9">
        <v>2</v>
      </c>
      <c r="F1010" s="10">
        <v>55</v>
      </c>
      <c r="G1010" s="11">
        <v>0.02</v>
      </c>
      <c r="H1010" s="10">
        <v>107.8</v>
      </c>
      <c r="I1010" s="9">
        <v>0</v>
      </c>
      <c r="J1010" s="10">
        <v>0</v>
      </c>
      <c r="K1010" s="9">
        <v>2</v>
      </c>
      <c r="L1010" s="10">
        <v>107.8</v>
      </c>
      <c r="M1010" s="10">
        <v>81.98</v>
      </c>
      <c r="N1010" s="10">
        <v>25.82</v>
      </c>
      <c r="O1010" s="11">
        <f t="shared" si="62"/>
        <v>0.23951762523191095</v>
      </c>
      <c r="P1010" s="10">
        <v>9.58</v>
      </c>
      <c r="Q1010" s="10">
        <v>16.239999999999998</v>
      </c>
      <c r="R1010" s="11">
        <f t="shared" si="63"/>
        <v>0.15064935064935064</v>
      </c>
      <c r="S1010" t="s">
        <v>59</v>
      </c>
      <c r="T1010" t="s">
        <v>66</v>
      </c>
      <c r="U1010" t="s">
        <v>61</v>
      </c>
    </row>
    <row r="1011" spans="1:21" x14ac:dyDescent="0.35">
      <c r="A1011" t="s">
        <v>1138</v>
      </c>
      <c r="B1011" s="5">
        <v>45983</v>
      </c>
      <c r="C1011" t="s">
        <v>97</v>
      </c>
      <c r="D1011" t="s">
        <v>57</v>
      </c>
      <c r="E1011" s="9">
        <v>4</v>
      </c>
      <c r="F1011" s="10">
        <v>55</v>
      </c>
      <c r="G1011" s="11">
        <v>0.1</v>
      </c>
      <c r="H1011" s="10">
        <v>198</v>
      </c>
      <c r="I1011" s="9">
        <v>0</v>
      </c>
      <c r="J1011" s="10">
        <v>0</v>
      </c>
      <c r="K1011" s="9">
        <v>4</v>
      </c>
      <c r="L1011" s="10">
        <v>198</v>
      </c>
      <c r="M1011" s="10">
        <v>144.05000000000001</v>
      </c>
      <c r="N1011" s="10">
        <v>53.95</v>
      </c>
      <c r="O1011" s="11">
        <f t="shared" si="62"/>
        <v>0.27247474747474748</v>
      </c>
      <c r="P1011" s="10">
        <v>16.489999999999998</v>
      </c>
      <c r="Q1011" s="10">
        <v>37.46</v>
      </c>
      <c r="R1011" s="11">
        <f t="shared" si="63"/>
        <v>0.18919191919191919</v>
      </c>
      <c r="S1011" t="s">
        <v>81</v>
      </c>
      <c r="T1011" t="s">
        <v>86</v>
      </c>
      <c r="U1011" t="s">
        <v>61</v>
      </c>
    </row>
    <row r="1012" spans="1:21" x14ac:dyDescent="0.35">
      <c r="A1012" t="s">
        <v>1139</v>
      </c>
      <c r="B1012" s="5">
        <v>45965</v>
      </c>
      <c r="C1012" t="s">
        <v>90</v>
      </c>
      <c r="D1012" t="s">
        <v>70</v>
      </c>
      <c r="E1012" s="9">
        <v>3</v>
      </c>
      <c r="F1012" s="10">
        <v>38</v>
      </c>
      <c r="G1012" s="11">
        <v>0.02</v>
      </c>
      <c r="H1012" s="10">
        <v>111.72</v>
      </c>
      <c r="I1012" s="9">
        <v>0</v>
      </c>
      <c r="J1012" s="10">
        <v>0</v>
      </c>
      <c r="K1012" s="9">
        <v>3</v>
      </c>
      <c r="L1012" s="10">
        <v>111.72</v>
      </c>
      <c r="M1012" s="10">
        <v>95.44</v>
      </c>
      <c r="N1012" s="10">
        <v>16.28</v>
      </c>
      <c r="O1012" s="11">
        <f t="shared" si="62"/>
        <v>0.14572144647332619</v>
      </c>
      <c r="P1012" s="10">
        <v>13.68</v>
      </c>
      <c r="Q1012" s="10">
        <v>2.6</v>
      </c>
      <c r="R1012" s="11">
        <f t="shared" si="63"/>
        <v>2.3272466881489439E-2</v>
      </c>
      <c r="S1012" t="s">
        <v>81</v>
      </c>
      <c r="T1012" t="s">
        <v>66</v>
      </c>
      <c r="U1012" t="s">
        <v>61</v>
      </c>
    </row>
    <row r="1013" spans="1:21" x14ac:dyDescent="0.35">
      <c r="A1013" t="s">
        <v>1140</v>
      </c>
      <c r="B1013" s="5">
        <v>45813</v>
      </c>
      <c r="C1013" t="s">
        <v>114</v>
      </c>
      <c r="D1013" t="s">
        <v>64</v>
      </c>
      <c r="E1013" s="9">
        <v>2</v>
      </c>
      <c r="F1013" s="10">
        <v>420</v>
      </c>
      <c r="G1013" s="11">
        <v>0.05</v>
      </c>
      <c r="H1013" s="10">
        <v>798</v>
      </c>
      <c r="I1013" s="9">
        <v>0</v>
      </c>
      <c r="J1013" s="10">
        <v>0</v>
      </c>
      <c r="K1013" s="9">
        <v>2</v>
      </c>
      <c r="L1013" s="10">
        <v>798</v>
      </c>
      <c r="M1013" s="10">
        <v>640.89</v>
      </c>
      <c r="N1013" s="10">
        <v>157.11000000000001</v>
      </c>
      <c r="O1013" s="11">
        <f t="shared" si="62"/>
        <v>0.19687969924812032</v>
      </c>
      <c r="P1013" s="10">
        <v>100.83</v>
      </c>
      <c r="Q1013" s="10">
        <v>56.28</v>
      </c>
      <c r="R1013" s="11">
        <f t="shared" si="63"/>
        <v>7.0526315789473687E-2</v>
      </c>
      <c r="S1013" t="s">
        <v>59</v>
      </c>
      <c r="T1013" t="s">
        <v>82</v>
      </c>
      <c r="U1013" t="s">
        <v>76</v>
      </c>
    </row>
    <row r="1014" spans="1:21" x14ac:dyDescent="0.35">
      <c r="A1014" t="s">
        <v>1141</v>
      </c>
      <c r="B1014" s="5">
        <v>45767</v>
      </c>
      <c r="C1014" t="s">
        <v>63</v>
      </c>
      <c r="D1014" t="s">
        <v>64</v>
      </c>
      <c r="E1014" s="9">
        <v>4</v>
      </c>
      <c r="F1014" s="10">
        <v>145</v>
      </c>
      <c r="G1014" s="11">
        <v>0.05</v>
      </c>
      <c r="H1014" s="10">
        <v>551</v>
      </c>
      <c r="I1014" s="9">
        <v>0</v>
      </c>
      <c r="J1014" s="10">
        <v>0</v>
      </c>
      <c r="K1014" s="9">
        <v>4</v>
      </c>
      <c r="L1014" s="10">
        <v>551</v>
      </c>
      <c r="M1014" s="10">
        <v>407.69</v>
      </c>
      <c r="N1014" s="10">
        <v>143.31</v>
      </c>
      <c r="O1014" s="11">
        <f t="shared" si="62"/>
        <v>0.26009074410163341</v>
      </c>
      <c r="P1014" s="10">
        <v>70.47</v>
      </c>
      <c r="Q1014" s="10">
        <v>72.84</v>
      </c>
      <c r="R1014" s="11">
        <f t="shared" si="63"/>
        <v>0.13219600725952813</v>
      </c>
      <c r="S1014" t="s">
        <v>81</v>
      </c>
      <c r="T1014" t="s">
        <v>86</v>
      </c>
      <c r="U1014" t="s">
        <v>76</v>
      </c>
    </row>
    <row r="1015" spans="1:21" x14ac:dyDescent="0.35">
      <c r="A1015" t="s">
        <v>1142</v>
      </c>
      <c r="B1015" s="5">
        <v>45742</v>
      </c>
      <c r="C1015" t="s">
        <v>100</v>
      </c>
      <c r="D1015" t="s">
        <v>64</v>
      </c>
      <c r="E1015" s="9">
        <v>4</v>
      </c>
      <c r="F1015" s="10">
        <v>310</v>
      </c>
      <c r="G1015" s="11">
        <v>0</v>
      </c>
      <c r="H1015" s="10">
        <v>1240</v>
      </c>
      <c r="I1015" s="9">
        <v>0</v>
      </c>
      <c r="J1015" s="10">
        <v>0</v>
      </c>
      <c r="K1015" s="9">
        <v>4</v>
      </c>
      <c r="L1015" s="10">
        <v>1240</v>
      </c>
      <c r="M1015" s="10">
        <v>819.9</v>
      </c>
      <c r="N1015" s="10">
        <v>420.1</v>
      </c>
      <c r="O1015" s="11">
        <f t="shared" si="62"/>
        <v>0.33879032258064518</v>
      </c>
      <c r="P1015" s="10">
        <v>90.77</v>
      </c>
      <c r="Q1015" s="10">
        <v>329.33</v>
      </c>
      <c r="R1015" s="11">
        <f t="shared" si="63"/>
        <v>0.26558870967741932</v>
      </c>
      <c r="S1015" t="s">
        <v>59</v>
      </c>
      <c r="T1015" t="s">
        <v>60</v>
      </c>
      <c r="U1015" t="s">
        <v>67</v>
      </c>
    </row>
    <row r="1016" spans="1:21" x14ac:dyDescent="0.35">
      <c r="A1016" t="s">
        <v>1143</v>
      </c>
      <c r="B1016" s="5">
        <v>45964</v>
      </c>
      <c r="C1016" t="s">
        <v>63</v>
      </c>
      <c r="D1016" t="s">
        <v>64</v>
      </c>
      <c r="E1016" s="9">
        <v>2</v>
      </c>
      <c r="F1016" s="10">
        <v>145</v>
      </c>
      <c r="G1016" s="11">
        <v>0</v>
      </c>
      <c r="H1016" s="10">
        <v>290</v>
      </c>
      <c r="I1016" s="9">
        <v>0</v>
      </c>
      <c r="J1016" s="10">
        <v>0</v>
      </c>
      <c r="K1016" s="9">
        <v>2</v>
      </c>
      <c r="L1016" s="10">
        <v>290</v>
      </c>
      <c r="M1016" s="10">
        <v>188.63</v>
      </c>
      <c r="N1016" s="10">
        <v>101.37</v>
      </c>
      <c r="O1016" s="11">
        <f t="shared" si="62"/>
        <v>0.34955172413793106</v>
      </c>
      <c r="P1016" s="10">
        <v>34.619999999999997</v>
      </c>
      <c r="Q1016" s="10">
        <v>66.75</v>
      </c>
      <c r="R1016" s="11">
        <f t="shared" si="63"/>
        <v>0.23017241379310344</v>
      </c>
      <c r="S1016" t="s">
        <v>81</v>
      </c>
      <c r="T1016" t="s">
        <v>66</v>
      </c>
      <c r="U1016" t="s">
        <v>61</v>
      </c>
    </row>
    <row r="1017" spans="1:21" x14ac:dyDescent="0.35">
      <c r="A1017" t="s">
        <v>1144</v>
      </c>
      <c r="B1017" s="5">
        <v>45910</v>
      </c>
      <c r="C1017" t="s">
        <v>100</v>
      </c>
      <c r="D1017" t="s">
        <v>64</v>
      </c>
      <c r="E1017" s="9">
        <v>3</v>
      </c>
      <c r="F1017" s="10">
        <v>310</v>
      </c>
      <c r="G1017" s="11">
        <v>0</v>
      </c>
      <c r="H1017" s="10">
        <v>930</v>
      </c>
      <c r="I1017" s="9">
        <v>0</v>
      </c>
      <c r="J1017" s="10">
        <v>0</v>
      </c>
      <c r="K1017" s="9">
        <v>3</v>
      </c>
      <c r="L1017" s="10">
        <v>930</v>
      </c>
      <c r="M1017" s="10">
        <v>753.06</v>
      </c>
      <c r="N1017" s="10">
        <v>176.94</v>
      </c>
      <c r="O1017" s="11">
        <f t="shared" si="62"/>
        <v>0.19025806451612903</v>
      </c>
      <c r="P1017" s="10">
        <v>69.61</v>
      </c>
      <c r="Q1017" s="10">
        <v>107.33</v>
      </c>
      <c r="R1017" s="11">
        <f t="shared" si="63"/>
        <v>0.11540860215053764</v>
      </c>
      <c r="S1017" t="s">
        <v>75</v>
      </c>
      <c r="T1017" t="s">
        <v>66</v>
      </c>
      <c r="U1017" t="s">
        <v>71</v>
      </c>
    </row>
    <row r="1018" spans="1:21" x14ac:dyDescent="0.35">
      <c r="A1018" t="s">
        <v>1145</v>
      </c>
      <c r="B1018" s="5">
        <v>45848</v>
      </c>
      <c r="C1018" t="s">
        <v>84</v>
      </c>
      <c r="D1018" t="s">
        <v>85</v>
      </c>
      <c r="E1018" s="9">
        <v>6</v>
      </c>
      <c r="F1018" s="10">
        <v>48</v>
      </c>
      <c r="G1018" s="11">
        <v>0</v>
      </c>
      <c r="H1018" s="10">
        <v>288</v>
      </c>
      <c r="I1018" s="9">
        <v>0</v>
      </c>
      <c r="J1018" s="10">
        <v>0</v>
      </c>
      <c r="K1018" s="9">
        <v>6</v>
      </c>
      <c r="L1018" s="10">
        <v>288</v>
      </c>
      <c r="M1018" s="10">
        <v>206.4</v>
      </c>
      <c r="N1018" s="10">
        <v>81.599999999999994</v>
      </c>
      <c r="O1018" s="11">
        <f t="shared" si="62"/>
        <v>0.28333333333333333</v>
      </c>
      <c r="P1018" s="10">
        <v>27.1</v>
      </c>
      <c r="Q1018" s="10">
        <v>54.5</v>
      </c>
      <c r="R1018" s="11">
        <f t="shared" si="63"/>
        <v>0.1892361111111111</v>
      </c>
      <c r="S1018" t="s">
        <v>59</v>
      </c>
      <c r="T1018" t="s">
        <v>86</v>
      </c>
      <c r="U1018" t="s">
        <v>76</v>
      </c>
    </row>
    <row r="1019" spans="1:21" x14ac:dyDescent="0.35">
      <c r="A1019" t="s">
        <v>1146</v>
      </c>
      <c r="B1019" s="5">
        <v>45836</v>
      </c>
      <c r="C1019" t="s">
        <v>73</v>
      </c>
      <c r="D1019" t="s">
        <v>74</v>
      </c>
      <c r="E1019" s="9">
        <v>2</v>
      </c>
      <c r="F1019" s="10">
        <v>280</v>
      </c>
      <c r="G1019" s="11">
        <v>0</v>
      </c>
      <c r="H1019" s="10">
        <v>560</v>
      </c>
      <c r="I1019" s="9">
        <v>0</v>
      </c>
      <c r="J1019" s="10">
        <v>0</v>
      </c>
      <c r="K1019" s="9">
        <v>2</v>
      </c>
      <c r="L1019" s="10">
        <v>560</v>
      </c>
      <c r="M1019" s="10">
        <v>457.92</v>
      </c>
      <c r="N1019" s="10">
        <v>102.08</v>
      </c>
      <c r="O1019" s="11">
        <f t="shared" si="62"/>
        <v>0.18228571428571427</v>
      </c>
      <c r="P1019" s="10">
        <v>70.25</v>
      </c>
      <c r="Q1019" s="10">
        <v>31.83</v>
      </c>
      <c r="R1019" s="11">
        <f t="shared" si="63"/>
        <v>5.683928571428571E-2</v>
      </c>
      <c r="S1019" t="s">
        <v>65</v>
      </c>
      <c r="T1019" t="s">
        <v>60</v>
      </c>
      <c r="U1019" t="s">
        <v>71</v>
      </c>
    </row>
    <row r="1020" spans="1:21" x14ac:dyDescent="0.35">
      <c r="A1020" t="s">
        <v>1147</v>
      </c>
      <c r="B1020" s="5">
        <v>45752</v>
      </c>
      <c r="C1020" t="s">
        <v>100</v>
      </c>
      <c r="D1020" t="s">
        <v>64</v>
      </c>
      <c r="E1020" s="9">
        <v>2</v>
      </c>
      <c r="F1020" s="10">
        <v>310</v>
      </c>
      <c r="G1020" s="11">
        <v>0</v>
      </c>
      <c r="H1020" s="10">
        <v>620</v>
      </c>
      <c r="I1020" s="9">
        <v>0</v>
      </c>
      <c r="J1020" s="10">
        <v>0</v>
      </c>
      <c r="K1020" s="9">
        <v>2</v>
      </c>
      <c r="L1020" s="10">
        <v>620</v>
      </c>
      <c r="M1020" s="10">
        <v>500.95</v>
      </c>
      <c r="N1020" s="10">
        <v>119.05</v>
      </c>
      <c r="O1020" s="11">
        <f t="shared" si="62"/>
        <v>0.19201612903225806</v>
      </c>
      <c r="P1020" s="10">
        <v>37.28</v>
      </c>
      <c r="Q1020" s="10">
        <v>81.77</v>
      </c>
      <c r="R1020" s="11">
        <f t="shared" si="63"/>
        <v>0.13188709677419355</v>
      </c>
      <c r="S1020" t="s">
        <v>75</v>
      </c>
      <c r="T1020" t="s">
        <v>66</v>
      </c>
      <c r="U1020" t="s">
        <v>67</v>
      </c>
    </row>
    <row r="1021" spans="1:21" x14ac:dyDescent="0.35">
      <c r="A1021" t="s">
        <v>1148</v>
      </c>
      <c r="B1021" s="5">
        <v>45978</v>
      </c>
      <c r="C1021" t="s">
        <v>73</v>
      </c>
      <c r="D1021" t="s">
        <v>74</v>
      </c>
      <c r="E1021" s="9">
        <v>1</v>
      </c>
      <c r="F1021" s="10">
        <v>280</v>
      </c>
      <c r="G1021" s="11">
        <v>0</v>
      </c>
      <c r="H1021" s="10">
        <v>280</v>
      </c>
      <c r="I1021" s="9">
        <v>0</v>
      </c>
      <c r="J1021" s="10">
        <v>0</v>
      </c>
      <c r="K1021" s="9">
        <v>1</v>
      </c>
      <c r="L1021" s="10">
        <v>280</v>
      </c>
      <c r="M1021" s="10">
        <v>227.74</v>
      </c>
      <c r="N1021" s="10">
        <v>52.26</v>
      </c>
      <c r="O1021" s="11">
        <f t="shared" si="62"/>
        <v>0.18664285714285714</v>
      </c>
      <c r="P1021" s="10">
        <v>36.1</v>
      </c>
      <c r="Q1021" s="10">
        <v>16.16</v>
      </c>
      <c r="R1021" s="11">
        <f t="shared" si="63"/>
        <v>5.7714285714285718E-2</v>
      </c>
      <c r="S1021" t="s">
        <v>65</v>
      </c>
      <c r="T1021" t="s">
        <v>86</v>
      </c>
      <c r="U1021" t="s">
        <v>71</v>
      </c>
    </row>
    <row r="1022" spans="1:21" x14ac:dyDescent="0.35">
      <c r="A1022" t="s">
        <v>1149</v>
      </c>
      <c r="B1022" s="5">
        <v>45998</v>
      </c>
      <c r="C1022" t="s">
        <v>88</v>
      </c>
      <c r="D1022" t="s">
        <v>57</v>
      </c>
      <c r="E1022" s="9">
        <v>2</v>
      </c>
      <c r="F1022" s="10">
        <v>30</v>
      </c>
      <c r="G1022" s="11">
        <v>0.02</v>
      </c>
      <c r="H1022" s="10">
        <v>58.8</v>
      </c>
      <c r="I1022" s="9">
        <v>0</v>
      </c>
      <c r="J1022" s="10">
        <v>0</v>
      </c>
      <c r="K1022" s="9">
        <v>2</v>
      </c>
      <c r="L1022" s="10">
        <v>58.8</v>
      </c>
      <c r="M1022" s="10">
        <v>49.29</v>
      </c>
      <c r="N1022" s="10">
        <v>9.51</v>
      </c>
      <c r="O1022" s="11">
        <f t="shared" si="62"/>
        <v>0.16173469387755102</v>
      </c>
      <c r="P1022" s="10">
        <v>3.87</v>
      </c>
      <c r="Q1022" s="10">
        <v>5.64</v>
      </c>
      <c r="R1022" s="11">
        <f t="shared" si="63"/>
        <v>9.5918367346938774E-2</v>
      </c>
      <c r="S1022" t="s">
        <v>65</v>
      </c>
      <c r="T1022" t="s">
        <v>66</v>
      </c>
      <c r="U1022" t="s">
        <v>76</v>
      </c>
    </row>
    <row r="1023" spans="1:21" x14ac:dyDescent="0.35">
      <c r="A1023" t="s">
        <v>1150</v>
      </c>
      <c r="B1023" s="5">
        <v>45910</v>
      </c>
      <c r="C1023" t="s">
        <v>264</v>
      </c>
      <c r="D1023" t="s">
        <v>85</v>
      </c>
      <c r="E1023" s="9">
        <v>1</v>
      </c>
      <c r="F1023" s="10">
        <v>20</v>
      </c>
      <c r="G1023" s="11">
        <v>0.15</v>
      </c>
      <c r="H1023" s="10">
        <v>17</v>
      </c>
      <c r="I1023" s="9">
        <v>0</v>
      </c>
      <c r="J1023" s="10">
        <v>0</v>
      </c>
      <c r="K1023" s="9">
        <v>1</v>
      </c>
      <c r="L1023" s="10">
        <v>17</v>
      </c>
      <c r="M1023" s="10">
        <v>11.72</v>
      </c>
      <c r="N1023" s="10">
        <v>5.28</v>
      </c>
      <c r="O1023" s="11">
        <f t="shared" si="62"/>
        <v>0.31058823529411766</v>
      </c>
      <c r="P1023" s="10">
        <v>1.18</v>
      </c>
      <c r="Q1023" s="10">
        <v>4.0999999999999996</v>
      </c>
      <c r="R1023" s="11">
        <f t="shared" si="63"/>
        <v>0.24117647058823527</v>
      </c>
      <c r="S1023" t="s">
        <v>75</v>
      </c>
      <c r="T1023" t="s">
        <v>82</v>
      </c>
      <c r="U1023" t="s">
        <v>61</v>
      </c>
    </row>
    <row r="1024" spans="1:21" x14ac:dyDescent="0.35">
      <c r="A1024" t="s">
        <v>1151</v>
      </c>
      <c r="B1024" s="5">
        <v>45857</v>
      </c>
      <c r="C1024" t="s">
        <v>84</v>
      </c>
      <c r="D1024" t="s">
        <v>85</v>
      </c>
      <c r="E1024" s="9">
        <v>1</v>
      </c>
      <c r="F1024" s="10">
        <v>48</v>
      </c>
      <c r="G1024" s="11">
        <v>0</v>
      </c>
      <c r="H1024" s="10">
        <v>48</v>
      </c>
      <c r="I1024" s="9">
        <v>0</v>
      </c>
      <c r="J1024" s="10">
        <v>0</v>
      </c>
      <c r="K1024" s="9">
        <v>1</v>
      </c>
      <c r="L1024" s="10">
        <v>48</v>
      </c>
      <c r="M1024" s="10">
        <v>37.770000000000003</v>
      </c>
      <c r="N1024" s="10">
        <v>10.23</v>
      </c>
      <c r="O1024" s="11">
        <f t="shared" si="62"/>
        <v>0.21312500000000001</v>
      </c>
      <c r="P1024" s="10">
        <v>3.29</v>
      </c>
      <c r="Q1024" s="10">
        <v>6.94</v>
      </c>
      <c r="R1024" s="11">
        <f t="shared" si="63"/>
        <v>0.14458333333333334</v>
      </c>
      <c r="S1024" t="s">
        <v>65</v>
      </c>
      <c r="T1024" t="s">
        <v>66</v>
      </c>
      <c r="U1024" t="s">
        <v>67</v>
      </c>
    </row>
    <row r="1025" spans="1:21" x14ac:dyDescent="0.35">
      <c r="A1025" t="s">
        <v>1152</v>
      </c>
      <c r="B1025" s="5">
        <v>45886</v>
      </c>
      <c r="C1025" t="s">
        <v>117</v>
      </c>
      <c r="D1025" t="s">
        <v>74</v>
      </c>
      <c r="E1025" s="9">
        <v>1</v>
      </c>
      <c r="F1025" s="10">
        <v>95</v>
      </c>
      <c r="G1025" s="11">
        <v>0</v>
      </c>
      <c r="H1025" s="10">
        <v>95</v>
      </c>
      <c r="I1025" s="9">
        <v>0</v>
      </c>
      <c r="J1025" s="10">
        <v>0</v>
      </c>
      <c r="K1025" s="9">
        <v>1</v>
      </c>
      <c r="L1025" s="10">
        <v>95</v>
      </c>
      <c r="M1025" s="10">
        <v>68.19</v>
      </c>
      <c r="N1025" s="10">
        <v>26.81</v>
      </c>
      <c r="O1025" s="11">
        <f t="shared" si="62"/>
        <v>0.28221052631578947</v>
      </c>
      <c r="P1025" s="10">
        <v>7.62</v>
      </c>
      <c r="Q1025" s="10">
        <v>19.190000000000001</v>
      </c>
      <c r="R1025" s="11">
        <f t="shared" si="63"/>
        <v>0.20200000000000001</v>
      </c>
      <c r="S1025" t="s">
        <v>81</v>
      </c>
      <c r="T1025" t="s">
        <v>82</v>
      </c>
      <c r="U1025" t="s">
        <v>67</v>
      </c>
    </row>
    <row r="1026" spans="1:21" x14ac:dyDescent="0.35">
      <c r="A1026" t="s">
        <v>1153</v>
      </c>
      <c r="B1026" s="5">
        <v>45822</v>
      </c>
      <c r="C1026" t="s">
        <v>114</v>
      </c>
      <c r="D1026" t="s">
        <v>64</v>
      </c>
      <c r="E1026" s="9">
        <v>1</v>
      </c>
      <c r="F1026" s="10">
        <v>420</v>
      </c>
      <c r="G1026" s="11">
        <v>0</v>
      </c>
      <c r="H1026" s="10">
        <v>420</v>
      </c>
      <c r="I1026" s="9">
        <v>0</v>
      </c>
      <c r="J1026" s="10">
        <v>0</v>
      </c>
      <c r="K1026" s="9">
        <v>1</v>
      </c>
      <c r="L1026" s="10">
        <v>420</v>
      </c>
      <c r="M1026" s="10">
        <v>276.29000000000002</v>
      </c>
      <c r="N1026" s="10">
        <v>143.71</v>
      </c>
      <c r="O1026" s="11">
        <f t="shared" si="62"/>
        <v>0.34216666666666667</v>
      </c>
      <c r="P1026" s="10">
        <v>46.56</v>
      </c>
      <c r="Q1026" s="10">
        <v>97.15</v>
      </c>
      <c r="R1026" s="11">
        <f t="shared" si="63"/>
        <v>0.23130952380952383</v>
      </c>
      <c r="S1026" t="s">
        <v>75</v>
      </c>
      <c r="T1026" t="s">
        <v>86</v>
      </c>
      <c r="U1026" t="s">
        <v>61</v>
      </c>
    </row>
    <row r="1027" spans="1:21" x14ac:dyDescent="0.35">
      <c r="A1027" t="s">
        <v>1154</v>
      </c>
      <c r="B1027" s="5">
        <v>45974</v>
      </c>
      <c r="C1027" t="s">
        <v>107</v>
      </c>
      <c r="D1027" t="s">
        <v>74</v>
      </c>
      <c r="E1027" s="9">
        <v>2</v>
      </c>
      <c r="F1027" s="10">
        <v>125</v>
      </c>
      <c r="G1027" s="11">
        <v>0</v>
      </c>
      <c r="H1027" s="10">
        <v>250</v>
      </c>
      <c r="I1027" s="9">
        <v>0</v>
      </c>
      <c r="J1027" s="10">
        <v>0</v>
      </c>
      <c r="K1027" s="9">
        <v>2</v>
      </c>
      <c r="L1027" s="10">
        <v>250</v>
      </c>
      <c r="M1027" s="10">
        <v>196.32</v>
      </c>
      <c r="N1027" s="10">
        <v>53.68</v>
      </c>
      <c r="O1027" s="11">
        <f t="shared" si="62"/>
        <v>0.21471999999999999</v>
      </c>
      <c r="P1027" s="10">
        <v>27.03</v>
      </c>
      <c r="Q1027" s="10">
        <v>26.65</v>
      </c>
      <c r="R1027" s="11">
        <f t="shared" si="63"/>
        <v>0.1066</v>
      </c>
      <c r="S1027" t="s">
        <v>81</v>
      </c>
      <c r="T1027" t="s">
        <v>66</v>
      </c>
      <c r="U1027" t="s">
        <v>71</v>
      </c>
    </row>
    <row r="1028" spans="1:21" x14ac:dyDescent="0.35">
      <c r="A1028" t="s">
        <v>1155</v>
      </c>
      <c r="B1028" s="5">
        <v>45908</v>
      </c>
      <c r="C1028" t="s">
        <v>100</v>
      </c>
      <c r="D1028" t="s">
        <v>64</v>
      </c>
      <c r="E1028" s="9">
        <v>1</v>
      </c>
      <c r="F1028" s="10">
        <v>310</v>
      </c>
      <c r="G1028" s="11">
        <v>0.1</v>
      </c>
      <c r="H1028" s="10">
        <v>279</v>
      </c>
      <c r="I1028" s="9">
        <v>0</v>
      </c>
      <c r="J1028" s="10">
        <v>0</v>
      </c>
      <c r="K1028" s="9">
        <v>1</v>
      </c>
      <c r="L1028" s="10">
        <v>279</v>
      </c>
      <c r="M1028" s="10">
        <v>196.41</v>
      </c>
      <c r="N1028" s="10">
        <v>82.59</v>
      </c>
      <c r="O1028" s="11">
        <f t="shared" si="62"/>
        <v>0.29602150537634409</v>
      </c>
      <c r="P1028" s="10">
        <v>21.98</v>
      </c>
      <c r="Q1028" s="10">
        <v>60.61</v>
      </c>
      <c r="R1028" s="11">
        <f t="shared" si="63"/>
        <v>0.21724014336917563</v>
      </c>
      <c r="S1028" t="s">
        <v>59</v>
      </c>
      <c r="T1028" t="s">
        <v>82</v>
      </c>
      <c r="U1028" t="s">
        <v>76</v>
      </c>
    </row>
    <row r="1029" spans="1:21" x14ac:dyDescent="0.35">
      <c r="A1029" t="s">
        <v>1156</v>
      </c>
      <c r="B1029" s="5">
        <v>46009</v>
      </c>
      <c r="C1029" t="s">
        <v>109</v>
      </c>
      <c r="D1029" t="s">
        <v>85</v>
      </c>
      <c r="E1029" s="9">
        <v>1</v>
      </c>
      <c r="F1029" s="10">
        <v>180</v>
      </c>
      <c r="G1029" s="11">
        <v>0</v>
      </c>
      <c r="H1029" s="10">
        <v>180</v>
      </c>
      <c r="I1029" s="9">
        <v>0</v>
      </c>
      <c r="J1029" s="10">
        <v>0</v>
      </c>
      <c r="K1029" s="9">
        <v>1</v>
      </c>
      <c r="L1029" s="10">
        <v>180</v>
      </c>
      <c r="M1029" s="10">
        <v>134.36000000000001</v>
      </c>
      <c r="N1029" s="10">
        <v>45.64</v>
      </c>
      <c r="O1029" s="11">
        <f t="shared" si="62"/>
        <v>0.25355555555555553</v>
      </c>
      <c r="P1029" s="10">
        <v>10.6</v>
      </c>
      <c r="Q1029" s="10">
        <v>35.04</v>
      </c>
      <c r="R1029" s="11">
        <f t="shared" si="63"/>
        <v>0.19466666666666665</v>
      </c>
      <c r="S1029" t="s">
        <v>65</v>
      </c>
      <c r="T1029" t="s">
        <v>66</v>
      </c>
      <c r="U1029" t="s">
        <v>76</v>
      </c>
    </row>
    <row r="1030" spans="1:21" x14ac:dyDescent="0.35">
      <c r="A1030" t="s">
        <v>1157</v>
      </c>
      <c r="B1030" s="5">
        <v>45979</v>
      </c>
      <c r="C1030" t="s">
        <v>125</v>
      </c>
      <c r="D1030" t="s">
        <v>85</v>
      </c>
      <c r="E1030" s="9">
        <v>1</v>
      </c>
      <c r="F1030" s="10">
        <v>125</v>
      </c>
      <c r="G1030" s="11">
        <v>0</v>
      </c>
      <c r="H1030" s="10">
        <v>125</v>
      </c>
      <c r="I1030" s="9">
        <v>0</v>
      </c>
      <c r="J1030" s="10">
        <v>0</v>
      </c>
      <c r="K1030" s="9">
        <v>1</v>
      </c>
      <c r="L1030" s="10">
        <v>125</v>
      </c>
      <c r="M1030" s="10">
        <v>77.66</v>
      </c>
      <c r="N1030" s="10">
        <v>47.34</v>
      </c>
      <c r="O1030" s="11">
        <f t="shared" si="62"/>
        <v>0.37872</v>
      </c>
      <c r="P1030" s="10">
        <v>12.85</v>
      </c>
      <c r="Q1030" s="10">
        <v>34.49</v>
      </c>
      <c r="R1030" s="11">
        <f t="shared" si="63"/>
        <v>0.27592</v>
      </c>
      <c r="S1030" t="s">
        <v>75</v>
      </c>
      <c r="T1030" t="s">
        <v>82</v>
      </c>
      <c r="U1030" t="s">
        <v>71</v>
      </c>
    </row>
    <row r="1031" spans="1:21" x14ac:dyDescent="0.35">
      <c r="A1031" t="s">
        <v>1158</v>
      </c>
      <c r="B1031" s="5">
        <v>45879</v>
      </c>
      <c r="C1031" t="s">
        <v>73</v>
      </c>
      <c r="D1031" t="s">
        <v>74</v>
      </c>
      <c r="E1031" s="9">
        <v>4</v>
      </c>
      <c r="F1031" s="10">
        <v>280</v>
      </c>
      <c r="G1031" s="11">
        <v>0</v>
      </c>
      <c r="H1031" s="10">
        <v>1120</v>
      </c>
      <c r="I1031" s="9">
        <v>0</v>
      </c>
      <c r="J1031" s="10">
        <v>0</v>
      </c>
      <c r="K1031" s="9">
        <v>4</v>
      </c>
      <c r="L1031" s="10">
        <v>1120</v>
      </c>
      <c r="M1031" s="10">
        <v>853.23</v>
      </c>
      <c r="N1031" s="10">
        <v>266.77</v>
      </c>
      <c r="O1031" s="11">
        <f t="shared" si="62"/>
        <v>0.2381875</v>
      </c>
      <c r="P1031" s="10">
        <v>127.48</v>
      </c>
      <c r="Q1031" s="10">
        <v>139.29</v>
      </c>
      <c r="R1031" s="11">
        <f t="shared" si="63"/>
        <v>0.12436607142857142</v>
      </c>
      <c r="S1031" t="s">
        <v>81</v>
      </c>
      <c r="T1031" t="s">
        <v>82</v>
      </c>
      <c r="U1031" t="s">
        <v>61</v>
      </c>
    </row>
    <row r="1032" spans="1:21" x14ac:dyDescent="0.35">
      <c r="A1032" t="s">
        <v>1159</v>
      </c>
      <c r="B1032" s="5">
        <v>45785</v>
      </c>
      <c r="C1032" t="s">
        <v>63</v>
      </c>
      <c r="D1032" t="s">
        <v>64</v>
      </c>
      <c r="E1032" s="9">
        <v>2</v>
      </c>
      <c r="F1032" s="10">
        <v>145</v>
      </c>
      <c r="G1032" s="11">
        <v>0.1</v>
      </c>
      <c r="H1032" s="10">
        <v>261</v>
      </c>
      <c r="I1032" s="9">
        <v>0</v>
      </c>
      <c r="J1032" s="10">
        <v>0</v>
      </c>
      <c r="K1032" s="9">
        <v>2</v>
      </c>
      <c r="L1032" s="10">
        <v>261</v>
      </c>
      <c r="M1032" s="10">
        <v>177.59</v>
      </c>
      <c r="N1032" s="10">
        <v>83.41</v>
      </c>
      <c r="O1032" s="11">
        <f t="shared" si="62"/>
        <v>0.31957854406130265</v>
      </c>
      <c r="P1032" s="10">
        <v>25.86</v>
      </c>
      <c r="Q1032" s="10">
        <v>57.55</v>
      </c>
      <c r="R1032" s="11">
        <f t="shared" si="63"/>
        <v>0.22049808429118772</v>
      </c>
      <c r="S1032" t="s">
        <v>75</v>
      </c>
      <c r="T1032" t="s">
        <v>86</v>
      </c>
      <c r="U1032" t="s">
        <v>71</v>
      </c>
    </row>
    <row r="1033" spans="1:21" x14ac:dyDescent="0.35">
      <c r="A1033" t="s">
        <v>1160</v>
      </c>
      <c r="B1033" s="5">
        <v>45961</v>
      </c>
      <c r="C1033" t="s">
        <v>69</v>
      </c>
      <c r="D1033" t="s">
        <v>70</v>
      </c>
      <c r="E1033" s="9">
        <v>1</v>
      </c>
      <c r="F1033" s="10">
        <v>210</v>
      </c>
      <c r="G1033" s="11">
        <v>0.05</v>
      </c>
      <c r="H1033" s="10">
        <v>199.5</v>
      </c>
      <c r="I1033" s="9">
        <v>0</v>
      </c>
      <c r="J1033" s="10">
        <v>0</v>
      </c>
      <c r="K1033" s="9">
        <v>1</v>
      </c>
      <c r="L1033" s="10">
        <v>199.5</v>
      </c>
      <c r="M1033" s="10">
        <v>124.36</v>
      </c>
      <c r="N1033" s="10">
        <v>75.14</v>
      </c>
      <c r="O1033" s="11">
        <f t="shared" si="62"/>
        <v>0.37664160401002506</v>
      </c>
      <c r="P1033" s="10">
        <v>15.8</v>
      </c>
      <c r="Q1033" s="10">
        <v>59.34</v>
      </c>
      <c r="R1033" s="11">
        <f t="shared" si="63"/>
        <v>0.2974436090225564</v>
      </c>
      <c r="S1033" t="s">
        <v>75</v>
      </c>
      <c r="T1033" t="s">
        <v>60</v>
      </c>
      <c r="U1033" t="s">
        <v>61</v>
      </c>
    </row>
    <row r="1034" spans="1:21" x14ac:dyDescent="0.35">
      <c r="A1034" t="s">
        <v>1161</v>
      </c>
      <c r="B1034" s="5">
        <v>45841</v>
      </c>
      <c r="C1034" t="s">
        <v>121</v>
      </c>
      <c r="D1034" t="s">
        <v>70</v>
      </c>
      <c r="E1034" s="9">
        <v>3</v>
      </c>
      <c r="F1034" s="10">
        <v>110</v>
      </c>
      <c r="G1034" s="11">
        <v>0</v>
      </c>
      <c r="H1034" s="10">
        <v>330</v>
      </c>
      <c r="I1034" s="9">
        <v>0</v>
      </c>
      <c r="J1034" s="10">
        <v>0</v>
      </c>
      <c r="K1034" s="9">
        <v>3</v>
      </c>
      <c r="L1034" s="10">
        <v>330</v>
      </c>
      <c r="M1034" s="10">
        <v>274.75</v>
      </c>
      <c r="N1034" s="10">
        <v>55.25</v>
      </c>
      <c r="O1034" s="11">
        <f t="shared" si="62"/>
        <v>0.16742424242424242</v>
      </c>
      <c r="P1034" s="10">
        <v>20.82</v>
      </c>
      <c r="Q1034" s="10">
        <v>34.43</v>
      </c>
      <c r="R1034" s="11">
        <f t="shared" si="63"/>
        <v>0.10433333333333333</v>
      </c>
      <c r="S1034" t="s">
        <v>59</v>
      </c>
      <c r="T1034" t="s">
        <v>66</v>
      </c>
      <c r="U1034" t="s">
        <v>67</v>
      </c>
    </row>
    <row r="1035" spans="1:21" x14ac:dyDescent="0.35">
      <c r="A1035" t="s">
        <v>1162</v>
      </c>
      <c r="B1035" s="5">
        <v>45771</v>
      </c>
      <c r="C1035" t="s">
        <v>90</v>
      </c>
      <c r="D1035" t="s">
        <v>70</v>
      </c>
      <c r="E1035" s="9">
        <v>1</v>
      </c>
      <c r="F1035" s="10">
        <v>38</v>
      </c>
      <c r="G1035" s="11">
        <v>0</v>
      </c>
      <c r="H1035" s="10">
        <v>38</v>
      </c>
      <c r="I1035" s="9">
        <v>0</v>
      </c>
      <c r="J1035" s="10">
        <v>0</v>
      </c>
      <c r="K1035" s="9">
        <v>1</v>
      </c>
      <c r="L1035" s="10">
        <v>38</v>
      </c>
      <c r="M1035" s="10">
        <v>32.46</v>
      </c>
      <c r="N1035" s="10">
        <v>5.54</v>
      </c>
      <c r="O1035" s="11">
        <f t="shared" si="62"/>
        <v>0.14578947368421052</v>
      </c>
      <c r="P1035" s="10">
        <v>2.9</v>
      </c>
      <c r="Q1035" s="10">
        <v>2.64</v>
      </c>
      <c r="R1035" s="11">
        <f t="shared" si="63"/>
        <v>6.9473684210526312E-2</v>
      </c>
      <c r="S1035" t="s">
        <v>59</v>
      </c>
      <c r="T1035" t="s">
        <v>60</v>
      </c>
      <c r="U1035" t="s">
        <v>67</v>
      </c>
    </row>
    <row r="1036" spans="1:21" x14ac:dyDescent="0.35">
      <c r="A1036" t="s">
        <v>1163</v>
      </c>
      <c r="B1036" s="5">
        <v>45821</v>
      </c>
      <c r="C1036" t="s">
        <v>69</v>
      </c>
      <c r="D1036" t="s">
        <v>70</v>
      </c>
      <c r="E1036" s="9">
        <v>6</v>
      </c>
      <c r="F1036" s="10">
        <v>210</v>
      </c>
      <c r="G1036" s="11">
        <v>0.02</v>
      </c>
      <c r="H1036" s="10">
        <v>1234.8</v>
      </c>
      <c r="I1036" s="9">
        <v>0</v>
      </c>
      <c r="J1036" s="10">
        <v>0</v>
      </c>
      <c r="K1036" s="9">
        <v>6</v>
      </c>
      <c r="L1036" s="10">
        <v>1234.8</v>
      </c>
      <c r="M1036" s="10">
        <v>1031.56</v>
      </c>
      <c r="N1036" s="10">
        <v>203.24</v>
      </c>
      <c r="O1036" s="11">
        <f t="shared" si="62"/>
        <v>0.16459345643019113</v>
      </c>
      <c r="P1036" s="10">
        <v>104.9</v>
      </c>
      <c r="Q1036" s="10">
        <v>98.34</v>
      </c>
      <c r="R1036" s="11">
        <f t="shared" si="63"/>
        <v>7.9640427599611277E-2</v>
      </c>
      <c r="S1036" t="s">
        <v>65</v>
      </c>
      <c r="T1036" t="s">
        <v>86</v>
      </c>
      <c r="U1036" t="s">
        <v>67</v>
      </c>
    </row>
    <row r="1037" spans="1:21" x14ac:dyDescent="0.35">
      <c r="A1037" t="s">
        <v>1164</v>
      </c>
      <c r="B1037" s="5">
        <v>45954</v>
      </c>
      <c r="C1037" t="s">
        <v>125</v>
      </c>
      <c r="D1037" t="s">
        <v>85</v>
      </c>
      <c r="E1037" s="9">
        <v>5</v>
      </c>
      <c r="F1037" s="10">
        <v>125</v>
      </c>
      <c r="G1037" s="11">
        <v>0.05</v>
      </c>
      <c r="H1037" s="10">
        <v>593.75</v>
      </c>
      <c r="I1037" s="9">
        <v>0</v>
      </c>
      <c r="J1037" s="10">
        <v>0</v>
      </c>
      <c r="K1037" s="9">
        <v>5</v>
      </c>
      <c r="L1037" s="10">
        <v>593.75</v>
      </c>
      <c r="M1037" s="10">
        <v>456.15</v>
      </c>
      <c r="N1037" s="10">
        <v>137.6</v>
      </c>
      <c r="O1037" s="11">
        <f t="shared" si="62"/>
        <v>0.23174736842105262</v>
      </c>
      <c r="P1037" s="10">
        <v>31.03</v>
      </c>
      <c r="Q1037" s="10">
        <v>106.57</v>
      </c>
      <c r="R1037" s="11">
        <f t="shared" si="63"/>
        <v>0.17948631578947366</v>
      </c>
      <c r="S1037" t="s">
        <v>75</v>
      </c>
      <c r="T1037" t="s">
        <v>60</v>
      </c>
      <c r="U1037" t="s">
        <v>71</v>
      </c>
    </row>
    <row r="1038" spans="1:21" x14ac:dyDescent="0.35">
      <c r="A1038" t="s">
        <v>1165</v>
      </c>
      <c r="B1038" s="5">
        <v>45900</v>
      </c>
      <c r="C1038" t="s">
        <v>97</v>
      </c>
      <c r="D1038" t="s">
        <v>57</v>
      </c>
      <c r="E1038" s="9">
        <v>3</v>
      </c>
      <c r="F1038" s="10">
        <v>55</v>
      </c>
      <c r="G1038" s="11">
        <v>0</v>
      </c>
      <c r="H1038" s="10">
        <v>165</v>
      </c>
      <c r="I1038" s="9">
        <v>0</v>
      </c>
      <c r="J1038" s="10">
        <v>0</v>
      </c>
      <c r="K1038" s="9">
        <v>3</v>
      </c>
      <c r="L1038" s="10">
        <v>165</v>
      </c>
      <c r="M1038" s="10">
        <v>107.24</v>
      </c>
      <c r="N1038" s="10">
        <v>57.76</v>
      </c>
      <c r="O1038" s="11">
        <f t="shared" si="62"/>
        <v>0.35006060606060607</v>
      </c>
      <c r="P1038" s="10">
        <v>18.34</v>
      </c>
      <c r="Q1038" s="10">
        <v>39.42</v>
      </c>
      <c r="R1038" s="11">
        <f t="shared" si="63"/>
        <v>0.23890909090909093</v>
      </c>
      <c r="S1038" t="s">
        <v>59</v>
      </c>
      <c r="T1038" t="s">
        <v>86</v>
      </c>
      <c r="U1038" t="s">
        <v>76</v>
      </c>
    </row>
    <row r="1039" spans="1:21" x14ac:dyDescent="0.35">
      <c r="A1039" t="s">
        <v>1166</v>
      </c>
      <c r="B1039" s="5">
        <v>45779</v>
      </c>
      <c r="C1039" t="s">
        <v>92</v>
      </c>
      <c r="D1039" t="s">
        <v>79</v>
      </c>
      <c r="E1039" s="9">
        <v>3</v>
      </c>
      <c r="F1039" s="10">
        <v>85</v>
      </c>
      <c r="G1039" s="11">
        <v>0</v>
      </c>
      <c r="H1039" s="10">
        <v>255</v>
      </c>
      <c r="I1039" s="9">
        <v>0</v>
      </c>
      <c r="J1039" s="10">
        <v>0</v>
      </c>
      <c r="K1039" s="9">
        <v>3</v>
      </c>
      <c r="L1039" s="10">
        <v>255</v>
      </c>
      <c r="M1039" s="10">
        <v>174.67</v>
      </c>
      <c r="N1039" s="10">
        <v>80.33</v>
      </c>
      <c r="O1039" s="11">
        <f t="shared" si="62"/>
        <v>0.31501960784313726</v>
      </c>
      <c r="P1039" s="10">
        <v>25.09</v>
      </c>
      <c r="Q1039" s="10">
        <v>55.24</v>
      </c>
      <c r="R1039" s="11">
        <f t="shared" si="63"/>
        <v>0.21662745098039216</v>
      </c>
      <c r="S1039" t="s">
        <v>65</v>
      </c>
      <c r="T1039" t="s">
        <v>60</v>
      </c>
      <c r="U1039" t="s">
        <v>76</v>
      </c>
    </row>
    <row r="1040" spans="1:21" x14ac:dyDescent="0.35">
      <c r="A1040" t="s">
        <v>1167</v>
      </c>
      <c r="B1040" s="5">
        <v>45751</v>
      </c>
      <c r="C1040" t="s">
        <v>69</v>
      </c>
      <c r="D1040" t="s">
        <v>70</v>
      </c>
      <c r="E1040" s="9">
        <v>1</v>
      </c>
      <c r="F1040" s="10">
        <v>210</v>
      </c>
      <c r="G1040" s="11">
        <v>0</v>
      </c>
      <c r="H1040" s="10">
        <v>210</v>
      </c>
      <c r="I1040" s="9">
        <v>0</v>
      </c>
      <c r="J1040" s="10">
        <v>0</v>
      </c>
      <c r="K1040" s="9">
        <v>1</v>
      </c>
      <c r="L1040" s="10">
        <v>210</v>
      </c>
      <c r="M1040" s="10">
        <v>139.51</v>
      </c>
      <c r="N1040" s="10">
        <v>70.489999999999995</v>
      </c>
      <c r="O1040" s="11">
        <f t="shared" ref="O1040:O1103" si="64">N1040/L1040</f>
        <v>0.33566666666666667</v>
      </c>
      <c r="P1040" s="10">
        <v>19.63</v>
      </c>
      <c r="Q1040" s="10">
        <v>50.86</v>
      </c>
      <c r="R1040" s="11">
        <f t="shared" ref="R1040:R1103" si="65">Q1040/L1040</f>
        <v>0.24219047619047618</v>
      </c>
      <c r="S1040" t="s">
        <v>75</v>
      </c>
      <c r="T1040" t="s">
        <v>60</v>
      </c>
      <c r="U1040" t="s">
        <v>67</v>
      </c>
    </row>
    <row r="1041" spans="1:21" x14ac:dyDescent="0.35">
      <c r="A1041" t="s">
        <v>1168</v>
      </c>
      <c r="B1041" s="5">
        <v>45726</v>
      </c>
      <c r="C1041" t="s">
        <v>117</v>
      </c>
      <c r="D1041" t="s">
        <v>74</v>
      </c>
      <c r="E1041" s="9">
        <v>4</v>
      </c>
      <c r="F1041" s="10">
        <v>95</v>
      </c>
      <c r="G1041" s="11">
        <v>0.02</v>
      </c>
      <c r="H1041" s="10">
        <v>372.4</v>
      </c>
      <c r="I1041" s="9">
        <v>0</v>
      </c>
      <c r="J1041" s="10">
        <v>0</v>
      </c>
      <c r="K1041" s="9">
        <v>4</v>
      </c>
      <c r="L1041" s="10">
        <v>372.4</v>
      </c>
      <c r="M1041" s="10">
        <v>311.64999999999998</v>
      </c>
      <c r="N1041" s="10">
        <v>60.75</v>
      </c>
      <c r="O1041" s="11">
        <f t="shared" si="64"/>
        <v>0.16313104189044039</v>
      </c>
      <c r="P1041" s="10">
        <v>23.9</v>
      </c>
      <c r="Q1041" s="10">
        <v>36.85</v>
      </c>
      <c r="R1041" s="11">
        <f t="shared" si="65"/>
        <v>9.8952738990332981E-2</v>
      </c>
      <c r="S1041" t="s">
        <v>81</v>
      </c>
      <c r="T1041" t="s">
        <v>66</v>
      </c>
      <c r="U1041" t="s">
        <v>67</v>
      </c>
    </row>
    <row r="1042" spans="1:21" x14ac:dyDescent="0.35">
      <c r="A1042" t="s">
        <v>1169</v>
      </c>
      <c r="B1042" s="5">
        <v>45714</v>
      </c>
      <c r="C1042" t="s">
        <v>84</v>
      </c>
      <c r="D1042" t="s">
        <v>85</v>
      </c>
      <c r="E1042" s="9">
        <v>5</v>
      </c>
      <c r="F1042" s="10">
        <v>48</v>
      </c>
      <c r="G1042" s="11">
        <v>0</v>
      </c>
      <c r="H1042" s="10">
        <v>240</v>
      </c>
      <c r="I1042" s="9">
        <v>0</v>
      </c>
      <c r="J1042" s="10">
        <v>0</v>
      </c>
      <c r="K1042" s="9">
        <v>5</v>
      </c>
      <c r="L1042" s="10">
        <v>240</v>
      </c>
      <c r="M1042" s="10">
        <v>203</v>
      </c>
      <c r="N1042" s="10">
        <v>37</v>
      </c>
      <c r="O1042" s="11">
        <f t="shared" si="64"/>
        <v>0.15416666666666667</v>
      </c>
      <c r="P1042" s="10">
        <v>20.88</v>
      </c>
      <c r="Q1042" s="10">
        <v>16.12</v>
      </c>
      <c r="R1042" s="11">
        <f t="shared" si="65"/>
        <v>6.7166666666666666E-2</v>
      </c>
      <c r="S1042" t="s">
        <v>81</v>
      </c>
      <c r="T1042" t="s">
        <v>60</v>
      </c>
      <c r="U1042" t="s">
        <v>61</v>
      </c>
    </row>
    <row r="1043" spans="1:21" x14ac:dyDescent="0.35">
      <c r="A1043" t="s">
        <v>1170</v>
      </c>
      <c r="B1043" s="5">
        <v>45791</v>
      </c>
      <c r="C1043" t="s">
        <v>69</v>
      </c>
      <c r="D1043" t="s">
        <v>70</v>
      </c>
      <c r="E1043" s="9">
        <v>1</v>
      </c>
      <c r="F1043" s="10">
        <v>210</v>
      </c>
      <c r="G1043" s="11">
        <v>0</v>
      </c>
      <c r="H1043" s="10">
        <v>210</v>
      </c>
      <c r="I1043" s="9">
        <v>0</v>
      </c>
      <c r="J1043" s="10">
        <v>0</v>
      </c>
      <c r="K1043" s="9">
        <v>1</v>
      </c>
      <c r="L1043" s="10">
        <v>210</v>
      </c>
      <c r="M1043" s="10">
        <v>130.83000000000001</v>
      </c>
      <c r="N1043" s="10">
        <v>79.17</v>
      </c>
      <c r="O1043" s="11">
        <f t="shared" si="64"/>
        <v>0.377</v>
      </c>
      <c r="P1043" s="10">
        <v>11.26</v>
      </c>
      <c r="Q1043" s="10">
        <v>67.91</v>
      </c>
      <c r="R1043" s="11">
        <f t="shared" si="65"/>
        <v>0.32338095238095238</v>
      </c>
      <c r="S1043" t="s">
        <v>65</v>
      </c>
      <c r="T1043" t="s">
        <v>86</v>
      </c>
      <c r="U1043" t="s">
        <v>76</v>
      </c>
    </row>
    <row r="1044" spans="1:21" x14ac:dyDescent="0.35">
      <c r="A1044" t="s">
        <v>1171</v>
      </c>
      <c r="B1044" s="5">
        <v>45925</v>
      </c>
      <c r="C1044" t="s">
        <v>100</v>
      </c>
      <c r="D1044" t="s">
        <v>64</v>
      </c>
      <c r="E1044" s="9">
        <v>4</v>
      </c>
      <c r="F1044" s="10">
        <v>310</v>
      </c>
      <c r="G1044" s="11">
        <v>0.05</v>
      </c>
      <c r="H1044" s="10">
        <v>1178</v>
      </c>
      <c r="I1044" s="9">
        <v>0</v>
      </c>
      <c r="J1044" s="10">
        <v>0</v>
      </c>
      <c r="K1044" s="9">
        <v>4</v>
      </c>
      <c r="L1044" s="10">
        <v>1178</v>
      </c>
      <c r="M1044" s="10">
        <v>744.29</v>
      </c>
      <c r="N1044" s="10">
        <v>433.71</v>
      </c>
      <c r="O1044" s="11">
        <f t="shared" si="64"/>
        <v>0.36817487266553478</v>
      </c>
      <c r="P1044" s="10">
        <v>110.58</v>
      </c>
      <c r="Q1044" s="10">
        <v>323.13</v>
      </c>
      <c r="R1044" s="11">
        <f t="shared" si="65"/>
        <v>0.2743039049235993</v>
      </c>
      <c r="S1044" t="s">
        <v>65</v>
      </c>
      <c r="T1044" t="s">
        <v>82</v>
      </c>
      <c r="U1044" t="s">
        <v>76</v>
      </c>
    </row>
    <row r="1045" spans="1:21" x14ac:dyDescent="0.35">
      <c r="A1045" t="s">
        <v>1172</v>
      </c>
      <c r="B1045" s="5">
        <v>45737</v>
      </c>
      <c r="C1045" t="s">
        <v>264</v>
      </c>
      <c r="D1045" t="s">
        <v>85</v>
      </c>
      <c r="E1045" s="9">
        <v>6</v>
      </c>
      <c r="F1045" s="10">
        <v>20</v>
      </c>
      <c r="G1045" s="11">
        <v>0</v>
      </c>
      <c r="H1045" s="10">
        <v>120</v>
      </c>
      <c r="I1045" s="9">
        <v>0</v>
      </c>
      <c r="J1045" s="10">
        <v>0</v>
      </c>
      <c r="K1045" s="9">
        <v>6</v>
      </c>
      <c r="L1045" s="10">
        <v>120</v>
      </c>
      <c r="M1045" s="10">
        <v>89.6</v>
      </c>
      <c r="N1045" s="10">
        <v>30.4</v>
      </c>
      <c r="O1045" s="11">
        <f t="shared" si="64"/>
        <v>0.2533333333333333</v>
      </c>
      <c r="P1045" s="10">
        <v>14.1</v>
      </c>
      <c r="Q1045" s="10">
        <v>16.3</v>
      </c>
      <c r="R1045" s="11">
        <f t="shared" si="65"/>
        <v>0.13583333333333333</v>
      </c>
      <c r="S1045" t="s">
        <v>81</v>
      </c>
      <c r="T1045" t="s">
        <v>66</v>
      </c>
      <c r="U1045" t="s">
        <v>67</v>
      </c>
    </row>
    <row r="1046" spans="1:21" x14ac:dyDescent="0.35">
      <c r="A1046" t="s">
        <v>1173</v>
      </c>
      <c r="B1046" s="5">
        <v>45722</v>
      </c>
      <c r="C1046" t="s">
        <v>63</v>
      </c>
      <c r="D1046" t="s">
        <v>64</v>
      </c>
      <c r="E1046" s="9">
        <v>5</v>
      </c>
      <c r="F1046" s="10">
        <v>145</v>
      </c>
      <c r="G1046" s="11">
        <v>0</v>
      </c>
      <c r="H1046" s="10">
        <v>725</v>
      </c>
      <c r="I1046" s="9">
        <v>0</v>
      </c>
      <c r="J1046" s="10">
        <v>0</v>
      </c>
      <c r="K1046" s="9">
        <v>5</v>
      </c>
      <c r="L1046" s="10">
        <v>725</v>
      </c>
      <c r="M1046" s="10">
        <v>586.94000000000005</v>
      </c>
      <c r="N1046" s="10">
        <v>138.06</v>
      </c>
      <c r="O1046" s="11">
        <f t="shared" si="64"/>
        <v>0.19042758620689657</v>
      </c>
      <c r="P1046" s="10">
        <v>42.81</v>
      </c>
      <c r="Q1046" s="10">
        <v>95.25</v>
      </c>
      <c r="R1046" s="11">
        <f t="shared" si="65"/>
        <v>0.13137931034482758</v>
      </c>
      <c r="S1046" t="s">
        <v>75</v>
      </c>
      <c r="T1046" t="s">
        <v>86</v>
      </c>
      <c r="U1046" t="s">
        <v>76</v>
      </c>
    </row>
    <row r="1047" spans="1:21" x14ac:dyDescent="0.35">
      <c r="A1047" t="s">
        <v>1174</v>
      </c>
      <c r="B1047" s="5">
        <v>45729</v>
      </c>
      <c r="C1047" t="s">
        <v>73</v>
      </c>
      <c r="D1047" t="s">
        <v>74</v>
      </c>
      <c r="E1047" s="9">
        <v>3</v>
      </c>
      <c r="F1047" s="10">
        <v>280</v>
      </c>
      <c r="G1047" s="11">
        <v>0</v>
      </c>
      <c r="H1047" s="10">
        <v>840</v>
      </c>
      <c r="I1047" s="9">
        <v>0</v>
      </c>
      <c r="J1047" s="10">
        <v>0</v>
      </c>
      <c r="K1047" s="9">
        <v>3</v>
      </c>
      <c r="L1047" s="10">
        <v>840</v>
      </c>
      <c r="M1047" s="10">
        <v>580.02</v>
      </c>
      <c r="N1047" s="10">
        <v>259.98</v>
      </c>
      <c r="O1047" s="11">
        <f t="shared" si="64"/>
        <v>0.3095</v>
      </c>
      <c r="P1047" s="10">
        <v>75.62</v>
      </c>
      <c r="Q1047" s="10">
        <v>184.36</v>
      </c>
      <c r="R1047" s="11">
        <f t="shared" si="65"/>
        <v>0.21947619047619049</v>
      </c>
      <c r="S1047" t="s">
        <v>59</v>
      </c>
      <c r="T1047" t="s">
        <v>82</v>
      </c>
      <c r="U1047" t="s">
        <v>67</v>
      </c>
    </row>
    <row r="1048" spans="1:21" x14ac:dyDescent="0.35">
      <c r="A1048" t="s">
        <v>1175</v>
      </c>
      <c r="B1048" s="5">
        <v>45749</v>
      </c>
      <c r="C1048" t="s">
        <v>90</v>
      </c>
      <c r="D1048" t="s">
        <v>70</v>
      </c>
      <c r="E1048" s="9">
        <v>3</v>
      </c>
      <c r="F1048" s="10">
        <v>38</v>
      </c>
      <c r="G1048" s="11">
        <v>0</v>
      </c>
      <c r="H1048" s="10">
        <v>114</v>
      </c>
      <c r="I1048" s="9">
        <v>0</v>
      </c>
      <c r="J1048" s="10">
        <v>0</v>
      </c>
      <c r="K1048" s="9">
        <v>3</v>
      </c>
      <c r="L1048" s="10">
        <v>114</v>
      </c>
      <c r="M1048" s="10">
        <v>93.38</v>
      </c>
      <c r="N1048" s="10">
        <v>20.62</v>
      </c>
      <c r="O1048" s="11">
        <f t="shared" si="64"/>
        <v>0.18087719298245614</v>
      </c>
      <c r="P1048" s="10">
        <v>11.82</v>
      </c>
      <c r="Q1048" s="10">
        <v>8.8000000000000007</v>
      </c>
      <c r="R1048" s="11">
        <f t="shared" si="65"/>
        <v>7.7192982456140355E-2</v>
      </c>
      <c r="S1048" t="s">
        <v>65</v>
      </c>
      <c r="T1048" t="s">
        <v>66</v>
      </c>
      <c r="U1048" t="s">
        <v>67</v>
      </c>
    </row>
    <row r="1049" spans="1:21" x14ac:dyDescent="0.35">
      <c r="A1049" t="s">
        <v>1176</v>
      </c>
      <c r="B1049" s="5">
        <v>45922</v>
      </c>
      <c r="C1049" t="s">
        <v>69</v>
      </c>
      <c r="D1049" t="s">
        <v>70</v>
      </c>
      <c r="E1049" s="9">
        <v>1</v>
      </c>
      <c r="F1049" s="10">
        <v>210</v>
      </c>
      <c r="G1049" s="11">
        <v>0.02</v>
      </c>
      <c r="H1049" s="10">
        <v>205.8</v>
      </c>
      <c r="I1049" s="9">
        <v>0</v>
      </c>
      <c r="J1049" s="10">
        <v>0</v>
      </c>
      <c r="K1049" s="9">
        <v>1</v>
      </c>
      <c r="L1049" s="10">
        <v>205.8</v>
      </c>
      <c r="M1049" s="10">
        <v>132.02000000000001</v>
      </c>
      <c r="N1049" s="10">
        <v>73.78</v>
      </c>
      <c r="O1049" s="11">
        <f t="shared" si="64"/>
        <v>0.3585034013605442</v>
      </c>
      <c r="P1049" s="10">
        <v>22.07</v>
      </c>
      <c r="Q1049" s="10">
        <v>51.71</v>
      </c>
      <c r="R1049" s="11">
        <f t="shared" si="65"/>
        <v>0.25126336248785225</v>
      </c>
      <c r="S1049" t="s">
        <v>65</v>
      </c>
      <c r="T1049" t="s">
        <v>60</v>
      </c>
      <c r="U1049" t="s">
        <v>61</v>
      </c>
    </row>
    <row r="1050" spans="1:21" x14ac:dyDescent="0.35">
      <c r="A1050" t="s">
        <v>1177</v>
      </c>
      <c r="B1050" s="5">
        <v>45702</v>
      </c>
      <c r="C1050" t="s">
        <v>109</v>
      </c>
      <c r="D1050" t="s">
        <v>85</v>
      </c>
      <c r="E1050" s="9">
        <v>2</v>
      </c>
      <c r="F1050" s="10">
        <v>180</v>
      </c>
      <c r="G1050" s="11">
        <v>0</v>
      </c>
      <c r="H1050" s="10">
        <v>360</v>
      </c>
      <c r="I1050" s="9">
        <v>0</v>
      </c>
      <c r="J1050" s="10">
        <v>0</v>
      </c>
      <c r="K1050" s="9">
        <v>2</v>
      </c>
      <c r="L1050" s="10">
        <v>360</v>
      </c>
      <c r="M1050" s="10">
        <v>292.94</v>
      </c>
      <c r="N1050" s="10">
        <v>67.06</v>
      </c>
      <c r="O1050" s="11">
        <f t="shared" si="64"/>
        <v>0.18627777777777779</v>
      </c>
      <c r="P1050" s="10">
        <v>27.13</v>
      </c>
      <c r="Q1050" s="10">
        <v>39.93</v>
      </c>
      <c r="R1050" s="11">
        <f t="shared" si="65"/>
        <v>0.11091666666666666</v>
      </c>
      <c r="S1050" t="s">
        <v>75</v>
      </c>
      <c r="T1050" t="s">
        <v>82</v>
      </c>
      <c r="U1050" t="s">
        <v>71</v>
      </c>
    </row>
    <row r="1051" spans="1:21" x14ac:dyDescent="0.35">
      <c r="A1051" t="s">
        <v>1178</v>
      </c>
      <c r="B1051" s="5">
        <v>45844</v>
      </c>
      <c r="C1051" t="s">
        <v>56</v>
      </c>
      <c r="D1051" t="s">
        <v>57</v>
      </c>
      <c r="E1051" s="9">
        <v>5</v>
      </c>
      <c r="F1051" s="10">
        <v>40</v>
      </c>
      <c r="G1051" s="11">
        <v>0.1</v>
      </c>
      <c r="H1051" s="10">
        <v>180</v>
      </c>
      <c r="I1051" s="9">
        <v>0</v>
      </c>
      <c r="J1051" s="10">
        <v>0</v>
      </c>
      <c r="K1051" s="9">
        <v>5</v>
      </c>
      <c r="L1051" s="10">
        <v>180</v>
      </c>
      <c r="M1051" s="10">
        <v>129.91</v>
      </c>
      <c r="N1051" s="10">
        <v>50.09</v>
      </c>
      <c r="O1051" s="11">
        <f t="shared" si="64"/>
        <v>0.27827777777777779</v>
      </c>
      <c r="P1051" s="10">
        <v>9.02</v>
      </c>
      <c r="Q1051" s="10">
        <v>41.07</v>
      </c>
      <c r="R1051" s="11">
        <f t="shared" si="65"/>
        <v>0.22816666666666666</v>
      </c>
      <c r="S1051" t="s">
        <v>75</v>
      </c>
      <c r="T1051" t="s">
        <v>86</v>
      </c>
      <c r="U1051" t="s">
        <v>76</v>
      </c>
    </row>
    <row r="1052" spans="1:21" x14ac:dyDescent="0.35">
      <c r="A1052" t="s">
        <v>1179</v>
      </c>
      <c r="B1052" s="5">
        <v>45913</v>
      </c>
      <c r="C1052" t="s">
        <v>69</v>
      </c>
      <c r="D1052" t="s">
        <v>70</v>
      </c>
      <c r="E1052" s="9">
        <v>2</v>
      </c>
      <c r="F1052" s="10">
        <v>210</v>
      </c>
      <c r="G1052" s="11">
        <v>0</v>
      </c>
      <c r="H1052" s="10">
        <v>420</v>
      </c>
      <c r="I1052" s="9">
        <v>0</v>
      </c>
      <c r="J1052" s="10">
        <v>0</v>
      </c>
      <c r="K1052" s="9">
        <v>2</v>
      </c>
      <c r="L1052" s="10">
        <v>420</v>
      </c>
      <c r="M1052" s="10">
        <v>273.86</v>
      </c>
      <c r="N1052" s="10">
        <v>146.13999999999999</v>
      </c>
      <c r="O1052" s="11">
        <f t="shared" si="64"/>
        <v>0.3479523809523809</v>
      </c>
      <c r="P1052" s="10">
        <v>47.05</v>
      </c>
      <c r="Q1052" s="10">
        <v>99.09</v>
      </c>
      <c r="R1052" s="11">
        <f t="shared" si="65"/>
        <v>0.23592857142857143</v>
      </c>
      <c r="S1052" t="s">
        <v>59</v>
      </c>
      <c r="T1052" t="s">
        <v>86</v>
      </c>
      <c r="U1052" t="s">
        <v>67</v>
      </c>
    </row>
    <row r="1053" spans="1:21" x14ac:dyDescent="0.35">
      <c r="A1053" t="s">
        <v>1180</v>
      </c>
      <c r="B1053" s="5">
        <v>45843</v>
      </c>
      <c r="C1053" t="s">
        <v>95</v>
      </c>
      <c r="D1053" t="s">
        <v>64</v>
      </c>
      <c r="E1053" s="9">
        <v>2</v>
      </c>
      <c r="F1053" s="10">
        <v>52</v>
      </c>
      <c r="G1053" s="11">
        <v>0</v>
      </c>
      <c r="H1053" s="10">
        <v>104</v>
      </c>
      <c r="I1053" s="9">
        <v>0</v>
      </c>
      <c r="J1053" s="10">
        <v>0</v>
      </c>
      <c r="K1053" s="9">
        <v>2</v>
      </c>
      <c r="L1053" s="10">
        <v>104</v>
      </c>
      <c r="M1053" s="10">
        <v>80.209999999999994</v>
      </c>
      <c r="N1053" s="10">
        <v>23.79</v>
      </c>
      <c r="O1053" s="11">
        <f t="shared" si="64"/>
        <v>0.22874999999999998</v>
      </c>
      <c r="P1053" s="10">
        <v>8.69</v>
      </c>
      <c r="Q1053" s="10">
        <v>15.1</v>
      </c>
      <c r="R1053" s="11">
        <f t="shared" si="65"/>
        <v>0.14519230769230768</v>
      </c>
      <c r="S1053" t="s">
        <v>65</v>
      </c>
      <c r="T1053" t="s">
        <v>86</v>
      </c>
      <c r="U1053" t="s">
        <v>76</v>
      </c>
    </row>
    <row r="1054" spans="1:21" x14ac:dyDescent="0.35">
      <c r="A1054" t="s">
        <v>1181</v>
      </c>
      <c r="B1054" s="5">
        <v>45689</v>
      </c>
      <c r="C1054" t="s">
        <v>125</v>
      </c>
      <c r="D1054" t="s">
        <v>85</v>
      </c>
      <c r="E1054" s="9">
        <v>1</v>
      </c>
      <c r="F1054" s="10">
        <v>125</v>
      </c>
      <c r="G1054" s="11">
        <v>0.1</v>
      </c>
      <c r="H1054" s="10">
        <v>112.5</v>
      </c>
      <c r="I1054" s="9">
        <v>0</v>
      </c>
      <c r="J1054" s="10">
        <v>0</v>
      </c>
      <c r="K1054" s="9">
        <v>1</v>
      </c>
      <c r="L1054" s="10">
        <v>112.5</v>
      </c>
      <c r="M1054" s="10">
        <v>70.569999999999993</v>
      </c>
      <c r="N1054" s="10">
        <v>41.93</v>
      </c>
      <c r="O1054" s="11">
        <f t="shared" si="64"/>
        <v>0.3727111111111111</v>
      </c>
      <c r="P1054" s="10">
        <v>6.04</v>
      </c>
      <c r="Q1054" s="10">
        <v>35.89</v>
      </c>
      <c r="R1054" s="11">
        <f t="shared" si="65"/>
        <v>0.31902222222222221</v>
      </c>
      <c r="S1054" t="s">
        <v>65</v>
      </c>
      <c r="T1054" t="s">
        <v>86</v>
      </c>
      <c r="U1054" t="s">
        <v>71</v>
      </c>
    </row>
    <row r="1055" spans="1:21" x14ac:dyDescent="0.35">
      <c r="A1055" t="s">
        <v>1182</v>
      </c>
      <c r="B1055" s="5">
        <v>45902</v>
      </c>
      <c r="C1055" t="s">
        <v>90</v>
      </c>
      <c r="D1055" t="s">
        <v>70</v>
      </c>
      <c r="E1055" s="9">
        <v>3</v>
      </c>
      <c r="F1055" s="10">
        <v>38</v>
      </c>
      <c r="G1055" s="11">
        <v>0</v>
      </c>
      <c r="H1055" s="10">
        <v>114</v>
      </c>
      <c r="I1055" s="9">
        <v>0</v>
      </c>
      <c r="J1055" s="10">
        <v>0</v>
      </c>
      <c r="K1055" s="9">
        <v>3</v>
      </c>
      <c r="L1055" s="10">
        <v>114</v>
      </c>
      <c r="M1055" s="10">
        <v>88.21</v>
      </c>
      <c r="N1055" s="10">
        <v>25.79</v>
      </c>
      <c r="O1055" s="11">
        <f t="shared" si="64"/>
        <v>0.22622807017543858</v>
      </c>
      <c r="P1055" s="10">
        <v>8.16</v>
      </c>
      <c r="Q1055" s="10">
        <v>17.63</v>
      </c>
      <c r="R1055" s="11">
        <f t="shared" si="65"/>
        <v>0.15464912280701754</v>
      </c>
      <c r="S1055" t="s">
        <v>75</v>
      </c>
      <c r="T1055" t="s">
        <v>66</v>
      </c>
      <c r="U1055" t="s">
        <v>61</v>
      </c>
    </row>
    <row r="1056" spans="1:21" x14ac:dyDescent="0.35">
      <c r="A1056" t="s">
        <v>1183</v>
      </c>
      <c r="B1056" s="5">
        <v>45737</v>
      </c>
      <c r="C1056" t="s">
        <v>84</v>
      </c>
      <c r="D1056" t="s">
        <v>85</v>
      </c>
      <c r="E1056" s="9">
        <v>1</v>
      </c>
      <c r="F1056" s="10">
        <v>48</v>
      </c>
      <c r="G1056" s="11">
        <v>0.02</v>
      </c>
      <c r="H1056" s="10">
        <v>47.04</v>
      </c>
      <c r="I1056" s="9">
        <v>0</v>
      </c>
      <c r="J1056" s="10">
        <v>0</v>
      </c>
      <c r="K1056" s="9">
        <v>1</v>
      </c>
      <c r="L1056" s="10">
        <v>47.04</v>
      </c>
      <c r="M1056" s="10">
        <v>35.54</v>
      </c>
      <c r="N1056" s="10">
        <v>11.5</v>
      </c>
      <c r="O1056" s="11">
        <f t="shared" si="64"/>
        <v>0.24447278911564627</v>
      </c>
      <c r="P1056" s="10">
        <v>2.79</v>
      </c>
      <c r="Q1056" s="10">
        <v>8.7100000000000009</v>
      </c>
      <c r="R1056" s="11">
        <f t="shared" si="65"/>
        <v>0.18516156462585037</v>
      </c>
      <c r="S1056" t="s">
        <v>81</v>
      </c>
      <c r="T1056" t="s">
        <v>60</v>
      </c>
      <c r="U1056" t="s">
        <v>76</v>
      </c>
    </row>
    <row r="1057" spans="1:21" x14ac:dyDescent="0.35">
      <c r="A1057" t="s">
        <v>1184</v>
      </c>
      <c r="B1057" s="5">
        <v>45745</v>
      </c>
      <c r="C1057" t="s">
        <v>107</v>
      </c>
      <c r="D1057" t="s">
        <v>74</v>
      </c>
      <c r="E1057" s="9">
        <v>4</v>
      </c>
      <c r="F1057" s="10">
        <v>125</v>
      </c>
      <c r="G1057" s="11">
        <v>0</v>
      </c>
      <c r="H1057" s="10">
        <v>500</v>
      </c>
      <c r="I1057" s="9">
        <v>0</v>
      </c>
      <c r="J1057" s="10">
        <v>0</v>
      </c>
      <c r="K1057" s="9">
        <v>4</v>
      </c>
      <c r="L1057" s="10">
        <v>500</v>
      </c>
      <c r="M1057" s="10">
        <v>423.4</v>
      </c>
      <c r="N1057" s="10">
        <v>76.599999999999994</v>
      </c>
      <c r="O1057" s="11">
        <f t="shared" si="64"/>
        <v>0.15319999999999998</v>
      </c>
      <c r="P1057" s="10">
        <v>50.71</v>
      </c>
      <c r="Q1057" s="10">
        <v>25.89</v>
      </c>
      <c r="R1057" s="11">
        <f t="shared" si="65"/>
        <v>5.178E-2</v>
      </c>
      <c r="S1057" t="s">
        <v>75</v>
      </c>
      <c r="T1057" t="s">
        <v>86</v>
      </c>
      <c r="U1057" t="s">
        <v>61</v>
      </c>
    </row>
    <row r="1058" spans="1:21" x14ac:dyDescent="0.35">
      <c r="A1058" t="s">
        <v>1185</v>
      </c>
      <c r="B1058" s="5">
        <v>45888</v>
      </c>
      <c r="C1058" t="s">
        <v>90</v>
      </c>
      <c r="D1058" t="s">
        <v>70</v>
      </c>
      <c r="E1058" s="9">
        <v>6</v>
      </c>
      <c r="F1058" s="10">
        <v>38</v>
      </c>
      <c r="G1058" s="11">
        <v>0</v>
      </c>
      <c r="H1058" s="10">
        <v>228</v>
      </c>
      <c r="I1058" s="9">
        <v>0</v>
      </c>
      <c r="J1058" s="10">
        <v>0</v>
      </c>
      <c r="K1058" s="9">
        <v>6</v>
      </c>
      <c r="L1058" s="10">
        <v>228</v>
      </c>
      <c r="M1058" s="10">
        <v>185.33</v>
      </c>
      <c r="N1058" s="10">
        <v>42.67</v>
      </c>
      <c r="O1058" s="11">
        <f t="shared" si="64"/>
        <v>0.18714912280701756</v>
      </c>
      <c r="P1058" s="10">
        <v>16.010000000000002</v>
      </c>
      <c r="Q1058" s="10">
        <v>26.66</v>
      </c>
      <c r="R1058" s="11">
        <f t="shared" si="65"/>
        <v>0.11692982456140351</v>
      </c>
      <c r="S1058" t="s">
        <v>59</v>
      </c>
      <c r="T1058" t="s">
        <v>60</v>
      </c>
      <c r="U1058" t="s">
        <v>76</v>
      </c>
    </row>
    <row r="1059" spans="1:21" x14ac:dyDescent="0.35">
      <c r="A1059" t="s">
        <v>1186</v>
      </c>
      <c r="B1059" s="5">
        <v>45849</v>
      </c>
      <c r="C1059" t="s">
        <v>117</v>
      </c>
      <c r="D1059" t="s">
        <v>74</v>
      </c>
      <c r="E1059" s="9">
        <v>8</v>
      </c>
      <c r="F1059" s="10">
        <v>95</v>
      </c>
      <c r="G1059" s="11">
        <v>0</v>
      </c>
      <c r="H1059" s="10">
        <v>760</v>
      </c>
      <c r="I1059" s="9">
        <v>0</v>
      </c>
      <c r="J1059" s="10">
        <v>0</v>
      </c>
      <c r="K1059" s="9">
        <v>8</v>
      </c>
      <c r="L1059" s="10">
        <v>760</v>
      </c>
      <c r="M1059" s="10">
        <v>475.31</v>
      </c>
      <c r="N1059" s="10">
        <v>284.69</v>
      </c>
      <c r="O1059" s="11">
        <f t="shared" si="64"/>
        <v>0.37459210526315789</v>
      </c>
      <c r="P1059" s="10">
        <v>41.19</v>
      </c>
      <c r="Q1059" s="10">
        <v>243.5</v>
      </c>
      <c r="R1059" s="11">
        <f t="shared" si="65"/>
        <v>0.32039473684210529</v>
      </c>
      <c r="S1059" t="s">
        <v>65</v>
      </c>
      <c r="T1059" t="s">
        <v>60</v>
      </c>
      <c r="U1059" t="s">
        <v>67</v>
      </c>
    </row>
    <row r="1060" spans="1:21" x14ac:dyDescent="0.35">
      <c r="A1060" t="s">
        <v>1187</v>
      </c>
      <c r="B1060" s="5">
        <v>45681</v>
      </c>
      <c r="C1060" t="s">
        <v>114</v>
      </c>
      <c r="D1060" t="s">
        <v>64</v>
      </c>
      <c r="E1060" s="9">
        <v>5</v>
      </c>
      <c r="F1060" s="10">
        <v>420</v>
      </c>
      <c r="G1060" s="11">
        <v>0</v>
      </c>
      <c r="H1060" s="10">
        <v>2100</v>
      </c>
      <c r="I1060" s="9">
        <v>0</v>
      </c>
      <c r="J1060" s="10">
        <v>0</v>
      </c>
      <c r="K1060" s="9">
        <v>5</v>
      </c>
      <c r="L1060" s="10">
        <v>2100</v>
      </c>
      <c r="M1060" s="10">
        <v>1499.54</v>
      </c>
      <c r="N1060" s="10">
        <v>600.46</v>
      </c>
      <c r="O1060" s="11">
        <f t="shared" si="64"/>
        <v>0.28593333333333337</v>
      </c>
      <c r="P1060" s="10">
        <v>123.55</v>
      </c>
      <c r="Q1060" s="10">
        <v>476.91</v>
      </c>
      <c r="R1060" s="11">
        <f t="shared" si="65"/>
        <v>0.22710000000000002</v>
      </c>
      <c r="S1060" t="s">
        <v>59</v>
      </c>
      <c r="T1060" t="s">
        <v>86</v>
      </c>
      <c r="U1060" t="s">
        <v>67</v>
      </c>
    </row>
    <row r="1061" spans="1:21" x14ac:dyDescent="0.35">
      <c r="A1061" t="s">
        <v>1188</v>
      </c>
      <c r="B1061" s="5">
        <v>45718</v>
      </c>
      <c r="C1061" t="s">
        <v>69</v>
      </c>
      <c r="D1061" t="s">
        <v>70</v>
      </c>
      <c r="E1061" s="9">
        <v>1</v>
      </c>
      <c r="F1061" s="10">
        <v>210</v>
      </c>
      <c r="G1061" s="11">
        <v>0.05</v>
      </c>
      <c r="H1061" s="10">
        <v>199.5</v>
      </c>
      <c r="I1061" s="9">
        <v>0</v>
      </c>
      <c r="J1061" s="10">
        <v>0</v>
      </c>
      <c r="K1061" s="9">
        <v>1</v>
      </c>
      <c r="L1061" s="10">
        <v>199.5</v>
      </c>
      <c r="M1061" s="10">
        <v>124.55</v>
      </c>
      <c r="N1061" s="10">
        <v>74.95</v>
      </c>
      <c r="O1061" s="11">
        <f t="shared" si="64"/>
        <v>0.37568922305764413</v>
      </c>
      <c r="P1061" s="10">
        <v>11.35</v>
      </c>
      <c r="Q1061" s="10">
        <v>63.6</v>
      </c>
      <c r="R1061" s="11">
        <f t="shared" si="65"/>
        <v>0.31879699248120302</v>
      </c>
      <c r="S1061" t="s">
        <v>65</v>
      </c>
      <c r="T1061" t="s">
        <v>66</v>
      </c>
      <c r="U1061" t="s">
        <v>61</v>
      </c>
    </row>
    <row r="1062" spans="1:21" x14ac:dyDescent="0.35">
      <c r="A1062" t="s">
        <v>1189</v>
      </c>
      <c r="B1062" s="5">
        <v>45964</v>
      </c>
      <c r="C1062" t="s">
        <v>114</v>
      </c>
      <c r="D1062" t="s">
        <v>64</v>
      </c>
      <c r="E1062" s="9">
        <v>10</v>
      </c>
      <c r="F1062" s="10">
        <v>420</v>
      </c>
      <c r="G1062" s="11">
        <v>0.15</v>
      </c>
      <c r="H1062" s="10">
        <v>3570</v>
      </c>
      <c r="I1062" s="9">
        <v>0</v>
      </c>
      <c r="J1062" s="10">
        <v>0</v>
      </c>
      <c r="K1062" s="9">
        <v>10</v>
      </c>
      <c r="L1062" s="10">
        <v>3570</v>
      </c>
      <c r="M1062" s="10">
        <v>2689.45</v>
      </c>
      <c r="N1062" s="10">
        <v>880.55</v>
      </c>
      <c r="O1062" s="11">
        <f t="shared" si="64"/>
        <v>0.24665266106442577</v>
      </c>
      <c r="P1062" s="10">
        <v>268.77999999999997</v>
      </c>
      <c r="Q1062" s="10">
        <v>611.77</v>
      </c>
      <c r="R1062" s="11">
        <f t="shared" si="65"/>
        <v>0.1713641456582633</v>
      </c>
      <c r="S1062" t="s">
        <v>59</v>
      </c>
      <c r="T1062" t="s">
        <v>60</v>
      </c>
      <c r="U1062" t="s">
        <v>71</v>
      </c>
    </row>
    <row r="1063" spans="1:21" x14ac:dyDescent="0.35">
      <c r="A1063" t="s">
        <v>1190</v>
      </c>
      <c r="B1063" s="5">
        <v>45782</v>
      </c>
      <c r="C1063" t="s">
        <v>117</v>
      </c>
      <c r="D1063" t="s">
        <v>74</v>
      </c>
      <c r="E1063" s="9">
        <v>10</v>
      </c>
      <c r="F1063" s="10">
        <v>95</v>
      </c>
      <c r="G1063" s="11">
        <v>0</v>
      </c>
      <c r="H1063" s="10">
        <v>950</v>
      </c>
      <c r="I1063" s="9">
        <v>1</v>
      </c>
      <c r="J1063" s="10">
        <v>95</v>
      </c>
      <c r="K1063" s="9">
        <v>9</v>
      </c>
      <c r="L1063" s="10">
        <v>855</v>
      </c>
      <c r="M1063" s="10">
        <v>680.58</v>
      </c>
      <c r="N1063" s="10">
        <v>174.42</v>
      </c>
      <c r="O1063" s="11">
        <f t="shared" si="64"/>
        <v>0.20399999999999999</v>
      </c>
      <c r="P1063" s="10">
        <v>67.39</v>
      </c>
      <c r="Q1063" s="10">
        <v>107.03</v>
      </c>
      <c r="R1063" s="11">
        <f t="shared" si="65"/>
        <v>0.12518128654970762</v>
      </c>
      <c r="S1063" t="s">
        <v>75</v>
      </c>
      <c r="T1063" t="s">
        <v>66</v>
      </c>
      <c r="U1063" t="s">
        <v>76</v>
      </c>
    </row>
    <row r="1064" spans="1:21" x14ac:dyDescent="0.35">
      <c r="A1064" t="s">
        <v>1191</v>
      </c>
      <c r="B1064" s="5">
        <v>45934</v>
      </c>
      <c r="C1064" t="s">
        <v>78</v>
      </c>
      <c r="D1064" t="s">
        <v>79</v>
      </c>
      <c r="E1064" s="9">
        <v>3</v>
      </c>
      <c r="F1064" s="10">
        <v>120</v>
      </c>
      <c r="G1064" s="11">
        <v>0.1</v>
      </c>
      <c r="H1064" s="10">
        <v>324</v>
      </c>
      <c r="I1064" s="9">
        <v>0</v>
      </c>
      <c r="J1064" s="10">
        <v>0</v>
      </c>
      <c r="K1064" s="9">
        <v>3</v>
      </c>
      <c r="L1064" s="10">
        <v>324</v>
      </c>
      <c r="M1064" s="10">
        <v>204.64</v>
      </c>
      <c r="N1064" s="10">
        <v>119.36</v>
      </c>
      <c r="O1064" s="11">
        <f t="shared" si="64"/>
        <v>0.36839506172839503</v>
      </c>
      <c r="P1064" s="10">
        <v>26.93</v>
      </c>
      <c r="Q1064" s="10">
        <v>92.43</v>
      </c>
      <c r="R1064" s="11">
        <f t="shared" si="65"/>
        <v>0.2852777777777778</v>
      </c>
      <c r="S1064" t="s">
        <v>81</v>
      </c>
      <c r="T1064" t="s">
        <v>60</v>
      </c>
      <c r="U1064" t="s">
        <v>61</v>
      </c>
    </row>
    <row r="1065" spans="1:21" x14ac:dyDescent="0.35">
      <c r="A1065" t="s">
        <v>1192</v>
      </c>
      <c r="B1065" s="5">
        <v>45683</v>
      </c>
      <c r="C1065" t="s">
        <v>73</v>
      </c>
      <c r="D1065" t="s">
        <v>74</v>
      </c>
      <c r="E1065" s="9">
        <v>5</v>
      </c>
      <c r="F1065" s="10">
        <v>280</v>
      </c>
      <c r="G1065" s="11">
        <v>0</v>
      </c>
      <c r="H1065" s="10">
        <v>1400</v>
      </c>
      <c r="I1065" s="9">
        <v>0</v>
      </c>
      <c r="J1065" s="10">
        <v>0</v>
      </c>
      <c r="K1065" s="9">
        <v>5</v>
      </c>
      <c r="L1065" s="10">
        <v>1400</v>
      </c>
      <c r="M1065" s="10">
        <v>1010.59</v>
      </c>
      <c r="N1065" s="10">
        <v>389.41</v>
      </c>
      <c r="O1065" s="11">
        <f t="shared" si="64"/>
        <v>0.27815000000000001</v>
      </c>
      <c r="P1065" s="10">
        <v>117.76</v>
      </c>
      <c r="Q1065" s="10">
        <v>271.64999999999998</v>
      </c>
      <c r="R1065" s="11">
        <f t="shared" si="65"/>
        <v>0.19403571428571426</v>
      </c>
      <c r="S1065" t="s">
        <v>81</v>
      </c>
      <c r="T1065" t="s">
        <v>86</v>
      </c>
      <c r="U1065" t="s">
        <v>61</v>
      </c>
    </row>
    <row r="1066" spans="1:21" x14ac:dyDescent="0.35">
      <c r="A1066" t="s">
        <v>1193</v>
      </c>
      <c r="B1066" s="5">
        <v>45993</v>
      </c>
      <c r="C1066" t="s">
        <v>97</v>
      </c>
      <c r="D1066" t="s">
        <v>57</v>
      </c>
      <c r="E1066" s="9">
        <v>3</v>
      </c>
      <c r="F1066" s="10">
        <v>55</v>
      </c>
      <c r="G1066" s="11">
        <v>0</v>
      </c>
      <c r="H1066" s="10">
        <v>165</v>
      </c>
      <c r="I1066" s="9">
        <v>0</v>
      </c>
      <c r="J1066" s="10">
        <v>0</v>
      </c>
      <c r="K1066" s="9">
        <v>3</v>
      </c>
      <c r="L1066" s="10">
        <v>165</v>
      </c>
      <c r="M1066" s="10">
        <v>126.93</v>
      </c>
      <c r="N1066" s="10">
        <v>38.07</v>
      </c>
      <c r="O1066" s="11">
        <f t="shared" si="64"/>
        <v>0.23072727272727273</v>
      </c>
      <c r="P1066" s="10">
        <v>9.5</v>
      </c>
      <c r="Q1066" s="10">
        <v>28.57</v>
      </c>
      <c r="R1066" s="11">
        <f t="shared" si="65"/>
        <v>0.17315151515151514</v>
      </c>
      <c r="S1066" t="s">
        <v>75</v>
      </c>
      <c r="T1066" t="s">
        <v>66</v>
      </c>
      <c r="U1066" t="s">
        <v>67</v>
      </c>
    </row>
    <row r="1067" spans="1:21" x14ac:dyDescent="0.35">
      <c r="A1067" t="s">
        <v>1194</v>
      </c>
      <c r="B1067" s="5">
        <v>45854</v>
      </c>
      <c r="C1067" t="s">
        <v>84</v>
      </c>
      <c r="D1067" t="s">
        <v>85</v>
      </c>
      <c r="E1067" s="9">
        <v>2</v>
      </c>
      <c r="F1067" s="10">
        <v>48</v>
      </c>
      <c r="G1067" s="11">
        <v>0</v>
      </c>
      <c r="H1067" s="10">
        <v>96</v>
      </c>
      <c r="I1067" s="9">
        <v>0</v>
      </c>
      <c r="J1067" s="10">
        <v>0</v>
      </c>
      <c r="K1067" s="9">
        <v>2</v>
      </c>
      <c r="L1067" s="10">
        <v>96</v>
      </c>
      <c r="M1067" s="10">
        <v>79.97</v>
      </c>
      <c r="N1067" s="10">
        <v>16.03</v>
      </c>
      <c r="O1067" s="11">
        <f t="shared" si="64"/>
        <v>0.16697916666666668</v>
      </c>
      <c r="P1067" s="10">
        <v>11.54</v>
      </c>
      <c r="Q1067" s="10">
        <v>4.49</v>
      </c>
      <c r="R1067" s="11">
        <f t="shared" si="65"/>
        <v>4.6770833333333338E-2</v>
      </c>
      <c r="S1067" t="s">
        <v>81</v>
      </c>
      <c r="T1067" t="s">
        <v>82</v>
      </c>
      <c r="U1067" t="s">
        <v>61</v>
      </c>
    </row>
    <row r="1068" spans="1:21" x14ac:dyDescent="0.35">
      <c r="A1068" t="s">
        <v>1195</v>
      </c>
      <c r="B1068" s="5">
        <v>45878</v>
      </c>
      <c r="C1068" t="s">
        <v>264</v>
      </c>
      <c r="D1068" t="s">
        <v>85</v>
      </c>
      <c r="E1068" s="9">
        <v>3</v>
      </c>
      <c r="F1068" s="10">
        <v>20</v>
      </c>
      <c r="G1068" s="11">
        <v>0</v>
      </c>
      <c r="H1068" s="10">
        <v>60</v>
      </c>
      <c r="I1068" s="9">
        <v>0</v>
      </c>
      <c r="J1068" s="10">
        <v>0</v>
      </c>
      <c r="K1068" s="9">
        <v>3</v>
      </c>
      <c r="L1068" s="10">
        <v>60</v>
      </c>
      <c r="M1068" s="10">
        <v>48.95</v>
      </c>
      <c r="N1068" s="10">
        <v>11.05</v>
      </c>
      <c r="O1068" s="11">
        <f t="shared" si="64"/>
        <v>0.18416666666666667</v>
      </c>
      <c r="P1068" s="10">
        <v>7.06</v>
      </c>
      <c r="Q1068" s="10">
        <v>3.99</v>
      </c>
      <c r="R1068" s="11">
        <f t="shared" si="65"/>
        <v>6.6500000000000004E-2</v>
      </c>
      <c r="S1068" t="s">
        <v>65</v>
      </c>
      <c r="T1068" t="s">
        <v>86</v>
      </c>
      <c r="U1068" t="s">
        <v>76</v>
      </c>
    </row>
    <row r="1069" spans="1:21" x14ac:dyDescent="0.35">
      <c r="A1069" t="s">
        <v>1196</v>
      </c>
      <c r="B1069" s="5">
        <v>45891</v>
      </c>
      <c r="C1069" t="s">
        <v>90</v>
      </c>
      <c r="D1069" t="s">
        <v>70</v>
      </c>
      <c r="E1069" s="9">
        <v>2</v>
      </c>
      <c r="F1069" s="10">
        <v>38</v>
      </c>
      <c r="G1069" s="11">
        <v>0</v>
      </c>
      <c r="H1069" s="10">
        <v>76</v>
      </c>
      <c r="I1069" s="9">
        <v>0</v>
      </c>
      <c r="J1069" s="10">
        <v>0</v>
      </c>
      <c r="K1069" s="9">
        <v>2</v>
      </c>
      <c r="L1069" s="10">
        <v>76</v>
      </c>
      <c r="M1069" s="10">
        <v>50.17</v>
      </c>
      <c r="N1069" s="10">
        <v>25.83</v>
      </c>
      <c r="O1069" s="11">
        <f t="shared" si="64"/>
        <v>0.33986842105263154</v>
      </c>
      <c r="P1069" s="10">
        <v>7.22</v>
      </c>
      <c r="Q1069" s="10">
        <v>18.61</v>
      </c>
      <c r="R1069" s="11">
        <f t="shared" si="65"/>
        <v>0.24486842105263157</v>
      </c>
      <c r="S1069" t="s">
        <v>59</v>
      </c>
      <c r="T1069" t="s">
        <v>86</v>
      </c>
      <c r="U1069" t="s">
        <v>76</v>
      </c>
    </row>
    <row r="1070" spans="1:21" x14ac:dyDescent="0.35">
      <c r="A1070" t="s">
        <v>1197</v>
      </c>
      <c r="B1070" s="5">
        <v>45792</v>
      </c>
      <c r="C1070" t="s">
        <v>97</v>
      </c>
      <c r="D1070" t="s">
        <v>57</v>
      </c>
      <c r="E1070" s="9">
        <v>1</v>
      </c>
      <c r="F1070" s="10">
        <v>55</v>
      </c>
      <c r="G1070" s="11">
        <v>0.1</v>
      </c>
      <c r="H1070" s="10">
        <v>49.5</v>
      </c>
      <c r="I1070" s="9">
        <v>0</v>
      </c>
      <c r="J1070" s="10">
        <v>0</v>
      </c>
      <c r="K1070" s="9">
        <v>1</v>
      </c>
      <c r="L1070" s="10">
        <v>49.5</v>
      </c>
      <c r="M1070" s="10">
        <v>38.49</v>
      </c>
      <c r="N1070" s="10">
        <v>11.01</v>
      </c>
      <c r="O1070" s="11">
        <f t="shared" si="64"/>
        <v>0.22242424242424241</v>
      </c>
      <c r="P1070" s="10">
        <v>4.4000000000000004</v>
      </c>
      <c r="Q1070" s="10">
        <v>6.61</v>
      </c>
      <c r="R1070" s="11">
        <f t="shared" si="65"/>
        <v>0.13353535353535353</v>
      </c>
      <c r="S1070" t="s">
        <v>75</v>
      </c>
      <c r="T1070" t="s">
        <v>82</v>
      </c>
      <c r="U1070" t="s">
        <v>61</v>
      </c>
    </row>
    <row r="1071" spans="1:21" x14ac:dyDescent="0.35">
      <c r="A1071" t="s">
        <v>1198</v>
      </c>
      <c r="B1071" s="5">
        <v>45912</v>
      </c>
      <c r="C1071" t="s">
        <v>125</v>
      </c>
      <c r="D1071" t="s">
        <v>85</v>
      </c>
      <c r="E1071" s="9">
        <v>2</v>
      </c>
      <c r="F1071" s="10">
        <v>125</v>
      </c>
      <c r="G1071" s="11">
        <v>0</v>
      </c>
      <c r="H1071" s="10">
        <v>250</v>
      </c>
      <c r="I1071" s="9">
        <v>0</v>
      </c>
      <c r="J1071" s="10">
        <v>0</v>
      </c>
      <c r="K1071" s="9">
        <v>2</v>
      </c>
      <c r="L1071" s="10">
        <v>250</v>
      </c>
      <c r="M1071" s="10">
        <v>212.16</v>
      </c>
      <c r="N1071" s="10">
        <v>37.840000000000003</v>
      </c>
      <c r="O1071" s="11">
        <f t="shared" si="64"/>
        <v>0.15136000000000002</v>
      </c>
      <c r="P1071" s="10">
        <v>15.99</v>
      </c>
      <c r="Q1071" s="10">
        <v>21.85</v>
      </c>
      <c r="R1071" s="11">
        <f t="shared" si="65"/>
        <v>8.7400000000000005E-2</v>
      </c>
      <c r="S1071" t="s">
        <v>81</v>
      </c>
      <c r="T1071" t="s">
        <v>82</v>
      </c>
      <c r="U1071" t="s">
        <v>76</v>
      </c>
    </row>
    <row r="1072" spans="1:21" x14ac:dyDescent="0.35">
      <c r="A1072" t="s">
        <v>1199</v>
      </c>
      <c r="B1072" s="5">
        <v>45683</v>
      </c>
      <c r="C1072" t="s">
        <v>78</v>
      </c>
      <c r="D1072" t="s">
        <v>79</v>
      </c>
      <c r="E1072" s="9">
        <v>1</v>
      </c>
      <c r="F1072" s="10">
        <v>120</v>
      </c>
      <c r="G1072" s="11">
        <v>0.02</v>
      </c>
      <c r="H1072" s="10">
        <v>117.6</v>
      </c>
      <c r="I1072" s="9">
        <v>0</v>
      </c>
      <c r="J1072" s="10">
        <v>0</v>
      </c>
      <c r="K1072" s="9">
        <v>1</v>
      </c>
      <c r="L1072" s="10">
        <v>117.6</v>
      </c>
      <c r="M1072" s="10">
        <v>77.790000000000006</v>
      </c>
      <c r="N1072" s="10">
        <v>39.81</v>
      </c>
      <c r="O1072" s="11">
        <f t="shared" si="64"/>
        <v>0.33852040816326534</v>
      </c>
      <c r="P1072" s="10">
        <v>6.46</v>
      </c>
      <c r="Q1072" s="10">
        <v>33.35</v>
      </c>
      <c r="R1072" s="11">
        <f t="shared" si="65"/>
        <v>0.28358843537414968</v>
      </c>
      <c r="S1072" t="s">
        <v>81</v>
      </c>
      <c r="T1072" t="s">
        <v>60</v>
      </c>
      <c r="U1072" t="s">
        <v>76</v>
      </c>
    </row>
    <row r="1073" spans="1:21" x14ac:dyDescent="0.35">
      <c r="A1073" t="s">
        <v>1200</v>
      </c>
      <c r="B1073" s="5">
        <v>45762</v>
      </c>
      <c r="C1073" t="s">
        <v>97</v>
      </c>
      <c r="D1073" t="s">
        <v>57</v>
      </c>
      <c r="E1073" s="9">
        <v>1</v>
      </c>
      <c r="F1073" s="10">
        <v>55</v>
      </c>
      <c r="G1073" s="11">
        <v>0</v>
      </c>
      <c r="H1073" s="10">
        <v>55</v>
      </c>
      <c r="I1073" s="9">
        <v>0</v>
      </c>
      <c r="J1073" s="10">
        <v>0</v>
      </c>
      <c r="K1073" s="9">
        <v>1</v>
      </c>
      <c r="L1073" s="10">
        <v>55</v>
      </c>
      <c r="M1073" s="10">
        <v>44.72</v>
      </c>
      <c r="N1073" s="10">
        <v>10.28</v>
      </c>
      <c r="O1073" s="11">
        <f t="shared" si="64"/>
        <v>0.18690909090909089</v>
      </c>
      <c r="P1073" s="10">
        <v>6.16</v>
      </c>
      <c r="Q1073" s="10">
        <v>4.12</v>
      </c>
      <c r="R1073" s="11">
        <f t="shared" si="65"/>
        <v>7.4909090909090911E-2</v>
      </c>
      <c r="S1073" t="s">
        <v>75</v>
      </c>
      <c r="T1073" t="s">
        <v>60</v>
      </c>
      <c r="U1073" t="s">
        <v>76</v>
      </c>
    </row>
    <row r="1074" spans="1:21" x14ac:dyDescent="0.35">
      <c r="A1074" t="s">
        <v>1201</v>
      </c>
      <c r="B1074" s="5">
        <v>45908</v>
      </c>
      <c r="C1074" t="s">
        <v>95</v>
      </c>
      <c r="D1074" t="s">
        <v>64</v>
      </c>
      <c r="E1074" s="9">
        <v>5</v>
      </c>
      <c r="F1074" s="10">
        <v>52</v>
      </c>
      <c r="G1074" s="11">
        <v>0</v>
      </c>
      <c r="H1074" s="10">
        <v>260</v>
      </c>
      <c r="I1074" s="9">
        <v>0</v>
      </c>
      <c r="J1074" s="10">
        <v>0</v>
      </c>
      <c r="K1074" s="9">
        <v>5</v>
      </c>
      <c r="L1074" s="10">
        <v>260</v>
      </c>
      <c r="M1074" s="10">
        <v>186.34</v>
      </c>
      <c r="N1074" s="10">
        <v>73.66</v>
      </c>
      <c r="O1074" s="11">
        <f t="shared" si="64"/>
        <v>0.28330769230769232</v>
      </c>
      <c r="P1074" s="10">
        <v>28.4</v>
      </c>
      <c r="Q1074" s="10">
        <v>45.26</v>
      </c>
      <c r="R1074" s="11">
        <f t="shared" si="65"/>
        <v>0.17407692307692307</v>
      </c>
      <c r="S1074" t="s">
        <v>59</v>
      </c>
      <c r="T1074" t="s">
        <v>66</v>
      </c>
      <c r="U1074" t="s">
        <v>67</v>
      </c>
    </row>
    <row r="1075" spans="1:21" x14ac:dyDescent="0.35">
      <c r="A1075" t="s">
        <v>1202</v>
      </c>
      <c r="B1075" s="5">
        <v>45687</v>
      </c>
      <c r="C1075" t="s">
        <v>97</v>
      </c>
      <c r="D1075" t="s">
        <v>57</v>
      </c>
      <c r="E1075" s="9">
        <v>2</v>
      </c>
      <c r="F1075" s="10">
        <v>55</v>
      </c>
      <c r="G1075" s="11">
        <v>0</v>
      </c>
      <c r="H1075" s="10">
        <v>110</v>
      </c>
      <c r="I1075" s="9">
        <v>0</v>
      </c>
      <c r="J1075" s="10">
        <v>0</v>
      </c>
      <c r="K1075" s="9">
        <v>2</v>
      </c>
      <c r="L1075" s="10">
        <v>110</v>
      </c>
      <c r="M1075" s="10">
        <v>68.239999999999995</v>
      </c>
      <c r="N1075" s="10">
        <v>41.76</v>
      </c>
      <c r="O1075" s="11">
        <f t="shared" si="64"/>
        <v>0.37963636363636361</v>
      </c>
      <c r="P1075" s="10">
        <v>12.12</v>
      </c>
      <c r="Q1075" s="10">
        <v>29.64</v>
      </c>
      <c r="R1075" s="11">
        <f t="shared" si="65"/>
        <v>0.26945454545454545</v>
      </c>
      <c r="S1075" t="s">
        <v>81</v>
      </c>
      <c r="T1075" t="s">
        <v>86</v>
      </c>
      <c r="U1075" t="s">
        <v>61</v>
      </c>
    </row>
    <row r="1076" spans="1:21" x14ac:dyDescent="0.35">
      <c r="A1076" t="s">
        <v>1203</v>
      </c>
      <c r="B1076" s="5">
        <v>45905</v>
      </c>
      <c r="C1076" t="s">
        <v>73</v>
      </c>
      <c r="D1076" t="s">
        <v>74</v>
      </c>
      <c r="E1076" s="9">
        <v>1</v>
      </c>
      <c r="F1076" s="10">
        <v>280</v>
      </c>
      <c r="G1076" s="11">
        <v>0</v>
      </c>
      <c r="H1076" s="10">
        <v>280</v>
      </c>
      <c r="I1076" s="9">
        <v>0</v>
      </c>
      <c r="J1076" s="10">
        <v>0</v>
      </c>
      <c r="K1076" s="9">
        <v>1</v>
      </c>
      <c r="L1076" s="10">
        <v>280</v>
      </c>
      <c r="M1076" s="10">
        <v>184</v>
      </c>
      <c r="N1076" s="10">
        <v>96</v>
      </c>
      <c r="O1076" s="11">
        <f t="shared" si="64"/>
        <v>0.34285714285714286</v>
      </c>
      <c r="P1076" s="10">
        <v>21.38</v>
      </c>
      <c r="Q1076" s="10">
        <v>74.62</v>
      </c>
      <c r="R1076" s="11">
        <f t="shared" si="65"/>
        <v>0.26650000000000001</v>
      </c>
      <c r="S1076" t="s">
        <v>81</v>
      </c>
      <c r="T1076" t="s">
        <v>82</v>
      </c>
      <c r="U1076" t="s">
        <v>76</v>
      </c>
    </row>
    <row r="1077" spans="1:21" x14ac:dyDescent="0.35">
      <c r="A1077" t="s">
        <v>1204</v>
      </c>
      <c r="B1077" s="5">
        <v>45717</v>
      </c>
      <c r="C1077" t="s">
        <v>121</v>
      </c>
      <c r="D1077" t="s">
        <v>70</v>
      </c>
      <c r="E1077" s="9">
        <v>8</v>
      </c>
      <c r="F1077" s="10">
        <v>110</v>
      </c>
      <c r="G1077" s="11">
        <v>0.15</v>
      </c>
      <c r="H1077" s="10">
        <v>748</v>
      </c>
      <c r="I1077" s="9">
        <v>1</v>
      </c>
      <c r="J1077" s="10">
        <v>93.5</v>
      </c>
      <c r="K1077" s="9">
        <v>7</v>
      </c>
      <c r="L1077" s="10">
        <v>654.5</v>
      </c>
      <c r="M1077" s="10">
        <v>421.14</v>
      </c>
      <c r="N1077" s="10">
        <v>233.36</v>
      </c>
      <c r="O1077" s="11">
        <f t="shared" si="64"/>
        <v>0.35654698242933541</v>
      </c>
      <c r="P1077" s="10">
        <v>38.08</v>
      </c>
      <c r="Q1077" s="10">
        <v>195.28</v>
      </c>
      <c r="R1077" s="11">
        <f t="shared" si="65"/>
        <v>0.29836516424751719</v>
      </c>
      <c r="S1077" t="s">
        <v>59</v>
      </c>
      <c r="T1077" t="s">
        <v>86</v>
      </c>
      <c r="U1077" t="s">
        <v>67</v>
      </c>
    </row>
    <row r="1078" spans="1:21" x14ac:dyDescent="0.35">
      <c r="A1078" t="s">
        <v>1205</v>
      </c>
      <c r="B1078" s="5">
        <v>45888</v>
      </c>
      <c r="C1078" t="s">
        <v>95</v>
      </c>
      <c r="D1078" t="s">
        <v>64</v>
      </c>
      <c r="E1078" s="9">
        <v>5</v>
      </c>
      <c r="F1078" s="10">
        <v>52</v>
      </c>
      <c r="G1078" s="11">
        <v>0</v>
      </c>
      <c r="H1078" s="10">
        <v>260</v>
      </c>
      <c r="I1078" s="9">
        <v>0</v>
      </c>
      <c r="J1078" s="10">
        <v>0</v>
      </c>
      <c r="K1078" s="9">
        <v>5</v>
      </c>
      <c r="L1078" s="10">
        <v>260</v>
      </c>
      <c r="M1078" s="10">
        <v>198.92</v>
      </c>
      <c r="N1078" s="10">
        <v>61.08</v>
      </c>
      <c r="O1078" s="11">
        <f t="shared" si="64"/>
        <v>0.23492307692307693</v>
      </c>
      <c r="P1078" s="10">
        <v>30.94</v>
      </c>
      <c r="Q1078" s="10">
        <v>30.14</v>
      </c>
      <c r="R1078" s="11">
        <f t="shared" si="65"/>
        <v>0.11592307692307692</v>
      </c>
      <c r="S1078" t="s">
        <v>65</v>
      </c>
      <c r="T1078" t="s">
        <v>60</v>
      </c>
      <c r="U1078" t="s">
        <v>71</v>
      </c>
    </row>
    <row r="1079" spans="1:21" x14ac:dyDescent="0.35">
      <c r="A1079" t="s">
        <v>1206</v>
      </c>
      <c r="B1079" s="5">
        <v>45785</v>
      </c>
      <c r="C1079" t="s">
        <v>73</v>
      </c>
      <c r="D1079" t="s">
        <v>74</v>
      </c>
      <c r="E1079" s="9">
        <v>2</v>
      </c>
      <c r="F1079" s="10">
        <v>280</v>
      </c>
      <c r="G1079" s="11">
        <v>0.1</v>
      </c>
      <c r="H1079" s="10">
        <v>504</v>
      </c>
      <c r="I1079" s="9">
        <v>0</v>
      </c>
      <c r="J1079" s="10">
        <v>0</v>
      </c>
      <c r="K1079" s="9">
        <v>2</v>
      </c>
      <c r="L1079" s="10">
        <v>504</v>
      </c>
      <c r="M1079" s="10">
        <v>378.11</v>
      </c>
      <c r="N1079" s="10">
        <v>125.89</v>
      </c>
      <c r="O1079" s="11">
        <f t="shared" si="64"/>
        <v>0.24978174603174602</v>
      </c>
      <c r="P1079" s="10">
        <v>57.86</v>
      </c>
      <c r="Q1079" s="10">
        <v>68.03</v>
      </c>
      <c r="R1079" s="11">
        <f t="shared" si="65"/>
        <v>0.13498015873015873</v>
      </c>
      <c r="S1079" t="s">
        <v>59</v>
      </c>
      <c r="T1079" t="s">
        <v>60</v>
      </c>
      <c r="U1079" t="s">
        <v>71</v>
      </c>
    </row>
    <row r="1080" spans="1:21" x14ac:dyDescent="0.35">
      <c r="A1080" t="s">
        <v>1207</v>
      </c>
      <c r="B1080" s="5">
        <v>45755</v>
      </c>
      <c r="C1080" t="s">
        <v>73</v>
      </c>
      <c r="D1080" t="s">
        <v>74</v>
      </c>
      <c r="E1080" s="9">
        <v>6</v>
      </c>
      <c r="F1080" s="10">
        <v>280</v>
      </c>
      <c r="G1080" s="11">
        <v>0</v>
      </c>
      <c r="H1080" s="10">
        <v>1680</v>
      </c>
      <c r="I1080" s="9">
        <v>0</v>
      </c>
      <c r="J1080" s="10">
        <v>0</v>
      </c>
      <c r="K1080" s="9">
        <v>6</v>
      </c>
      <c r="L1080" s="10">
        <v>1680</v>
      </c>
      <c r="M1080" s="10">
        <v>1194.27</v>
      </c>
      <c r="N1080" s="10">
        <v>485.73</v>
      </c>
      <c r="O1080" s="11">
        <f t="shared" si="64"/>
        <v>0.28912500000000002</v>
      </c>
      <c r="P1080" s="10">
        <v>157.47</v>
      </c>
      <c r="Q1080" s="10">
        <v>328.26</v>
      </c>
      <c r="R1080" s="11">
        <f t="shared" si="65"/>
        <v>0.19539285714285715</v>
      </c>
      <c r="S1080" t="s">
        <v>65</v>
      </c>
      <c r="T1080" t="s">
        <v>66</v>
      </c>
      <c r="U1080" t="s">
        <v>61</v>
      </c>
    </row>
    <row r="1081" spans="1:21" x14ac:dyDescent="0.35">
      <c r="A1081" t="s">
        <v>1208</v>
      </c>
      <c r="B1081" s="5">
        <v>45701</v>
      </c>
      <c r="C1081" t="s">
        <v>56</v>
      </c>
      <c r="D1081" t="s">
        <v>57</v>
      </c>
      <c r="E1081" s="9">
        <v>3</v>
      </c>
      <c r="F1081" s="10">
        <v>40</v>
      </c>
      <c r="G1081" s="11">
        <v>0</v>
      </c>
      <c r="H1081" s="10">
        <v>120</v>
      </c>
      <c r="I1081" s="9">
        <v>0</v>
      </c>
      <c r="J1081" s="10">
        <v>0</v>
      </c>
      <c r="K1081" s="9">
        <v>3</v>
      </c>
      <c r="L1081" s="10">
        <v>120</v>
      </c>
      <c r="M1081" s="10">
        <v>93.15</v>
      </c>
      <c r="N1081" s="10">
        <v>26.85</v>
      </c>
      <c r="O1081" s="11">
        <f t="shared" si="64"/>
        <v>0.22375</v>
      </c>
      <c r="P1081" s="10">
        <v>15.22</v>
      </c>
      <c r="Q1081" s="10">
        <v>11.63</v>
      </c>
      <c r="R1081" s="11">
        <f t="shared" si="65"/>
        <v>9.6916666666666679E-2</v>
      </c>
      <c r="S1081" t="s">
        <v>81</v>
      </c>
      <c r="T1081" t="s">
        <v>82</v>
      </c>
      <c r="U1081" t="s">
        <v>71</v>
      </c>
    </row>
    <row r="1082" spans="1:21" x14ac:dyDescent="0.35">
      <c r="A1082" t="s">
        <v>1209</v>
      </c>
      <c r="B1082" s="5">
        <v>45932</v>
      </c>
      <c r="C1082" t="s">
        <v>63</v>
      </c>
      <c r="D1082" t="s">
        <v>64</v>
      </c>
      <c r="E1082" s="9">
        <v>3</v>
      </c>
      <c r="F1082" s="10">
        <v>145</v>
      </c>
      <c r="G1082" s="11">
        <v>0</v>
      </c>
      <c r="H1082" s="10">
        <v>435</v>
      </c>
      <c r="I1082" s="9">
        <v>0</v>
      </c>
      <c r="J1082" s="10">
        <v>0</v>
      </c>
      <c r="K1082" s="9">
        <v>3</v>
      </c>
      <c r="L1082" s="10">
        <v>435</v>
      </c>
      <c r="M1082" s="10">
        <v>285.95999999999998</v>
      </c>
      <c r="N1082" s="10">
        <v>149.04</v>
      </c>
      <c r="O1082" s="11">
        <f t="shared" si="64"/>
        <v>0.34262068965517239</v>
      </c>
      <c r="P1082" s="10">
        <v>36.840000000000003</v>
      </c>
      <c r="Q1082" s="10">
        <v>112.2</v>
      </c>
      <c r="R1082" s="11">
        <f t="shared" si="65"/>
        <v>0.25793103448275861</v>
      </c>
      <c r="S1082" t="s">
        <v>59</v>
      </c>
      <c r="T1082" t="s">
        <v>66</v>
      </c>
      <c r="U1082" t="s">
        <v>61</v>
      </c>
    </row>
    <row r="1083" spans="1:21" x14ac:dyDescent="0.35">
      <c r="A1083" t="s">
        <v>1210</v>
      </c>
      <c r="B1083" s="5">
        <v>45703</v>
      </c>
      <c r="C1083" t="s">
        <v>92</v>
      </c>
      <c r="D1083" t="s">
        <v>79</v>
      </c>
      <c r="E1083" s="9">
        <v>3</v>
      </c>
      <c r="F1083" s="10">
        <v>85</v>
      </c>
      <c r="G1083" s="11">
        <v>0.02</v>
      </c>
      <c r="H1083" s="10">
        <v>249.9</v>
      </c>
      <c r="I1083" s="9">
        <v>0</v>
      </c>
      <c r="J1083" s="10">
        <v>0</v>
      </c>
      <c r="K1083" s="9">
        <v>3</v>
      </c>
      <c r="L1083" s="10">
        <v>249.9</v>
      </c>
      <c r="M1083" s="10">
        <v>197.34</v>
      </c>
      <c r="N1083" s="10">
        <v>52.56</v>
      </c>
      <c r="O1083" s="11">
        <f t="shared" si="64"/>
        <v>0.21032412965186076</v>
      </c>
      <c r="P1083" s="10">
        <v>17.54</v>
      </c>
      <c r="Q1083" s="10">
        <v>35.020000000000003</v>
      </c>
      <c r="R1083" s="11">
        <f t="shared" si="65"/>
        <v>0.14013605442176871</v>
      </c>
      <c r="S1083" t="s">
        <v>59</v>
      </c>
      <c r="T1083" t="s">
        <v>86</v>
      </c>
      <c r="U1083" t="s">
        <v>71</v>
      </c>
    </row>
    <row r="1084" spans="1:21" x14ac:dyDescent="0.35">
      <c r="A1084" t="s">
        <v>1211</v>
      </c>
      <c r="B1084" s="5">
        <v>45676</v>
      </c>
      <c r="C1084" t="s">
        <v>84</v>
      </c>
      <c r="D1084" t="s">
        <v>85</v>
      </c>
      <c r="E1084" s="9">
        <v>3</v>
      </c>
      <c r="F1084" s="10">
        <v>48</v>
      </c>
      <c r="G1084" s="11">
        <v>0</v>
      </c>
      <c r="H1084" s="10">
        <v>144</v>
      </c>
      <c r="I1084" s="9">
        <v>0</v>
      </c>
      <c r="J1084" s="10">
        <v>0</v>
      </c>
      <c r="K1084" s="9">
        <v>3</v>
      </c>
      <c r="L1084" s="10">
        <v>144</v>
      </c>
      <c r="M1084" s="10">
        <v>90.46</v>
      </c>
      <c r="N1084" s="10">
        <v>53.54</v>
      </c>
      <c r="O1084" s="11">
        <f t="shared" si="64"/>
        <v>0.37180555555555556</v>
      </c>
      <c r="P1084" s="10">
        <v>12.96</v>
      </c>
      <c r="Q1084" s="10">
        <v>40.58</v>
      </c>
      <c r="R1084" s="11">
        <f t="shared" si="65"/>
        <v>0.28180555555555553</v>
      </c>
      <c r="S1084" t="s">
        <v>65</v>
      </c>
      <c r="T1084" t="s">
        <v>66</v>
      </c>
      <c r="U1084" t="s">
        <v>61</v>
      </c>
    </row>
    <row r="1085" spans="1:21" x14ac:dyDescent="0.35">
      <c r="A1085" t="s">
        <v>1212</v>
      </c>
      <c r="B1085" s="5">
        <v>45963</v>
      </c>
      <c r="C1085" t="s">
        <v>92</v>
      </c>
      <c r="D1085" t="s">
        <v>79</v>
      </c>
      <c r="E1085" s="9">
        <v>1</v>
      </c>
      <c r="F1085" s="10">
        <v>85</v>
      </c>
      <c r="G1085" s="11">
        <v>0</v>
      </c>
      <c r="H1085" s="10">
        <v>85</v>
      </c>
      <c r="I1085" s="9">
        <v>0</v>
      </c>
      <c r="J1085" s="10">
        <v>0</v>
      </c>
      <c r="K1085" s="9">
        <v>1</v>
      </c>
      <c r="L1085" s="10">
        <v>85</v>
      </c>
      <c r="M1085" s="10">
        <v>69.19</v>
      </c>
      <c r="N1085" s="10">
        <v>15.81</v>
      </c>
      <c r="O1085" s="11">
        <f t="shared" si="64"/>
        <v>0.186</v>
      </c>
      <c r="P1085" s="10">
        <v>8.3699999999999992</v>
      </c>
      <c r="Q1085" s="10">
        <v>7.44</v>
      </c>
      <c r="R1085" s="11">
        <f t="shared" si="65"/>
        <v>8.7529411764705883E-2</v>
      </c>
      <c r="S1085" t="s">
        <v>65</v>
      </c>
      <c r="T1085" t="s">
        <v>60</v>
      </c>
      <c r="U1085" t="s">
        <v>61</v>
      </c>
    </row>
    <row r="1086" spans="1:21" x14ac:dyDescent="0.35">
      <c r="A1086" t="s">
        <v>1213</v>
      </c>
      <c r="B1086" s="5">
        <v>45813</v>
      </c>
      <c r="C1086" t="s">
        <v>125</v>
      </c>
      <c r="D1086" t="s">
        <v>85</v>
      </c>
      <c r="E1086" s="9">
        <v>3</v>
      </c>
      <c r="F1086" s="10">
        <v>125</v>
      </c>
      <c r="G1086" s="11">
        <v>0</v>
      </c>
      <c r="H1086" s="10">
        <v>375</v>
      </c>
      <c r="I1086" s="9">
        <v>0</v>
      </c>
      <c r="J1086" s="10">
        <v>0</v>
      </c>
      <c r="K1086" s="9">
        <v>3</v>
      </c>
      <c r="L1086" s="10">
        <v>375</v>
      </c>
      <c r="M1086" s="10">
        <v>234.7</v>
      </c>
      <c r="N1086" s="10">
        <v>140.30000000000001</v>
      </c>
      <c r="O1086" s="11">
        <f t="shared" si="64"/>
        <v>0.37413333333333337</v>
      </c>
      <c r="P1086" s="10">
        <v>19.11</v>
      </c>
      <c r="Q1086" s="10">
        <v>121.19</v>
      </c>
      <c r="R1086" s="11">
        <f t="shared" si="65"/>
        <v>0.32317333333333331</v>
      </c>
      <c r="S1086" t="s">
        <v>81</v>
      </c>
      <c r="T1086" t="s">
        <v>82</v>
      </c>
      <c r="U1086" t="s">
        <v>67</v>
      </c>
    </row>
    <row r="1087" spans="1:21" x14ac:dyDescent="0.35">
      <c r="A1087" t="s">
        <v>1214</v>
      </c>
      <c r="B1087" s="5">
        <v>45743</v>
      </c>
      <c r="C1087" t="s">
        <v>95</v>
      </c>
      <c r="D1087" t="s">
        <v>64</v>
      </c>
      <c r="E1087" s="9">
        <v>1</v>
      </c>
      <c r="F1087" s="10">
        <v>52</v>
      </c>
      <c r="G1087" s="11">
        <v>0.1</v>
      </c>
      <c r="H1087" s="10">
        <v>46.8</v>
      </c>
      <c r="I1087" s="9">
        <v>0</v>
      </c>
      <c r="J1087" s="10">
        <v>0</v>
      </c>
      <c r="K1087" s="9">
        <v>1</v>
      </c>
      <c r="L1087" s="10">
        <v>46.8</v>
      </c>
      <c r="M1087" s="10">
        <v>33.68</v>
      </c>
      <c r="N1087" s="10">
        <v>13.12</v>
      </c>
      <c r="O1087" s="11">
        <f t="shared" si="64"/>
        <v>0.28034188034188035</v>
      </c>
      <c r="P1087" s="10">
        <v>3.65</v>
      </c>
      <c r="Q1087" s="10">
        <v>9.4700000000000006</v>
      </c>
      <c r="R1087" s="11">
        <f t="shared" si="65"/>
        <v>0.20235042735042738</v>
      </c>
      <c r="S1087" t="s">
        <v>65</v>
      </c>
      <c r="T1087" t="s">
        <v>82</v>
      </c>
      <c r="U1087" t="s">
        <v>67</v>
      </c>
    </row>
    <row r="1088" spans="1:21" x14ac:dyDescent="0.35">
      <c r="A1088" t="s">
        <v>1215</v>
      </c>
      <c r="B1088" s="5">
        <v>45758</v>
      </c>
      <c r="C1088" t="s">
        <v>114</v>
      </c>
      <c r="D1088" t="s">
        <v>64</v>
      </c>
      <c r="E1088" s="9">
        <v>2</v>
      </c>
      <c r="F1088" s="10">
        <v>420</v>
      </c>
      <c r="G1088" s="11">
        <v>0</v>
      </c>
      <c r="H1088" s="10">
        <v>840</v>
      </c>
      <c r="I1088" s="9">
        <v>0</v>
      </c>
      <c r="J1088" s="10">
        <v>0</v>
      </c>
      <c r="K1088" s="9">
        <v>2</v>
      </c>
      <c r="L1088" s="10">
        <v>840</v>
      </c>
      <c r="M1088" s="10">
        <v>670.8</v>
      </c>
      <c r="N1088" s="10">
        <v>169.2</v>
      </c>
      <c r="O1088" s="11">
        <f t="shared" si="64"/>
        <v>0.2014285714285714</v>
      </c>
      <c r="P1088" s="10">
        <v>46.56</v>
      </c>
      <c r="Q1088" s="10">
        <v>122.64</v>
      </c>
      <c r="R1088" s="11">
        <f t="shared" si="65"/>
        <v>0.14599999999999999</v>
      </c>
      <c r="S1088" t="s">
        <v>81</v>
      </c>
      <c r="T1088" t="s">
        <v>86</v>
      </c>
      <c r="U1088" t="s">
        <v>61</v>
      </c>
    </row>
    <row r="1089" spans="1:21" x14ac:dyDescent="0.35">
      <c r="A1089" t="s">
        <v>1216</v>
      </c>
      <c r="B1089" s="5">
        <v>45822</v>
      </c>
      <c r="C1089" t="s">
        <v>100</v>
      </c>
      <c r="D1089" t="s">
        <v>64</v>
      </c>
      <c r="E1089" s="9">
        <v>4</v>
      </c>
      <c r="F1089" s="10">
        <v>310</v>
      </c>
      <c r="G1089" s="11">
        <v>0</v>
      </c>
      <c r="H1089" s="10">
        <v>1240</v>
      </c>
      <c r="I1089" s="9">
        <v>0</v>
      </c>
      <c r="J1089" s="10">
        <v>0</v>
      </c>
      <c r="K1089" s="9">
        <v>4</v>
      </c>
      <c r="L1089" s="10">
        <v>1240</v>
      </c>
      <c r="M1089" s="10">
        <v>1033.4000000000001</v>
      </c>
      <c r="N1089" s="10">
        <v>206.6</v>
      </c>
      <c r="O1089" s="11">
        <f t="shared" si="64"/>
        <v>0.16661290322580644</v>
      </c>
      <c r="P1089" s="10">
        <v>114.12</v>
      </c>
      <c r="Q1089" s="10">
        <v>92.48</v>
      </c>
      <c r="R1089" s="11">
        <f t="shared" si="65"/>
        <v>7.4580645161290329E-2</v>
      </c>
      <c r="S1089" t="s">
        <v>65</v>
      </c>
      <c r="T1089" t="s">
        <v>66</v>
      </c>
      <c r="U1089" t="s">
        <v>61</v>
      </c>
    </row>
    <row r="1090" spans="1:21" x14ac:dyDescent="0.35">
      <c r="A1090" t="s">
        <v>1217</v>
      </c>
      <c r="B1090" s="5">
        <v>45964</v>
      </c>
      <c r="C1090" t="s">
        <v>107</v>
      </c>
      <c r="D1090" t="s">
        <v>74</v>
      </c>
      <c r="E1090" s="9">
        <v>4</v>
      </c>
      <c r="F1090" s="10">
        <v>125</v>
      </c>
      <c r="G1090" s="11">
        <v>0.05</v>
      </c>
      <c r="H1090" s="10">
        <v>475</v>
      </c>
      <c r="I1090" s="9">
        <v>0</v>
      </c>
      <c r="J1090" s="10">
        <v>0</v>
      </c>
      <c r="K1090" s="9">
        <v>4</v>
      </c>
      <c r="L1090" s="10">
        <v>475</v>
      </c>
      <c r="M1090" s="10">
        <v>377.34</v>
      </c>
      <c r="N1090" s="10">
        <v>97.66</v>
      </c>
      <c r="O1090" s="11">
        <f t="shared" si="64"/>
        <v>0.2056</v>
      </c>
      <c r="P1090" s="10">
        <v>55.37</v>
      </c>
      <c r="Q1090" s="10">
        <v>42.29</v>
      </c>
      <c r="R1090" s="11">
        <f t="shared" si="65"/>
        <v>8.903157894736842E-2</v>
      </c>
      <c r="S1090" t="s">
        <v>75</v>
      </c>
      <c r="T1090" t="s">
        <v>66</v>
      </c>
      <c r="U1090" t="s">
        <v>61</v>
      </c>
    </row>
    <row r="1091" spans="1:21" x14ac:dyDescent="0.35">
      <c r="A1091" t="s">
        <v>1218</v>
      </c>
      <c r="B1091" s="5">
        <v>45728</v>
      </c>
      <c r="C1091" t="s">
        <v>264</v>
      </c>
      <c r="D1091" t="s">
        <v>85</v>
      </c>
      <c r="E1091" s="9">
        <v>1</v>
      </c>
      <c r="F1091" s="10">
        <v>20</v>
      </c>
      <c r="G1091" s="11">
        <v>0.05</v>
      </c>
      <c r="H1091" s="10">
        <v>19</v>
      </c>
      <c r="I1091" s="9">
        <v>0</v>
      </c>
      <c r="J1091" s="10">
        <v>0</v>
      </c>
      <c r="K1091" s="9">
        <v>1</v>
      </c>
      <c r="L1091" s="10">
        <v>19</v>
      </c>
      <c r="M1091" s="10">
        <v>12.93</v>
      </c>
      <c r="N1091" s="10">
        <v>6.07</v>
      </c>
      <c r="O1091" s="11">
        <f t="shared" si="64"/>
        <v>0.31947368421052635</v>
      </c>
      <c r="P1091" s="10">
        <v>1.54</v>
      </c>
      <c r="Q1091" s="10">
        <v>4.53</v>
      </c>
      <c r="R1091" s="11">
        <f t="shared" si="65"/>
        <v>0.23842105263157895</v>
      </c>
      <c r="S1091" t="s">
        <v>81</v>
      </c>
      <c r="T1091" t="s">
        <v>86</v>
      </c>
      <c r="U1091" t="s">
        <v>71</v>
      </c>
    </row>
    <row r="1092" spans="1:21" x14ac:dyDescent="0.35">
      <c r="A1092" t="s">
        <v>1219</v>
      </c>
      <c r="B1092" s="5">
        <v>45787</v>
      </c>
      <c r="C1092" t="s">
        <v>264</v>
      </c>
      <c r="D1092" t="s">
        <v>85</v>
      </c>
      <c r="E1092" s="9">
        <v>1</v>
      </c>
      <c r="F1092" s="10">
        <v>20</v>
      </c>
      <c r="G1092" s="11">
        <v>0.02</v>
      </c>
      <c r="H1092" s="10">
        <v>19.600000000000001</v>
      </c>
      <c r="I1092" s="9">
        <v>0</v>
      </c>
      <c r="J1092" s="10">
        <v>0</v>
      </c>
      <c r="K1092" s="9">
        <v>1</v>
      </c>
      <c r="L1092" s="10">
        <v>19.600000000000001</v>
      </c>
      <c r="M1092" s="10">
        <v>14.97</v>
      </c>
      <c r="N1092" s="10">
        <v>4.63</v>
      </c>
      <c r="O1092" s="11">
        <f t="shared" si="64"/>
        <v>0.23622448979591834</v>
      </c>
      <c r="P1092" s="10">
        <v>1.66</v>
      </c>
      <c r="Q1092" s="10">
        <v>2.97</v>
      </c>
      <c r="R1092" s="11">
        <f t="shared" si="65"/>
        <v>0.15153061224489797</v>
      </c>
      <c r="S1092" t="s">
        <v>75</v>
      </c>
      <c r="T1092" t="s">
        <v>60</v>
      </c>
      <c r="U1092" t="s">
        <v>61</v>
      </c>
    </row>
    <row r="1093" spans="1:21" x14ac:dyDescent="0.35">
      <c r="A1093" t="s">
        <v>1220</v>
      </c>
      <c r="B1093" s="5">
        <v>45991</v>
      </c>
      <c r="C1093" t="s">
        <v>104</v>
      </c>
      <c r="D1093" t="s">
        <v>105</v>
      </c>
      <c r="E1093" s="9">
        <v>5</v>
      </c>
      <c r="F1093" s="10">
        <v>65</v>
      </c>
      <c r="G1093" s="11">
        <v>0</v>
      </c>
      <c r="H1093" s="10">
        <v>325</v>
      </c>
      <c r="I1093" s="9">
        <v>0</v>
      </c>
      <c r="J1093" s="10">
        <v>0</v>
      </c>
      <c r="K1093" s="9">
        <v>5</v>
      </c>
      <c r="L1093" s="10">
        <v>325</v>
      </c>
      <c r="M1093" s="10">
        <v>274.16000000000003</v>
      </c>
      <c r="N1093" s="10">
        <v>50.84</v>
      </c>
      <c r="O1093" s="11">
        <f t="shared" si="64"/>
        <v>0.15643076923076923</v>
      </c>
      <c r="P1093" s="10">
        <v>35.700000000000003</v>
      </c>
      <c r="Q1093" s="10">
        <v>15.14</v>
      </c>
      <c r="R1093" s="11">
        <f t="shared" si="65"/>
        <v>4.6584615384615384E-2</v>
      </c>
      <c r="S1093" t="s">
        <v>65</v>
      </c>
      <c r="T1093" t="s">
        <v>60</v>
      </c>
      <c r="U1093" t="s">
        <v>71</v>
      </c>
    </row>
    <row r="1094" spans="1:21" x14ac:dyDescent="0.35">
      <c r="A1094" t="s">
        <v>1221</v>
      </c>
      <c r="B1094" s="5">
        <v>45879</v>
      </c>
      <c r="C1094" t="s">
        <v>84</v>
      </c>
      <c r="D1094" t="s">
        <v>85</v>
      </c>
      <c r="E1094" s="9">
        <v>1</v>
      </c>
      <c r="F1094" s="10">
        <v>48</v>
      </c>
      <c r="G1094" s="11">
        <v>0</v>
      </c>
      <c r="H1094" s="10">
        <v>48</v>
      </c>
      <c r="I1094" s="9">
        <v>0</v>
      </c>
      <c r="J1094" s="10">
        <v>0</v>
      </c>
      <c r="K1094" s="9">
        <v>1</v>
      </c>
      <c r="L1094" s="10">
        <v>48</v>
      </c>
      <c r="M1094" s="10">
        <v>38.28</v>
      </c>
      <c r="N1094" s="10">
        <v>9.7200000000000006</v>
      </c>
      <c r="O1094" s="11">
        <f t="shared" si="64"/>
        <v>0.20250000000000001</v>
      </c>
      <c r="P1094" s="10">
        <v>5.23</v>
      </c>
      <c r="Q1094" s="10">
        <v>4.49</v>
      </c>
      <c r="R1094" s="11">
        <f t="shared" si="65"/>
        <v>9.3541666666666676E-2</v>
      </c>
      <c r="S1094" t="s">
        <v>75</v>
      </c>
      <c r="T1094" t="s">
        <v>82</v>
      </c>
      <c r="U1094" t="s">
        <v>61</v>
      </c>
    </row>
    <row r="1095" spans="1:21" x14ac:dyDescent="0.35">
      <c r="A1095" t="s">
        <v>1222</v>
      </c>
      <c r="B1095" s="5">
        <v>45704</v>
      </c>
      <c r="C1095" t="s">
        <v>104</v>
      </c>
      <c r="D1095" t="s">
        <v>105</v>
      </c>
      <c r="E1095" s="9">
        <v>1</v>
      </c>
      <c r="F1095" s="10">
        <v>65</v>
      </c>
      <c r="G1095" s="11">
        <v>0.05</v>
      </c>
      <c r="H1095" s="10">
        <v>61.75</v>
      </c>
      <c r="I1095" s="9">
        <v>0</v>
      </c>
      <c r="J1095" s="10">
        <v>0</v>
      </c>
      <c r="K1095" s="9">
        <v>1</v>
      </c>
      <c r="L1095" s="10">
        <v>61.75</v>
      </c>
      <c r="M1095" s="10">
        <v>50.02</v>
      </c>
      <c r="N1095" s="10">
        <v>11.73</v>
      </c>
      <c r="O1095" s="11">
        <f t="shared" si="64"/>
        <v>0.18995951417004051</v>
      </c>
      <c r="P1095" s="10">
        <v>5.0599999999999996</v>
      </c>
      <c r="Q1095" s="10">
        <v>6.67</v>
      </c>
      <c r="R1095" s="11">
        <f t="shared" si="65"/>
        <v>0.10801619433198381</v>
      </c>
      <c r="S1095" t="s">
        <v>75</v>
      </c>
      <c r="T1095" t="s">
        <v>60</v>
      </c>
      <c r="U1095" t="s">
        <v>76</v>
      </c>
    </row>
    <row r="1096" spans="1:21" x14ac:dyDescent="0.35">
      <c r="A1096" t="s">
        <v>1223</v>
      </c>
      <c r="B1096" s="5">
        <v>45927</v>
      </c>
      <c r="C1096" t="s">
        <v>69</v>
      </c>
      <c r="D1096" t="s">
        <v>70</v>
      </c>
      <c r="E1096" s="9">
        <v>3</v>
      </c>
      <c r="F1096" s="10">
        <v>210</v>
      </c>
      <c r="G1096" s="11">
        <v>0.05</v>
      </c>
      <c r="H1096" s="10">
        <v>598.5</v>
      </c>
      <c r="I1096" s="9">
        <v>0</v>
      </c>
      <c r="J1096" s="10">
        <v>0</v>
      </c>
      <c r="K1096" s="9">
        <v>3</v>
      </c>
      <c r="L1096" s="10">
        <v>598.5</v>
      </c>
      <c r="M1096" s="10">
        <v>419.79</v>
      </c>
      <c r="N1096" s="10">
        <v>178.71</v>
      </c>
      <c r="O1096" s="11">
        <f t="shared" si="64"/>
        <v>0.29859649122807019</v>
      </c>
      <c r="P1096" s="10">
        <v>43.26</v>
      </c>
      <c r="Q1096" s="10">
        <v>135.44999999999999</v>
      </c>
      <c r="R1096" s="11">
        <f t="shared" si="65"/>
        <v>0.22631578947368419</v>
      </c>
      <c r="S1096" t="s">
        <v>65</v>
      </c>
      <c r="T1096" t="s">
        <v>60</v>
      </c>
      <c r="U1096" t="s">
        <v>71</v>
      </c>
    </row>
    <row r="1097" spans="1:21" x14ac:dyDescent="0.35">
      <c r="A1097" t="s">
        <v>1224</v>
      </c>
      <c r="B1097" s="5">
        <v>45763</v>
      </c>
      <c r="C1097" t="s">
        <v>104</v>
      </c>
      <c r="D1097" t="s">
        <v>105</v>
      </c>
      <c r="E1097" s="9">
        <v>2</v>
      </c>
      <c r="F1097" s="10">
        <v>65</v>
      </c>
      <c r="G1097" s="11">
        <v>0</v>
      </c>
      <c r="H1097" s="10">
        <v>130</v>
      </c>
      <c r="I1097" s="9">
        <v>0</v>
      </c>
      <c r="J1097" s="10">
        <v>0</v>
      </c>
      <c r="K1097" s="9">
        <v>2</v>
      </c>
      <c r="L1097" s="10">
        <v>130</v>
      </c>
      <c r="M1097" s="10">
        <v>94.2</v>
      </c>
      <c r="N1097" s="10">
        <v>35.799999999999997</v>
      </c>
      <c r="O1097" s="11">
        <f t="shared" si="64"/>
        <v>0.27538461538461534</v>
      </c>
      <c r="P1097" s="10">
        <v>6.67</v>
      </c>
      <c r="Q1097" s="10">
        <v>29.13</v>
      </c>
      <c r="R1097" s="11">
        <f t="shared" si="65"/>
        <v>0.22407692307692306</v>
      </c>
      <c r="S1097" t="s">
        <v>59</v>
      </c>
      <c r="T1097" t="s">
        <v>60</v>
      </c>
      <c r="U1097" t="s">
        <v>67</v>
      </c>
    </row>
    <row r="1098" spans="1:21" x14ac:dyDescent="0.35">
      <c r="A1098" t="s">
        <v>1225</v>
      </c>
      <c r="B1098" s="5">
        <v>45837</v>
      </c>
      <c r="C1098" t="s">
        <v>95</v>
      </c>
      <c r="D1098" t="s">
        <v>64</v>
      </c>
      <c r="E1098" s="9">
        <v>4</v>
      </c>
      <c r="F1098" s="10">
        <v>52</v>
      </c>
      <c r="G1098" s="11">
        <v>0.1</v>
      </c>
      <c r="H1098" s="10">
        <v>187.2</v>
      </c>
      <c r="I1098" s="9">
        <v>0</v>
      </c>
      <c r="J1098" s="10">
        <v>0</v>
      </c>
      <c r="K1098" s="9">
        <v>4</v>
      </c>
      <c r="L1098" s="10">
        <v>187.2</v>
      </c>
      <c r="M1098" s="10">
        <v>118.66</v>
      </c>
      <c r="N1098" s="10">
        <v>68.540000000000006</v>
      </c>
      <c r="O1098" s="11">
        <f t="shared" si="64"/>
        <v>0.36613247863247866</v>
      </c>
      <c r="P1098" s="10">
        <v>20.09</v>
      </c>
      <c r="Q1098" s="10">
        <v>48.45</v>
      </c>
      <c r="R1098" s="11">
        <f t="shared" si="65"/>
        <v>0.25881410256410259</v>
      </c>
      <c r="S1098" t="s">
        <v>65</v>
      </c>
      <c r="T1098" t="s">
        <v>86</v>
      </c>
      <c r="U1098" t="s">
        <v>61</v>
      </c>
    </row>
    <row r="1099" spans="1:21" x14ac:dyDescent="0.35">
      <c r="A1099" t="s">
        <v>1226</v>
      </c>
      <c r="B1099" s="5">
        <v>45919</v>
      </c>
      <c r="C1099" t="s">
        <v>100</v>
      </c>
      <c r="D1099" t="s">
        <v>64</v>
      </c>
      <c r="E1099" s="9">
        <v>3</v>
      </c>
      <c r="F1099" s="10">
        <v>310</v>
      </c>
      <c r="G1099" s="11">
        <v>0</v>
      </c>
      <c r="H1099" s="10">
        <v>930</v>
      </c>
      <c r="I1099" s="9">
        <v>0</v>
      </c>
      <c r="J1099" s="10">
        <v>0</v>
      </c>
      <c r="K1099" s="9">
        <v>3</v>
      </c>
      <c r="L1099" s="10">
        <v>930</v>
      </c>
      <c r="M1099" s="10">
        <v>611.83000000000004</v>
      </c>
      <c r="N1099" s="10">
        <v>318.17</v>
      </c>
      <c r="O1099" s="11">
        <f t="shared" si="64"/>
        <v>0.34211827956989249</v>
      </c>
      <c r="P1099" s="10">
        <v>83.15</v>
      </c>
      <c r="Q1099" s="10">
        <v>235.02</v>
      </c>
      <c r="R1099" s="11">
        <f t="shared" si="65"/>
        <v>0.25270967741935485</v>
      </c>
      <c r="S1099" t="s">
        <v>65</v>
      </c>
      <c r="T1099" t="s">
        <v>60</v>
      </c>
      <c r="U1099" t="s">
        <v>71</v>
      </c>
    </row>
    <row r="1100" spans="1:21" x14ac:dyDescent="0.35">
      <c r="A1100" t="s">
        <v>1227</v>
      </c>
      <c r="B1100" s="5">
        <v>45865</v>
      </c>
      <c r="C1100" t="s">
        <v>121</v>
      </c>
      <c r="D1100" t="s">
        <v>70</v>
      </c>
      <c r="E1100" s="9">
        <v>5</v>
      </c>
      <c r="F1100" s="10">
        <v>110</v>
      </c>
      <c r="G1100" s="11">
        <v>0</v>
      </c>
      <c r="H1100" s="10">
        <v>550</v>
      </c>
      <c r="I1100" s="9">
        <v>0</v>
      </c>
      <c r="J1100" s="10">
        <v>0</v>
      </c>
      <c r="K1100" s="9">
        <v>5</v>
      </c>
      <c r="L1100" s="10">
        <v>550</v>
      </c>
      <c r="M1100" s="10">
        <v>369.88</v>
      </c>
      <c r="N1100" s="10">
        <v>180.12</v>
      </c>
      <c r="O1100" s="11">
        <f t="shared" si="64"/>
        <v>0.32749090909090911</v>
      </c>
      <c r="P1100" s="10">
        <v>34.340000000000003</v>
      </c>
      <c r="Q1100" s="10">
        <v>145.78</v>
      </c>
      <c r="R1100" s="11">
        <f t="shared" si="65"/>
        <v>0.26505454545454543</v>
      </c>
      <c r="S1100" t="s">
        <v>75</v>
      </c>
      <c r="T1100" t="s">
        <v>60</v>
      </c>
      <c r="U1100" t="s">
        <v>61</v>
      </c>
    </row>
    <row r="1101" spans="1:21" x14ac:dyDescent="0.35">
      <c r="A1101" t="s">
        <v>1228</v>
      </c>
      <c r="B1101" s="5">
        <v>45664</v>
      </c>
      <c r="C1101" t="s">
        <v>56</v>
      </c>
      <c r="D1101" t="s">
        <v>57</v>
      </c>
      <c r="E1101" s="9">
        <v>5</v>
      </c>
      <c r="F1101" s="10">
        <v>40</v>
      </c>
      <c r="G1101" s="11">
        <v>0</v>
      </c>
      <c r="H1101" s="10">
        <v>200</v>
      </c>
      <c r="I1101" s="9">
        <v>0</v>
      </c>
      <c r="J1101" s="10">
        <v>0</v>
      </c>
      <c r="K1101" s="9">
        <v>5</v>
      </c>
      <c r="L1101" s="10">
        <v>200</v>
      </c>
      <c r="M1101" s="10">
        <v>155.41999999999999</v>
      </c>
      <c r="N1101" s="10">
        <v>44.58</v>
      </c>
      <c r="O1101" s="11">
        <f t="shared" si="64"/>
        <v>0.22289999999999999</v>
      </c>
      <c r="P1101" s="10">
        <v>19.38</v>
      </c>
      <c r="Q1101" s="10">
        <v>25.2</v>
      </c>
      <c r="R1101" s="11">
        <f t="shared" si="65"/>
        <v>0.126</v>
      </c>
      <c r="S1101" t="s">
        <v>65</v>
      </c>
      <c r="T1101" t="s">
        <v>86</v>
      </c>
      <c r="U1101" t="s">
        <v>76</v>
      </c>
    </row>
    <row r="1102" spans="1:21" x14ac:dyDescent="0.35">
      <c r="A1102" t="s">
        <v>1229</v>
      </c>
      <c r="B1102" s="5">
        <v>45987</v>
      </c>
      <c r="C1102" t="s">
        <v>56</v>
      </c>
      <c r="D1102" t="s">
        <v>57</v>
      </c>
      <c r="E1102" s="9">
        <v>1</v>
      </c>
      <c r="F1102" s="10">
        <v>40</v>
      </c>
      <c r="G1102" s="11">
        <v>0.15</v>
      </c>
      <c r="H1102" s="10">
        <v>34</v>
      </c>
      <c r="I1102" s="9">
        <v>0</v>
      </c>
      <c r="J1102" s="10">
        <v>0</v>
      </c>
      <c r="K1102" s="9">
        <v>1</v>
      </c>
      <c r="L1102" s="10">
        <v>34</v>
      </c>
      <c r="M1102" s="10">
        <v>22.12</v>
      </c>
      <c r="N1102" s="10">
        <v>11.88</v>
      </c>
      <c r="O1102" s="11">
        <f t="shared" si="64"/>
        <v>0.34941176470588237</v>
      </c>
      <c r="P1102" s="10">
        <v>4.09</v>
      </c>
      <c r="Q1102" s="10">
        <v>7.79</v>
      </c>
      <c r="R1102" s="11">
        <f t="shared" si="65"/>
        <v>0.22911764705882354</v>
      </c>
      <c r="S1102" t="s">
        <v>65</v>
      </c>
      <c r="T1102" t="s">
        <v>60</v>
      </c>
      <c r="U1102" t="s">
        <v>61</v>
      </c>
    </row>
    <row r="1103" spans="1:21" x14ac:dyDescent="0.35">
      <c r="A1103" t="s">
        <v>1230</v>
      </c>
      <c r="B1103" s="5">
        <v>45823</v>
      </c>
      <c r="C1103" t="s">
        <v>90</v>
      </c>
      <c r="D1103" t="s">
        <v>70</v>
      </c>
      <c r="E1103" s="9">
        <v>3</v>
      </c>
      <c r="F1103" s="10">
        <v>38</v>
      </c>
      <c r="G1103" s="11">
        <v>0.05</v>
      </c>
      <c r="H1103" s="10">
        <v>108.3</v>
      </c>
      <c r="I1103" s="9">
        <v>0</v>
      </c>
      <c r="J1103" s="10">
        <v>0</v>
      </c>
      <c r="K1103" s="9">
        <v>3</v>
      </c>
      <c r="L1103" s="10">
        <v>108.3</v>
      </c>
      <c r="M1103" s="10">
        <v>82.31</v>
      </c>
      <c r="N1103" s="10">
        <v>25.99</v>
      </c>
      <c r="O1103" s="11">
        <f t="shared" si="64"/>
        <v>0.23998153277931669</v>
      </c>
      <c r="P1103" s="10">
        <v>11.09</v>
      </c>
      <c r="Q1103" s="10">
        <v>14.9</v>
      </c>
      <c r="R1103" s="11">
        <f t="shared" si="65"/>
        <v>0.1375807940904894</v>
      </c>
      <c r="S1103" t="s">
        <v>81</v>
      </c>
      <c r="T1103" t="s">
        <v>82</v>
      </c>
      <c r="U1103" t="s">
        <v>76</v>
      </c>
    </row>
    <row r="1104" spans="1:21" x14ac:dyDescent="0.35">
      <c r="A1104" t="s">
        <v>1231</v>
      </c>
      <c r="B1104" s="5">
        <v>45773</v>
      </c>
      <c r="C1104" t="s">
        <v>90</v>
      </c>
      <c r="D1104" t="s">
        <v>70</v>
      </c>
      <c r="E1104" s="9">
        <v>1</v>
      </c>
      <c r="F1104" s="10">
        <v>38</v>
      </c>
      <c r="G1104" s="11">
        <v>0</v>
      </c>
      <c r="H1104" s="10">
        <v>38</v>
      </c>
      <c r="I1104" s="9">
        <v>0</v>
      </c>
      <c r="J1104" s="10">
        <v>0</v>
      </c>
      <c r="K1104" s="9">
        <v>1</v>
      </c>
      <c r="L1104" s="10">
        <v>38</v>
      </c>
      <c r="M1104" s="10">
        <v>28.89</v>
      </c>
      <c r="N1104" s="10">
        <v>9.11</v>
      </c>
      <c r="O1104" s="11">
        <f t="shared" ref="O1104:O1167" si="66">N1104/L1104</f>
        <v>0.23973684210526314</v>
      </c>
      <c r="P1104" s="10">
        <v>2.0499999999999998</v>
      </c>
      <c r="Q1104" s="10">
        <v>7.06</v>
      </c>
      <c r="R1104" s="11">
        <f t="shared" ref="R1104:R1167" si="67">Q1104/L1104</f>
        <v>0.1857894736842105</v>
      </c>
      <c r="S1104" t="s">
        <v>75</v>
      </c>
      <c r="T1104" t="s">
        <v>82</v>
      </c>
      <c r="U1104" t="s">
        <v>61</v>
      </c>
    </row>
    <row r="1105" spans="1:21" x14ac:dyDescent="0.35">
      <c r="A1105" t="s">
        <v>1232</v>
      </c>
      <c r="B1105" s="5">
        <v>45806</v>
      </c>
      <c r="C1105" t="s">
        <v>100</v>
      </c>
      <c r="D1105" t="s">
        <v>64</v>
      </c>
      <c r="E1105" s="9">
        <v>1</v>
      </c>
      <c r="F1105" s="10">
        <v>310</v>
      </c>
      <c r="G1105" s="11">
        <v>0.05</v>
      </c>
      <c r="H1105" s="10">
        <v>294.5</v>
      </c>
      <c r="I1105" s="9">
        <v>0</v>
      </c>
      <c r="J1105" s="10">
        <v>0</v>
      </c>
      <c r="K1105" s="9">
        <v>1</v>
      </c>
      <c r="L1105" s="10">
        <v>294.5</v>
      </c>
      <c r="M1105" s="10">
        <v>248.54</v>
      </c>
      <c r="N1105" s="10">
        <v>45.96</v>
      </c>
      <c r="O1105" s="11">
        <f t="shared" si="66"/>
        <v>0.15606112054329371</v>
      </c>
      <c r="P1105" s="10">
        <v>25.07</v>
      </c>
      <c r="Q1105" s="10">
        <v>20.89</v>
      </c>
      <c r="R1105" s="11">
        <f t="shared" si="67"/>
        <v>7.0933786078098471E-2</v>
      </c>
      <c r="S1105" t="s">
        <v>81</v>
      </c>
      <c r="T1105" t="s">
        <v>66</v>
      </c>
      <c r="U1105" t="s">
        <v>67</v>
      </c>
    </row>
    <row r="1106" spans="1:21" x14ac:dyDescent="0.35">
      <c r="A1106" t="s">
        <v>1233</v>
      </c>
      <c r="B1106" s="5">
        <v>45676</v>
      </c>
      <c r="C1106" t="s">
        <v>90</v>
      </c>
      <c r="D1106" t="s">
        <v>70</v>
      </c>
      <c r="E1106" s="9">
        <v>1</v>
      </c>
      <c r="F1106" s="10">
        <v>38</v>
      </c>
      <c r="G1106" s="11">
        <v>0.02</v>
      </c>
      <c r="H1106" s="10">
        <v>37.24</v>
      </c>
      <c r="I1106" s="9">
        <v>0</v>
      </c>
      <c r="J1106" s="10">
        <v>0</v>
      </c>
      <c r="K1106" s="9">
        <v>1</v>
      </c>
      <c r="L1106" s="10">
        <v>37.24</v>
      </c>
      <c r="M1106" s="10">
        <v>27.4</v>
      </c>
      <c r="N1106" s="10">
        <v>9.84</v>
      </c>
      <c r="O1106" s="11">
        <f t="shared" si="66"/>
        <v>0.26423200859291085</v>
      </c>
      <c r="P1106" s="10">
        <v>2.5</v>
      </c>
      <c r="Q1106" s="10">
        <v>7.34</v>
      </c>
      <c r="R1106" s="11">
        <f t="shared" si="67"/>
        <v>0.19709989258861438</v>
      </c>
      <c r="S1106" t="s">
        <v>59</v>
      </c>
      <c r="T1106" t="s">
        <v>86</v>
      </c>
      <c r="U1106" t="s">
        <v>71</v>
      </c>
    </row>
    <row r="1107" spans="1:21" x14ac:dyDescent="0.35">
      <c r="A1107" t="s">
        <v>1234</v>
      </c>
      <c r="B1107" s="5">
        <v>45671</v>
      </c>
      <c r="C1107" t="s">
        <v>97</v>
      </c>
      <c r="D1107" t="s">
        <v>57</v>
      </c>
      <c r="E1107" s="9">
        <v>3</v>
      </c>
      <c r="F1107" s="10">
        <v>55</v>
      </c>
      <c r="G1107" s="11">
        <v>0</v>
      </c>
      <c r="H1107" s="10">
        <v>165</v>
      </c>
      <c r="I1107" s="9">
        <v>0</v>
      </c>
      <c r="J1107" s="10">
        <v>0</v>
      </c>
      <c r="K1107" s="9">
        <v>3</v>
      </c>
      <c r="L1107" s="10">
        <v>165</v>
      </c>
      <c r="M1107" s="10">
        <v>135.38999999999999</v>
      </c>
      <c r="N1107" s="10">
        <v>29.61</v>
      </c>
      <c r="O1107" s="11">
        <f t="shared" si="66"/>
        <v>0.17945454545454545</v>
      </c>
      <c r="P1107" s="10">
        <v>19.13</v>
      </c>
      <c r="Q1107" s="10">
        <v>10.48</v>
      </c>
      <c r="R1107" s="11">
        <f t="shared" si="67"/>
        <v>6.3515151515151524E-2</v>
      </c>
      <c r="S1107" t="s">
        <v>75</v>
      </c>
      <c r="T1107" t="s">
        <v>60</v>
      </c>
      <c r="U1107" t="s">
        <v>61</v>
      </c>
    </row>
    <row r="1108" spans="1:21" x14ac:dyDescent="0.35">
      <c r="A1108" t="s">
        <v>1235</v>
      </c>
      <c r="B1108" s="5">
        <v>45771</v>
      </c>
      <c r="C1108" t="s">
        <v>95</v>
      </c>
      <c r="D1108" t="s">
        <v>64</v>
      </c>
      <c r="E1108" s="9">
        <v>3</v>
      </c>
      <c r="F1108" s="10">
        <v>52</v>
      </c>
      <c r="G1108" s="11">
        <v>0.02</v>
      </c>
      <c r="H1108" s="10">
        <v>152.88</v>
      </c>
      <c r="I1108" s="9">
        <v>0</v>
      </c>
      <c r="J1108" s="10">
        <v>0</v>
      </c>
      <c r="K1108" s="9">
        <v>3</v>
      </c>
      <c r="L1108" s="10">
        <v>152.88</v>
      </c>
      <c r="M1108" s="10">
        <v>118.17</v>
      </c>
      <c r="N1108" s="10">
        <v>34.71</v>
      </c>
      <c r="O1108" s="11">
        <f t="shared" si="66"/>
        <v>0.22704081632653061</v>
      </c>
      <c r="P1108" s="10">
        <v>10.39</v>
      </c>
      <c r="Q1108" s="10">
        <v>24.32</v>
      </c>
      <c r="R1108" s="11">
        <f t="shared" si="67"/>
        <v>0.15907901622187337</v>
      </c>
      <c r="S1108" t="s">
        <v>75</v>
      </c>
      <c r="T1108" t="s">
        <v>60</v>
      </c>
      <c r="U1108" t="s">
        <v>76</v>
      </c>
    </row>
    <row r="1109" spans="1:21" x14ac:dyDescent="0.35">
      <c r="A1109" t="s">
        <v>1236</v>
      </c>
      <c r="B1109" s="5">
        <v>46019</v>
      </c>
      <c r="C1109" t="s">
        <v>264</v>
      </c>
      <c r="D1109" t="s">
        <v>85</v>
      </c>
      <c r="E1109" s="9">
        <v>1</v>
      </c>
      <c r="F1109" s="10">
        <v>20</v>
      </c>
      <c r="G1109" s="11">
        <v>0</v>
      </c>
      <c r="H1109" s="10">
        <v>20</v>
      </c>
      <c r="I1109" s="9">
        <v>0</v>
      </c>
      <c r="J1109" s="10">
        <v>0</v>
      </c>
      <c r="K1109" s="9">
        <v>1</v>
      </c>
      <c r="L1109" s="10">
        <v>20</v>
      </c>
      <c r="M1109" s="10">
        <v>14.19</v>
      </c>
      <c r="N1109" s="10">
        <v>5.81</v>
      </c>
      <c r="O1109" s="11">
        <f t="shared" si="66"/>
        <v>0.29049999999999998</v>
      </c>
      <c r="P1109" s="10">
        <v>1.94</v>
      </c>
      <c r="Q1109" s="10">
        <v>3.87</v>
      </c>
      <c r="R1109" s="11">
        <f t="shared" si="67"/>
        <v>0.19350000000000001</v>
      </c>
      <c r="S1109" t="s">
        <v>75</v>
      </c>
      <c r="T1109" t="s">
        <v>66</v>
      </c>
      <c r="U1109" t="s">
        <v>67</v>
      </c>
    </row>
    <row r="1110" spans="1:21" x14ac:dyDescent="0.35">
      <c r="A1110" t="s">
        <v>1237</v>
      </c>
      <c r="B1110" s="5">
        <v>45969</v>
      </c>
      <c r="C1110" t="s">
        <v>73</v>
      </c>
      <c r="D1110" t="s">
        <v>74</v>
      </c>
      <c r="E1110" s="9">
        <v>5</v>
      </c>
      <c r="F1110" s="10">
        <v>280</v>
      </c>
      <c r="G1110" s="11">
        <v>0.02</v>
      </c>
      <c r="H1110" s="10">
        <v>1372</v>
      </c>
      <c r="I1110" s="9">
        <v>0</v>
      </c>
      <c r="J1110" s="10">
        <v>0</v>
      </c>
      <c r="K1110" s="9">
        <v>5</v>
      </c>
      <c r="L1110" s="10">
        <v>1372</v>
      </c>
      <c r="M1110" s="10">
        <v>1089.33</v>
      </c>
      <c r="N1110" s="10">
        <v>282.67</v>
      </c>
      <c r="O1110" s="11">
        <f t="shared" si="66"/>
        <v>0.20602769679300292</v>
      </c>
      <c r="P1110" s="10">
        <v>102.73</v>
      </c>
      <c r="Q1110" s="10">
        <v>179.94</v>
      </c>
      <c r="R1110" s="11">
        <f t="shared" si="67"/>
        <v>0.13115160349854227</v>
      </c>
      <c r="S1110" t="s">
        <v>65</v>
      </c>
      <c r="T1110" t="s">
        <v>86</v>
      </c>
      <c r="U1110" t="s">
        <v>71</v>
      </c>
    </row>
    <row r="1111" spans="1:21" x14ac:dyDescent="0.35">
      <c r="A1111" t="s">
        <v>1238</v>
      </c>
      <c r="B1111" s="5">
        <v>45857</v>
      </c>
      <c r="C1111" t="s">
        <v>100</v>
      </c>
      <c r="D1111" t="s">
        <v>64</v>
      </c>
      <c r="E1111" s="9">
        <v>1</v>
      </c>
      <c r="F1111" s="10">
        <v>310</v>
      </c>
      <c r="G1111" s="11">
        <v>0.05</v>
      </c>
      <c r="H1111" s="10">
        <v>294.5</v>
      </c>
      <c r="I1111" s="9">
        <v>0</v>
      </c>
      <c r="J1111" s="10">
        <v>0</v>
      </c>
      <c r="K1111" s="9">
        <v>1</v>
      </c>
      <c r="L1111" s="10">
        <v>294.5</v>
      </c>
      <c r="M1111" s="10">
        <v>203.67</v>
      </c>
      <c r="N1111" s="10">
        <v>90.83</v>
      </c>
      <c r="O1111" s="11">
        <f t="shared" si="66"/>
        <v>0.30842105263157893</v>
      </c>
      <c r="P1111" s="10">
        <v>26.57</v>
      </c>
      <c r="Q1111" s="10">
        <v>64.260000000000005</v>
      </c>
      <c r="R1111" s="11">
        <f t="shared" si="67"/>
        <v>0.21820033955857387</v>
      </c>
      <c r="S1111" t="s">
        <v>81</v>
      </c>
      <c r="T1111" t="s">
        <v>66</v>
      </c>
      <c r="U1111" t="s">
        <v>76</v>
      </c>
    </row>
    <row r="1112" spans="1:21" x14ac:dyDescent="0.35">
      <c r="A1112" t="s">
        <v>1239</v>
      </c>
      <c r="B1112" s="5">
        <v>45735</v>
      </c>
      <c r="C1112" t="s">
        <v>69</v>
      </c>
      <c r="D1112" t="s">
        <v>70</v>
      </c>
      <c r="E1112" s="9">
        <v>2</v>
      </c>
      <c r="F1112" s="10">
        <v>210</v>
      </c>
      <c r="G1112" s="11">
        <v>0.1</v>
      </c>
      <c r="H1112" s="10">
        <v>378</v>
      </c>
      <c r="I1112" s="9">
        <v>0</v>
      </c>
      <c r="J1112" s="10">
        <v>0</v>
      </c>
      <c r="K1112" s="9">
        <v>2</v>
      </c>
      <c r="L1112" s="10">
        <v>378</v>
      </c>
      <c r="M1112" s="10">
        <v>305.17</v>
      </c>
      <c r="N1112" s="10">
        <v>72.83</v>
      </c>
      <c r="O1112" s="11">
        <f t="shared" si="66"/>
        <v>0.19267195767195766</v>
      </c>
      <c r="P1112" s="10">
        <v>37.25</v>
      </c>
      <c r="Q1112" s="10">
        <v>35.58</v>
      </c>
      <c r="R1112" s="11">
        <f t="shared" si="67"/>
        <v>9.4126984126984128E-2</v>
      </c>
      <c r="S1112" t="s">
        <v>81</v>
      </c>
      <c r="T1112" t="s">
        <v>66</v>
      </c>
      <c r="U1112" t="s">
        <v>61</v>
      </c>
    </row>
    <row r="1113" spans="1:21" x14ac:dyDescent="0.35">
      <c r="A1113" t="s">
        <v>1240</v>
      </c>
      <c r="B1113" s="5">
        <v>45891</v>
      </c>
      <c r="C1113" t="s">
        <v>69</v>
      </c>
      <c r="D1113" t="s">
        <v>70</v>
      </c>
      <c r="E1113" s="9">
        <v>3</v>
      </c>
      <c r="F1113" s="10">
        <v>210</v>
      </c>
      <c r="G1113" s="11">
        <v>0.15</v>
      </c>
      <c r="H1113" s="10">
        <v>535.5</v>
      </c>
      <c r="I1113" s="9">
        <v>0</v>
      </c>
      <c r="J1113" s="10">
        <v>0</v>
      </c>
      <c r="K1113" s="9">
        <v>3</v>
      </c>
      <c r="L1113" s="10">
        <v>535.5</v>
      </c>
      <c r="M1113" s="10">
        <v>426.12</v>
      </c>
      <c r="N1113" s="10">
        <v>109.38</v>
      </c>
      <c r="O1113" s="11">
        <f t="shared" si="66"/>
        <v>0.20425770308123248</v>
      </c>
      <c r="P1113" s="10">
        <v>64.150000000000006</v>
      </c>
      <c r="Q1113" s="10">
        <v>45.23</v>
      </c>
      <c r="R1113" s="11">
        <f t="shared" si="67"/>
        <v>8.4463118580765634E-2</v>
      </c>
      <c r="S1113" t="s">
        <v>65</v>
      </c>
      <c r="T1113" t="s">
        <v>86</v>
      </c>
      <c r="U1113" t="s">
        <v>71</v>
      </c>
    </row>
    <row r="1114" spans="1:21" x14ac:dyDescent="0.35">
      <c r="A1114" t="s">
        <v>1241</v>
      </c>
      <c r="B1114" s="5">
        <v>45752</v>
      </c>
      <c r="C1114" t="s">
        <v>107</v>
      </c>
      <c r="D1114" t="s">
        <v>74</v>
      </c>
      <c r="E1114" s="9">
        <v>3</v>
      </c>
      <c r="F1114" s="10">
        <v>125</v>
      </c>
      <c r="G1114" s="11">
        <v>0.05</v>
      </c>
      <c r="H1114" s="10">
        <v>356.25</v>
      </c>
      <c r="I1114" s="9">
        <v>0</v>
      </c>
      <c r="J1114" s="10">
        <v>0</v>
      </c>
      <c r="K1114" s="9">
        <v>3</v>
      </c>
      <c r="L1114" s="10">
        <v>356.25</v>
      </c>
      <c r="M1114" s="10">
        <v>258.82</v>
      </c>
      <c r="N1114" s="10">
        <v>97.43</v>
      </c>
      <c r="O1114" s="11">
        <f t="shared" si="66"/>
        <v>0.27348771929824561</v>
      </c>
      <c r="P1114" s="10">
        <v>32.83</v>
      </c>
      <c r="Q1114" s="10">
        <v>64.599999999999994</v>
      </c>
      <c r="R1114" s="11">
        <f t="shared" si="67"/>
        <v>0.18133333333333332</v>
      </c>
      <c r="S1114" t="s">
        <v>59</v>
      </c>
      <c r="T1114" t="s">
        <v>66</v>
      </c>
      <c r="U1114" t="s">
        <v>67</v>
      </c>
    </row>
    <row r="1115" spans="1:21" x14ac:dyDescent="0.35">
      <c r="A1115" t="s">
        <v>1242</v>
      </c>
      <c r="B1115" s="5">
        <v>45783</v>
      </c>
      <c r="C1115" t="s">
        <v>117</v>
      </c>
      <c r="D1115" t="s">
        <v>74</v>
      </c>
      <c r="E1115" s="9">
        <v>3</v>
      </c>
      <c r="F1115" s="10">
        <v>95</v>
      </c>
      <c r="G1115" s="11">
        <v>0.05</v>
      </c>
      <c r="H1115" s="10">
        <v>270.75</v>
      </c>
      <c r="I1115" s="9">
        <v>0</v>
      </c>
      <c r="J1115" s="10">
        <v>0</v>
      </c>
      <c r="K1115" s="9">
        <v>3</v>
      </c>
      <c r="L1115" s="10">
        <v>270.75</v>
      </c>
      <c r="M1115" s="10">
        <v>168.25</v>
      </c>
      <c r="N1115" s="10">
        <v>102.5</v>
      </c>
      <c r="O1115" s="11">
        <f t="shared" si="66"/>
        <v>0.37857802400738688</v>
      </c>
      <c r="P1115" s="10">
        <v>31.89</v>
      </c>
      <c r="Q1115" s="10">
        <v>70.61</v>
      </c>
      <c r="R1115" s="11">
        <f t="shared" si="67"/>
        <v>0.26079409048938135</v>
      </c>
      <c r="S1115" t="s">
        <v>65</v>
      </c>
      <c r="T1115" t="s">
        <v>60</v>
      </c>
      <c r="U1115" t="s">
        <v>61</v>
      </c>
    </row>
    <row r="1116" spans="1:21" x14ac:dyDescent="0.35">
      <c r="A1116" t="s">
        <v>1243</v>
      </c>
      <c r="B1116" s="5">
        <v>45697</v>
      </c>
      <c r="C1116" t="s">
        <v>90</v>
      </c>
      <c r="D1116" t="s">
        <v>70</v>
      </c>
      <c r="E1116" s="9">
        <v>2</v>
      </c>
      <c r="F1116" s="10">
        <v>38</v>
      </c>
      <c r="G1116" s="11">
        <v>0</v>
      </c>
      <c r="H1116" s="10">
        <v>76</v>
      </c>
      <c r="I1116" s="9">
        <v>0</v>
      </c>
      <c r="J1116" s="10">
        <v>0</v>
      </c>
      <c r="K1116" s="9">
        <v>2</v>
      </c>
      <c r="L1116" s="10">
        <v>76</v>
      </c>
      <c r="M1116" s="10">
        <v>59.3</v>
      </c>
      <c r="N1116" s="10">
        <v>16.7</v>
      </c>
      <c r="O1116" s="11">
        <f t="shared" si="66"/>
        <v>0.21973684210526315</v>
      </c>
      <c r="P1116" s="10">
        <v>7.71</v>
      </c>
      <c r="Q1116" s="10">
        <v>8.99</v>
      </c>
      <c r="R1116" s="11">
        <f t="shared" si="67"/>
        <v>0.11828947368421053</v>
      </c>
      <c r="S1116" t="s">
        <v>65</v>
      </c>
      <c r="T1116" t="s">
        <v>66</v>
      </c>
      <c r="U1116" t="s">
        <v>61</v>
      </c>
    </row>
    <row r="1117" spans="1:21" x14ac:dyDescent="0.35">
      <c r="A1117" t="s">
        <v>1244</v>
      </c>
      <c r="B1117" s="5">
        <v>46000</v>
      </c>
      <c r="C1117" t="s">
        <v>88</v>
      </c>
      <c r="D1117" t="s">
        <v>57</v>
      </c>
      <c r="E1117" s="9">
        <v>2</v>
      </c>
      <c r="F1117" s="10">
        <v>30</v>
      </c>
      <c r="G1117" s="11">
        <v>0.05</v>
      </c>
      <c r="H1117" s="10">
        <v>57</v>
      </c>
      <c r="I1117" s="9">
        <v>0</v>
      </c>
      <c r="J1117" s="10">
        <v>0</v>
      </c>
      <c r="K1117" s="9">
        <v>2</v>
      </c>
      <c r="L1117" s="10">
        <v>57</v>
      </c>
      <c r="M1117" s="10">
        <v>48.53</v>
      </c>
      <c r="N1117" s="10">
        <v>8.4700000000000006</v>
      </c>
      <c r="O1117" s="11">
        <f t="shared" si="66"/>
        <v>0.1485964912280702</v>
      </c>
      <c r="P1117" s="10">
        <v>4.28</v>
      </c>
      <c r="Q1117" s="10">
        <v>4.1900000000000004</v>
      </c>
      <c r="R1117" s="11">
        <f t="shared" si="67"/>
        <v>7.3508771929824565E-2</v>
      </c>
      <c r="S1117" t="s">
        <v>65</v>
      </c>
      <c r="T1117" t="s">
        <v>66</v>
      </c>
      <c r="U1117" t="s">
        <v>76</v>
      </c>
    </row>
    <row r="1118" spans="1:21" x14ac:dyDescent="0.35">
      <c r="A1118" t="s">
        <v>1245</v>
      </c>
      <c r="B1118" s="5">
        <v>46006</v>
      </c>
      <c r="C1118" t="s">
        <v>92</v>
      </c>
      <c r="D1118" t="s">
        <v>79</v>
      </c>
      <c r="E1118" s="9">
        <v>5</v>
      </c>
      <c r="F1118" s="10">
        <v>85</v>
      </c>
      <c r="G1118" s="11">
        <v>0.1</v>
      </c>
      <c r="H1118" s="10">
        <v>382.5</v>
      </c>
      <c r="I1118" s="9">
        <v>0</v>
      </c>
      <c r="J1118" s="10">
        <v>0</v>
      </c>
      <c r="K1118" s="9">
        <v>5</v>
      </c>
      <c r="L1118" s="10">
        <v>382.5</v>
      </c>
      <c r="M1118" s="10">
        <v>259.70999999999998</v>
      </c>
      <c r="N1118" s="10">
        <v>122.79</v>
      </c>
      <c r="O1118" s="11">
        <f t="shared" si="66"/>
        <v>0.32101960784313727</v>
      </c>
      <c r="P1118" s="10">
        <v>27.53</v>
      </c>
      <c r="Q1118" s="10">
        <v>95.26</v>
      </c>
      <c r="R1118" s="11">
        <f t="shared" si="67"/>
        <v>0.24904575163398693</v>
      </c>
      <c r="S1118" t="s">
        <v>59</v>
      </c>
      <c r="T1118" t="s">
        <v>86</v>
      </c>
      <c r="U1118" t="s">
        <v>71</v>
      </c>
    </row>
    <row r="1119" spans="1:21" x14ac:dyDescent="0.35">
      <c r="A1119" t="s">
        <v>1246</v>
      </c>
      <c r="B1119" s="5">
        <v>46000</v>
      </c>
      <c r="C1119" t="s">
        <v>56</v>
      </c>
      <c r="D1119" t="s">
        <v>57</v>
      </c>
      <c r="E1119" s="9">
        <v>5</v>
      </c>
      <c r="F1119" s="10">
        <v>40</v>
      </c>
      <c r="G1119" s="11">
        <v>0.1</v>
      </c>
      <c r="H1119" s="10">
        <v>180</v>
      </c>
      <c r="I1119" s="9">
        <v>0</v>
      </c>
      <c r="J1119" s="10">
        <v>0</v>
      </c>
      <c r="K1119" s="9">
        <v>5</v>
      </c>
      <c r="L1119" s="10">
        <v>180</v>
      </c>
      <c r="M1119" s="10">
        <v>112.75</v>
      </c>
      <c r="N1119" s="10">
        <v>67.25</v>
      </c>
      <c r="O1119" s="11">
        <f t="shared" si="66"/>
        <v>0.37361111111111112</v>
      </c>
      <c r="P1119" s="10">
        <v>12.09</v>
      </c>
      <c r="Q1119" s="10">
        <v>55.16</v>
      </c>
      <c r="R1119" s="11">
        <f t="shared" si="67"/>
        <v>0.30644444444444441</v>
      </c>
      <c r="S1119" t="s">
        <v>81</v>
      </c>
      <c r="T1119" t="s">
        <v>86</v>
      </c>
      <c r="U1119" t="s">
        <v>76</v>
      </c>
    </row>
    <row r="1120" spans="1:21" x14ac:dyDescent="0.35">
      <c r="A1120" t="s">
        <v>1247</v>
      </c>
      <c r="B1120" s="5">
        <v>45823</v>
      </c>
      <c r="C1120" t="s">
        <v>97</v>
      </c>
      <c r="D1120" t="s">
        <v>57</v>
      </c>
      <c r="E1120" s="9">
        <v>4</v>
      </c>
      <c r="F1120" s="10">
        <v>55</v>
      </c>
      <c r="G1120" s="11">
        <v>0.15</v>
      </c>
      <c r="H1120" s="10">
        <v>187</v>
      </c>
      <c r="I1120" s="9">
        <v>0</v>
      </c>
      <c r="J1120" s="10">
        <v>0</v>
      </c>
      <c r="K1120" s="9">
        <v>4</v>
      </c>
      <c r="L1120" s="10">
        <v>187</v>
      </c>
      <c r="M1120" s="10">
        <v>150.72999999999999</v>
      </c>
      <c r="N1120" s="10">
        <v>36.270000000000003</v>
      </c>
      <c r="O1120" s="11">
        <f t="shared" si="66"/>
        <v>0.19395721925133691</v>
      </c>
      <c r="P1120" s="10">
        <v>17.3</v>
      </c>
      <c r="Q1120" s="10">
        <v>18.97</v>
      </c>
      <c r="R1120" s="11">
        <f t="shared" si="67"/>
        <v>0.10144385026737968</v>
      </c>
      <c r="S1120" t="s">
        <v>81</v>
      </c>
      <c r="T1120" t="s">
        <v>60</v>
      </c>
      <c r="U1120" t="s">
        <v>76</v>
      </c>
    </row>
    <row r="1121" spans="1:21" x14ac:dyDescent="0.35">
      <c r="A1121" t="s">
        <v>1249</v>
      </c>
      <c r="B1121" s="5">
        <v>45757</v>
      </c>
      <c r="C1121" t="s">
        <v>107</v>
      </c>
      <c r="D1121" t="s">
        <v>74</v>
      </c>
      <c r="E1121" s="9">
        <v>4</v>
      </c>
      <c r="F1121" s="10">
        <v>125</v>
      </c>
      <c r="G1121" s="11">
        <v>0.02</v>
      </c>
      <c r="H1121" s="10">
        <v>490</v>
      </c>
      <c r="I1121" s="9">
        <v>0</v>
      </c>
      <c r="J1121" s="10">
        <v>0</v>
      </c>
      <c r="K1121" s="9">
        <v>4</v>
      </c>
      <c r="L1121" s="10">
        <v>490</v>
      </c>
      <c r="M1121" s="10">
        <v>350.13</v>
      </c>
      <c r="N1121" s="10">
        <v>139.87</v>
      </c>
      <c r="O1121" s="11">
        <f t="shared" si="66"/>
        <v>0.28544897959183674</v>
      </c>
      <c r="P1121" s="10">
        <v>31.09</v>
      </c>
      <c r="Q1121" s="10">
        <v>108.78</v>
      </c>
      <c r="R1121" s="11">
        <f t="shared" si="67"/>
        <v>0.222</v>
      </c>
      <c r="S1121" t="s">
        <v>65</v>
      </c>
      <c r="T1121" t="s">
        <v>82</v>
      </c>
      <c r="U1121" t="s">
        <v>67</v>
      </c>
    </row>
    <row r="1122" spans="1:21" x14ac:dyDescent="0.35">
      <c r="A1122" t="s">
        <v>1250</v>
      </c>
      <c r="B1122" s="5">
        <v>45944</v>
      </c>
      <c r="C1122" t="s">
        <v>56</v>
      </c>
      <c r="D1122" t="s">
        <v>57</v>
      </c>
      <c r="E1122" s="9">
        <v>2</v>
      </c>
      <c r="F1122" s="10">
        <v>40</v>
      </c>
      <c r="G1122" s="11">
        <v>0</v>
      </c>
      <c r="H1122" s="10">
        <v>80</v>
      </c>
      <c r="I1122" s="9">
        <v>0</v>
      </c>
      <c r="J1122" s="10">
        <v>0</v>
      </c>
      <c r="K1122" s="9">
        <v>2</v>
      </c>
      <c r="L1122" s="10">
        <v>80</v>
      </c>
      <c r="M1122" s="10">
        <v>64.19</v>
      </c>
      <c r="N1122" s="10">
        <v>15.81</v>
      </c>
      <c r="O1122" s="11">
        <f t="shared" si="66"/>
        <v>0.197625</v>
      </c>
      <c r="P1122" s="10">
        <v>6.92</v>
      </c>
      <c r="Q1122" s="10">
        <v>8.89</v>
      </c>
      <c r="R1122" s="11">
        <f t="shared" si="67"/>
        <v>0.111125</v>
      </c>
      <c r="S1122" t="s">
        <v>65</v>
      </c>
      <c r="T1122" t="s">
        <v>86</v>
      </c>
      <c r="U1122" t="s">
        <v>61</v>
      </c>
    </row>
    <row r="1123" spans="1:21" x14ac:dyDescent="0.35">
      <c r="A1123" t="s">
        <v>1251</v>
      </c>
      <c r="B1123" s="5">
        <v>45721</v>
      </c>
      <c r="C1123" t="s">
        <v>121</v>
      </c>
      <c r="D1123" t="s">
        <v>70</v>
      </c>
      <c r="E1123" s="9">
        <v>5</v>
      </c>
      <c r="F1123" s="10">
        <v>110</v>
      </c>
      <c r="G1123" s="11">
        <v>0.02</v>
      </c>
      <c r="H1123" s="10">
        <v>539</v>
      </c>
      <c r="I1123" s="9">
        <v>0</v>
      </c>
      <c r="J1123" s="10">
        <v>0</v>
      </c>
      <c r="K1123" s="9">
        <v>5</v>
      </c>
      <c r="L1123" s="10">
        <v>539</v>
      </c>
      <c r="M1123" s="10">
        <v>400.49</v>
      </c>
      <c r="N1123" s="10">
        <v>138.51</v>
      </c>
      <c r="O1123" s="11">
        <f t="shared" si="66"/>
        <v>0.25697588126159554</v>
      </c>
      <c r="P1123" s="10">
        <v>54.65</v>
      </c>
      <c r="Q1123" s="10">
        <v>83.86</v>
      </c>
      <c r="R1123" s="11">
        <f t="shared" si="67"/>
        <v>0.15558441558441558</v>
      </c>
      <c r="S1123" t="s">
        <v>75</v>
      </c>
      <c r="T1123" t="s">
        <v>86</v>
      </c>
      <c r="U1123" t="s">
        <v>76</v>
      </c>
    </row>
    <row r="1124" spans="1:21" x14ac:dyDescent="0.35">
      <c r="A1124" t="s">
        <v>1252</v>
      </c>
      <c r="B1124" s="5">
        <v>45736</v>
      </c>
      <c r="C1124" t="s">
        <v>117</v>
      </c>
      <c r="D1124" t="s">
        <v>74</v>
      </c>
      <c r="E1124" s="9">
        <v>1</v>
      </c>
      <c r="F1124" s="10">
        <v>95</v>
      </c>
      <c r="G1124" s="11">
        <v>0.15</v>
      </c>
      <c r="H1124" s="10">
        <v>80.75</v>
      </c>
      <c r="I1124" s="9">
        <v>0</v>
      </c>
      <c r="J1124" s="10">
        <v>0</v>
      </c>
      <c r="K1124" s="9">
        <v>1</v>
      </c>
      <c r="L1124" s="10">
        <v>80.75</v>
      </c>
      <c r="M1124" s="10">
        <v>65.39</v>
      </c>
      <c r="N1124" s="10">
        <v>15.36</v>
      </c>
      <c r="O1124" s="11">
        <f t="shared" si="66"/>
        <v>0.19021671826625386</v>
      </c>
      <c r="P1124" s="10">
        <v>7.67</v>
      </c>
      <c r="Q1124" s="10">
        <v>7.69</v>
      </c>
      <c r="R1124" s="11">
        <f t="shared" si="67"/>
        <v>9.5232198142414862E-2</v>
      </c>
      <c r="S1124" t="s">
        <v>65</v>
      </c>
      <c r="T1124" t="s">
        <v>66</v>
      </c>
      <c r="U1124" t="s">
        <v>67</v>
      </c>
    </row>
    <row r="1125" spans="1:21" x14ac:dyDescent="0.35">
      <c r="A1125" t="s">
        <v>1253</v>
      </c>
      <c r="B1125" s="5">
        <v>45872</v>
      </c>
      <c r="C1125" t="s">
        <v>73</v>
      </c>
      <c r="D1125" t="s">
        <v>74</v>
      </c>
      <c r="E1125" s="9">
        <v>4</v>
      </c>
      <c r="F1125" s="10">
        <v>280</v>
      </c>
      <c r="G1125" s="11">
        <v>0</v>
      </c>
      <c r="H1125" s="10">
        <v>1120</v>
      </c>
      <c r="I1125" s="9">
        <v>0</v>
      </c>
      <c r="J1125" s="10">
        <v>0</v>
      </c>
      <c r="K1125" s="9">
        <v>4</v>
      </c>
      <c r="L1125" s="10">
        <v>1120</v>
      </c>
      <c r="M1125" s="10">
        <v>775.35</v>
      </c>
      <c r="N1125" s="10">
        <v>344.65</v>
      </c>
      <c r="O1125" s="11">
        <f t="shared" si="66"/>
        <v>0.30772321428571425</v>
      </c>
      <c r="P1125" s="10">
        <v>100.63</v>
      </c>
      <c r="Q1125" s="10">
        <v>244.02</v>
      </c>
      <c r="R1125" s="11">
        <f t="shared" si="67"/>
        <v>0.21787500000000001</v>
      </c>
      <c r="S1125" t="s">
        <v>75</v>
      </c>
      <c r="T1125" t="s">
        <v>2133</v>
      </c>
      <c r="U1125" t="s">
        <v>61</v>
      </c>
    </row>
    <row r="1126" spans="1:21" x14ac:dyDescent="0.35">
      <c r="A1126" t="s">
        <v>1254</v>
      </c>
      <c r="B1126" s="5">
        <v>45663</v>
      </c>
      <c r="C1126" t="s">
        <v>121</v>
      </c>
      <c r="D1126" t="s">
        <v>70</v>
      </c>
      <c r="E1126" s="9">
        <v>3</v>
      </c>
      <c r="F1126" s="10">
        <v>110</v>
      </c>
      <c r="G1126" s="11">
        <v>0.02</v>
      </c>
      <c r="H1126" s="10">
        <v>323.39999999999998</v>
      </c>
      <c r="I1126" s="9">
        <v>0</v>
      </c>
      <c r="J1126" s="10">
        <v>0</v>
      </c>
      <c r="K1126" s="9">
        <v>3</v>
      </c>
      <c r="L1126" s="10">
        <v>323.39999999999998</v>
      </c>
      <c r="M1126" s="10">
        <v>271.48</v>
      </c>
      <c r="N1126" s="10">
        <v>51.92</v>
      </c>
      <c r="O1126" s="11">
        <f t="shared" si="66"/>
        <v>0.16054421768707486</v>
      </c>
      <c r="P1126" s="10">
        <v>36.1</v>
      </c>
      <c r="Q1126" s="10">
        <v>15.82</v>
      </c>
      <c r="R1126" s="11">
        <f t="shared" si="67"/>
        <v>4.8917748917748922E-2</v>
      </c>
      <c r="S1126" t="s">
        <v>2133</v>
      </c>
      <c r="T1126" t="s">
        <v>82</v>
      </c>
      <c r="U1126" t="s">
        <v>71</v>
      </c>
    </row>
    <row r="1127" spans="1:21" x14ac:dyDescent="0.35">
      <c r="A1127" t="s">
        <v>1255</v>
      </c>
      <c r="B1127" s="5">
        <v>45699</v>
      </c>
      <c r="C1127" t="s">
        <v>95</v>
      </c>
      <c r="D1127" t="s">
        <v>64</v>
      </c>
      <c r="E1127" s="9">
        <v>4</v>
      </c>
      <c r="F1127" s="10">
        <v>52</v>
      </c>
      <c r="G1127" s="11">
        <v>0</v>
      </c>
      <c r="H1127" s="10">
        <v>208</v>
      </c>
      <c r="I1127" s="9">
        <v>0</v>
      </c>
      <c r="J1127" s="10">
        <v>0</v>
      </c>
      <c r="K1127" s="9">
        <v>4</v>
      </c>
      <c r="L1127" s="10">
        <v>208</v>
      </c>
      <c r="M1127" s="10">
        <v>172.47</v>
      </c>
      <c r="N1127" s="10">
        <v>35.53</v>
      </c>
      <c r="O1127" s="11">
        <f t="shared" si="66"/>
        <v>0.17081730769230768</v>
      </c>
      <c r="P1127" s="10">
        <v>15.48</v>
      </c>
      <c r="Q1127" s="10">
        <v>20.05</v>
      </c>
      <c r="R1127" s="11">
        <f t="shared" si="67"/>
        <v>9.6394230769230774E-2</v>
      </c>
      <c r="S1127" t="s">
        <v>59</v>
      </c>
      <c r="T1127" t="s">
        <v>66</v>
      </c>
      <c r="U1127" t="s">
        <v>71</v>
      </c>
    </row>
    <row r="1128" spans="1:21" x14ac:dyDescent="0.35">
      <c r="A1128" t="s">
        <v>1256</v>
      </c>
      <c r="B1128" s="5">
        <v>45903</v>
      </c>
      <c r="C1128" t="s">
        <v>63</v>
      </c>
      <c r="D1128" t="s">
        <v>64</v>
      </c>
      <c r="E1128" s="9">
        <v>5</v>
      </c>
      <c r="F1128" s="10">
        <v>145</v>
      </c>
      <c r="G1128" s="11">
        <v>0</v>
      </c>
      <c r="H1128" s="10">
        <v>725</v>
      </c>
      <c r="I1128" s="9">
        <v>0</v>
      </c>
      <c r="J1128" s="10">
        <v>0</v>
      </c>
      <c r="K1128" s="9">
        <v>5</v>
      </c>
      <c r="L1128" s="10">
        <v>725</v>
      </c>
      <c r="M1128" s="10">
        <v>471.26</v>
      </c>
      <c r="N1128" s="10">
        <v>253.74</v>
      </c>
      <c r="O1128" s="11">
        <f t="shared" si="66"/>
        <v>0.34998620689655174</v>
      </c>
      <c r="P1128" s="10">
        <v>52.58</v>
      </c>
      <c r="Q1128" s="10">
        <v>201.16</v>
      </c>
      <c r="R1128" s="11">
        <f t="shared" si="67"/>
        <v>0.27746206896551723</v>
      </c>
      <c r="S1128" t="s">
        <v>59</v>
      </c>
      <c r="T1128" t="s">
        <v>66</v>
      </c>
      <c r="U1128" t="s">
        <v>67</v>
      </c>
    </row>
    <row r="1129" spans="1:21" x14ac:dyDescent="0.35">
      <c r="A1129" t="s">
        <v>1257</v>
      </c>
      <c r="B1129" s="5">
        <v>45978</v>
      </c>
      <c r="C1129" t="s">
        <v>104</v>
      </c>
      <c r="D1129" t="s">
        <v>105</v>
      </c>
      <c r="E1129" s="9">
        <v>3</v>
      </c>
      <c r="F1129" s="10">
        <v>65</v>
      </c>
      <c r="G1129" s="11">
        <v>0</v>
      </c>
      <c r="H1129" s="10">
        <v>195</v>
      </c>
      <c r="I1129" s="9">
        <v>0</v>
      </c>
      <c r="J1129" s="10">
        <v>0</v>
      </c>
      <c r="K1129" s="9">
        <v>3</v>
      </c>
      <c r="L1129" s="10">
        <v>195</v>
      </c>
      <c r="M1129" s="10">
        <v>147.91</v>
      </c>
      <c r="N1129" s="10">
        <v>47.09</v>
      </c>
      <c r="O1129" s="11">
        <f t="shared" si="66"/>
        <v>0.24148717948717952</v>
      </c>
      <c r="P1129" s="10">
        <v>19.64</v>
      </c>
      <c r="Q1129" s="10">
        <v>27.45</v>
      </c>
      <c r="R1129" s="11">
        <f t="shared" si="67"/>
        <v>0.14076923076923076</v>
      </c>
      <c r="S1129" t="s">
        <v>65</v>
      </c>
      <c r="T1129" t="s">
        <v>82</v>
      </c>
      <c r="U1129" t="s">
        <v>61</v>
      </c>
    </row>
    <row r="1130" spans="1:21" x14ac:dyDescent="0.35">
      <c r="A1130" t="s">
        <v>1258</v>
      </c>
      <c r="B1130" s="5">
        <v>46013</v>
      </c>
      <c r="C1130" t="s">
        <v>78</v>
      </c>
      <c r="D1130" t="s">
        <v>79</v>
      </c>
      <c r="E1130" s="9">
        <v>2</v>
      </c>
      <c r="F1130" s="10">
        <v>120</v>
      </c>
      <c r="G1130" s="11">
        <v>0</v>
      </c>
      <c r="H1130" s="10">
        <v>240</v>
      </c>
      <c r="I1130" s="9">
        <v>0</v>
      </c>
      <c r="J1130" s="10">
        <v>0</v>
      </c>
      <c r="K1130" s="9">
        <v>2</v>
      </c>
      <c r="L1130" s="10">
        <v>240</v>
      </c>
      <c r="M1130" s="10">
        <v>150.53</v>
      </c>
      <c r="N1130" s="10">
        <v>89.47</v>
      </c>
      <c r="O1130" s="11">
        <f t="shared" si="66"/>
        <v>0.37279166666666669</v>
      </c>
      <c r="P1130" s="10">
        <v>22.97</v>
      </c>
      <c r="Q1130" s="10">
        <v>66.5</v>
      </c>
      <c r="R1130" s="11">
        <f t="shared" si="67"/>
        <v>0.27708333333333335</v>
      </c>
      <c r="S1130" t="s">
        <v>81</v>
      </c>
      <c r="T1130" t="s">
        <v>82</v>
      </c>
      <c r="U1130" t="s">
        <v>61</v>
      </c>
    </row>
    <row r="1131" spans="1:21" x14ac:dyDescent="0.35">
      <c r="A1131" t="s">
        <v>1259</v>
      </c>
      <c r="B1131" s="5">
        <v>45902</v>
      </c>
      <c r="C1131" t="s">
        <v>84</v>
      </c>
      <c r="D1131" t="s">
        <v>85</v>
      </c>
      <c r="E1131" s="9">
        <v>2</v>
      </c>
      <c r="F1131" s="10">
        <v>48</v>
      </c>
      <c r="G1131" s="11">
        <v>0</v>
      </c>
      <c r="H1131" s="10">
        <v>96</v>
      </c>
      <c r="I1131" s="9">
        <v>0</v>
      </c>
      <c r="J1131" s="10">
        <v>0</v>
      </c>
      <c r="K1131" s="9">
        <v>2</v>
      </c>
      <c r="L1131" s="10">
        <v>96</v>
      </c>
      <c r="M1131" s="10">
        <v>78.87</v>
      </c>
      <c r="N1131" s="10">
        <v>17.13</v>
      </c>
      <c r="O1131" s="11">
        <f t="shared" si="66"/>
        <v>0.1784375</v>
      </c>
      <c r="P1131" s="10">
        <v>7.05</v>
      </c>
      <c r="Q1131" s="10">
        <v>10.08</v>
      </c>
      <c r="R1131" s="11">
        <f t="shared" si="67"/>
        <v>0.105</v>
      </c>
      <c r="S1131" t="s">
        <v>81</v>
      </c>
      <c r="T1131" t="s">
        <v>86</v>
      </c>
      <c r="U1131" t="s">
        <v>71</v>
      </c>
    </row>
    <row r="1132" spans="1:21" x14ac:dyDescent="0.35">
      <c r="A1132" t="s">
        <v>1260</v>
      </c>
      <c r="B1132" s="5">
        <v>45673</v>
      </c>
      <c r="C1132" t="s">
        <v>121</v>
      </c>
      <c r="D1132" t="s">
        <v>70</v>
      </c>
      <c r="E1132" s="9">
        <v>1</v>
      </c>
      <c r="F1132" s="10">
        <v>110</v>
      </c>
      <c r="G1132" s="11">
        <v>0.1</v>
      </c>
      <c r="H1132" s="10">
        <v>99</v>
      </c>
      <c r="I1132" s="9">
        <v>0</v>
      </c>
      <c r="J1132" s="10">
        <v>0</v>
      </c>
      <c r="K1132" s="9">
        <v>1</v>
      </c>
      <c r="L1132" s="10">
        <v>99</v>
      </c>
      <c r="M1132" s="10">
        <v>81.64</v>
      </c>
      <c r="N1132" s="10">
        <v>17.36</v>
      </c>
      <c r="O1132" s="11">
        <f t="shared" si="66"/>
        <v>0.17535353535353534</v>
      </c>
      <c r="P1132" s="10">
        <v>8.06</v>
      </c>
      <c r="Q1132" s="10">
        <v>9.3000000000000007</v>
      </c>
      <c r="R1132" s="11">
        <f t="shared" si="67"/>
        <v>9.3939393939393948E-2</v>
      </c>
      <c r="S1132" t="s">
        <v>65</v>
      </c>
      <c r="T1132" t="s">
        <v>60</v>
      </c>
      <c r="U1132" t="s">
        <v>71</v>
      </c>
    </row>
    <row r="1133" spans="1:21" x14ac:dyDescent="0.35">
      <c r="A1133" t="s">
        <v>1261</v>
      </c>
      <c r="B1133" s="5">
        <v>45822</v>
      </c>
      <c r="C1133" t="s">
        <v>100</v>
      </c>
      <c r="D1133" t="s">
        <v>64</v>
      </c>
      <c r="E1133" s="9">
        <v>2</v>
      </c>
      <c r="F1133" s="10">
        <v>310</v>
      </c>
      <c r="G1133" s="11">
        <v>0.1</v>
      </c>
      <c r="H1133" s="10">
        <v>558</v>
      </c>
      <c r="I1133" s="9">
        <v>0</v>
      </c>
      <c r="J1133" s="10">
        <v>0</v>
      </c>
      <c r="K1133" s="9">
        <v>2</v>
      </c>
      <c r="L1133" s="10">
        <v>558</v>
      </c>
      <c r="M1133" s="10">
        <v>394.79</v>
      </c>
      <c r="N1133" s="10">
        <v>163.21</v>
      </c>
      <c r="O1133" s="11">
        <f t="shared" si="66"/>
        <v>0.29249103942652332</v>
      </c>
      <c r="P1133" s="10">
        <v>39.78</v>
      </c>
      <c r="Q1133" s="10">
        <v>123.43</v>
      </c>
      <c r="R1133" s="11">
        <f t="shared" si="67"/>
        <v>0.22120071684587814</v>
      </c>
      <c r="S1133" t="s">
        <v>59</v>
      </c>
      <c r="T1133" t="s">
        <v>82</v>
      </c>
      <c r="U1133" t="s">
        <v>76</v>
      </c>
    </row>
    <row r="1134" spans="1:21" x14ac:dyDescent="0.35">
      <c r="A1134" t="s">
        <v>1262</v>
      </c>
      <c r="B1134" s="5">
        <v>46015</v>
      </c>
      <c r="C1134" t="s">
        <v>56</v>
      </c>
      <c r="D1134" t="s">
        <v>57</v>
      </c>
      <c r="E1134" s="9">
        <v>4</v>
      </c>
      <c r="F1134" s="10">
        <v>40</v>
      </c>
      <c r="G1134" s="11">
        <v>0</v>
      </c>
      <c r="H1134" s="10">
        <v>160</v>
      </c>
      <c r="I1134" s="9">
        <v>0</v>
      </c>
      <c r="J1134" s="10">
        <v>0</v>
      </c>
      <c r="K1134" s="9">
        <v>4</v>
      </c>
      <c r="L1134" s="10">
        <v>160</v>
      </c>
      <c r="M1134" s="10">
        <v>100.93</v>
      </c>
      <c r="N1134" s="10">
        <v>59.07</v>
      </c>
      <c r="O1134" s="11">
        <f t="shared" si="66"/>
        <v>0.3691875</v>
      </c>
      <c r="P1134" s="10">
        <v>17.03</v>
      </c>
      <c r="Q1134" s="10">
        <v>42.04</v>
      </c>
      <c r="R1134" s="11">
        <f t="shared" si="67"/>
        <v>0.26274999999999998</v>
      </c>
      <c r="S1134" t="s">
        <v>65</v>
      </c>
      <c r="T1134" t="s">
        <v>66</v>
      </c>
      <c r="U1134" t="s">
        <v>71</v>
      </c>
    </row>
    <row r="1135" spans="1:21" x14ac:dyDescent="0.35">
      <c r="A1135" t="s">
        <v>1263</v>
      </c>
      <c r="B1135" s="5">
        <v>46009</v>
      </c>
      <c r="C1135" t="s">
        <v>95</v>
      </c>
      <c r="D1135" t="s">
        <v>64</v>
      </c>
      <c r="E1135" s="9">
        <v>5</v>
      </c>
      <c r="F1135" s="10">
        <v>52</v>
      </c>
      <c r="G1135" s="11">
        <v>0</v>
      </c>
      <c r="H1135" s="10">
        <v>260</v>
      </c>
      <c r="I1135" s="9">
        <v>0</v>
      </c>
      <c r="J1135" s="10">
        <v>0</v>
      </c>
      <c r="K1135" s="9">
        <v>5</v>
      </c>
      <c r="L1135" s="10">
        <v>260</v>
      </c>
      <c r="M1135" s="10">
        <v>169.83</v>
      </c>
      <c r="N1135" s="10">
        <v>90.17</v>
      </c>
      <c r="O1135" s="11">
        <f t="shared" si="66"/>
        <v>0.34680769230769232</v>
      </c>
      <c r="P1135" s="10">
        <v>33.380000000000003</v>
      </c>
      <c r="Q1135" s="10">
        <v>56.79</v>
      </c>
      <c r="R1135" s="11">
        <f t="shared" si="67"/>
        <v>0.21842307692307691</v>
      </c>
      <c r="S1135" t="s">
        <v>59</v>
      </c>
      <c r="T1135" t="s">
        <v>66</v>
      </c>
      <c r="U1135" t="s">
        <v>61</v>
      </c>
    </row>
    <row r="1136" spans="1:21" x14ac:dyDescent="0.35">
      <c r="A1136" t="s">
        <v>1264</v>
      </c>
      <c r="B1136" s="5">
        <v>45714</v>
      </c>
      <c r="C1136" t="s">
        <v>78</v>
      </c>
      <c r="D1136" t="s">
        <v>79</v>
      </c>
      <c r="E1136" s="9">
        <v>1</v>
      </c>
      <c r="F1136" s="10">
        <v>120</v>
      </c>
      <c r="G1136" s="11">
        <v>0.02</v>
      </c>
      <c r="H1136" s="10">
        <v>117.6</v>
      </c>
      <c r="I1136" s="9">
        <v>0</v>
      </c>
      <c r="J1136" s="10">
        <v>0</v>
      </c>
      <c r="K1136" s="9">
        <v>1</v>
      </c>
      <c r="L1136" s="10">
        <v>117.6</v>
      </c>
      <c r="M1136" s="10">
        <v>97.57</v>
      </c>
      <c r="N1136" s="10">
        <v>20.03</v>
      </c>
      <c r="O1136" s="11">
        <f t="shared" si="66"/>
        <v>0.17032312925170071</v>
      </c>
      <c r="P1136" s="10">
        <v>10.119999999999999</v>
      </c>
      <c r="Q1136" s="10">
        <v>9.91</v>
      </c>
      <c r="R1136" s="11">
        <f t="shared" si="67"/>
        <v>8.4268707482993199E-2</v>
      </c>
      <c r="S1136" t="s">
        <v>59</v>
      </c>
      <c r="T1136" t="s">
        <v>86</v>
      </c>
      <c r="U1136" t="s">
        <v>76</v>
      </c>
    </row>
    <row r="1137" spans="1:21" x14ac:dyDescent="0.35">
      <c r="A1137" t="s">
        <v>1265</v>
      </c>
      <c r="B1137" s="5">
        <v>45659</v>
      </c>
      <c r="C1137" t="s">
        <v>63</v>
      </c>
      <c r="D1137" t="s">
        <v>64</v>
      </c>
      <c r="E1137" s="9">
        <v>5</v>
      </c>
      <c r="F1137" s="10">
        <v>145</v>
      </c>
      <c r="G1137" s="11">
        <v>0</v>
      </c>
      <c r="H1137" s="10">
        <v>725</v>
      </c>
      <c r="I1137" s="9">
        <v>0</v>
      </c>
      <c r="J1137" s="10">
        <v>0</v>
      </c>
      <c r="K1137" s="9">
        <v>5</v>
      </c>
      <c r="L1137" s="10">
        <v>725</v>
      </c>
      <c r="M1137" s="10">
        <v>477.01</v>
      </c>
      <c r="N1137" s="10">
        <v>247.99</v>
      </c>
      <c r="O1137" s="11">
        <f t="shared" si="66"/>
        <v>0.34205517241379313</v>
      </c>
      <c r="P1137" s="10">
        <v>47.18</v>
      </c>
      <c r="Q1137" s="10">
        <v>200.81</v>
      </c>
      <c r="R1137" s="11">
        <f t="shared" si="67"/>
        <v>0.27697931034482759</v>
      </c>
      <c r="S1137" t="s">
        <v>65</v>
      </c>
      <c r="T1137" t="s">
        <v>66</v>
      </c>
      <c r="U1137" t="s">
        <v>67</v>
      </c>
    </row>
    <row r="1138" spans="1:21" x14ac:dyDescent="0.35">
      <c r="A1138" t="s">
        <v>1266</v>
      </c>
      <c r="B1138" s="5">
        <v>45769</v>
      </c>
      <c r="C1138" t="s">
        <v>114</v>
      </c>
      <c r="D1138" t="s">
        <v>64</v>
      </c>
      <c r="E1138" s="9">
        <v>2</v>
      </c>
      <c r="F1138" s="10">
        <v>420</v>
      </c>
      <c r="G1138" s="11">
        <v>0</v>
      </c>
      <c r="H1138" s="10">
        <v>840</v>
      </c>
      <c r="I1138" s="9">
        <v>0</v>
      </c>
      <c r="J1138" s="10">
        <v>0</v>
      </c>
      <c r="K1138" s="9">
        <v>2</v>
      </c>
      <c r="L1138" s="10">
        <v>840</v>
      </c>
      <c r="M1138" s="10">
        <v>574.35</v>
      </c>
      <c r="N1138" s="10">
        <v>265.64999999999998</v>
      </c>
      <c r="O1138" s="11">
        <f t="shared" si="66"/>
        <v>0.31624999999999998</v>
      </c>
      <c r="P1138" s="10">
        <v>95.95</v>
      </c>
      <c r="Q1138" s="10">
        <v>169.7</v>
      </c>
      <c r="R1138" s="11">
        <f t="shared" si="67"/>
        <v>0.20202380952380952</v>
      </c>
      <c r="S1138" t="s">
        <v>75</v>
      </c>
      <c r="T1138" t="s">
        <v>60</v>
      </c>
      <c r="U1138" t="s">
        <v>61</v>
      </c>
    </row>
    <row r="1139" spans="1:21" x14ac:dyDescent="0.35">
      <c r="A1139" t="s">
        <v>1267</v>
      </c>
      <c r="B1139" s="5">
        <v>45824</v>
      </c>
      <c r="C1139" t="s">
        <v>69</v>
      </c>
      <c r="D1139" t="s">
        <v>70</v>
      </c>
      <c r="E1139" s="9">
        <v>10</v>
      </c>
      <c r="F1139" s="10">
        <v>210</v>
      </c>
      <c r="G1139" s="11">
        <v>0.1</v>
      </c>
      <c r="H1139" s="10">
        <v>1890</v>
      </c>
      <c r="I1139" s="9">
        <v>0</v>
      </c>
      <c r="J1139" s="10">
        <v>0</v>
      </c>
      <c r="K1139" s="9">
        <v>10</v>
      </c>
      <c r="L1139" s="10">
        <v>1890</v>
      </c>
      <c r="M1139" s="10">
        <v>1562.87</v>
      </c>
      <c r="N1139" s="10">
        <v>327.13</v>
      </c>
      <c r="O1139" s="11">
        <f t="shared" si="66"/>
        <v>0.17308465608465609</v>
      </c>
      <c r="P1139" s="10">
        <v>165.24</v>
      </c>
      <c r="Q1139" s="10">
        <v>161.88999999999999</v>
      </c>
      <c r="R1139" s="11">
        <f t="shared" si="67"/>
        <v>8.5656084656084652E-2</v>
      </c>
      <c r="S1139" t="s">
        <v>75</v>
      </c>
      <c r="T1139" t="s">
        <v>86</v>
      </c>
      <c r="U1139" t="s">
        <v>67</v>
      </c>
    </row>
    <row r="1140" spans="1:21" x14ac:dyDescent="0.35">
      <c r="A1140" t="s">
        <v>1268</v>
      </c>
      <c r="B1140" s="5">
        <v>45674</v>
      </c>
      <c r="C1140" t="s">
        <v>109</v>
      </c>
      <c r="D1140" t="s">
        <v>85</v>
      </c>
      <c r="E1140" s="9">
        <v>8</v>
      </c>
      <c r="F1140" s="10">
        <v>180</v>
      </c>
      <c r="G1140" s="11">
        <v>0</v>
      </c>
      <c r="H1140" s="10">
        <v>1440</v>
      </c>
      <c r="I1140" s="9">
        <v>0</v>
      </c>
      <c r="J1140" s="10">
        <v>0</v>
      </c>
      <c r="K1140" s="9">
        <v>8</v>
      </c>
      <c r="L1140" s="10">
        <v>1440</v>
      </c>
      <c r="M1140" s="10">
        <v>1100.53</v>
      </c>
      <c r="N1140" s="10">
        <v>339.47</v>
      </c>
      <c r="O1140" s="11">
        <f t="shared" si="66"/>
        <v>0.23574305555555558</v>
      </c>
      <c r="P1140" s="10">
        <v>181.51</v>
      </c>
      <c r="Q1140" s="10">
        <v>157.96</v>
      </c>
      <c r="R1140" s="11">
        <f t="shared" si="67"/>
        <v>0.10969444444444446</v>
      </c>
      <c r="S1140" t="s">
        <v>65</v>
      </c>
      <c r="T1140" t="s">
        <v>66</v>
      </c>
      <c r="U1140" t="s">
        <v>61</v>
      </c>
    </row>
    <row r="1141" spans="1:21" x14ac:dyDescent="0.35">
      <c r="A1141" t="s">
        <v>1269</v>
      </c>
      <c r="B1141" s="5">
        <v>45942</v>
      </c>
      <c r="C1141" t="s">
        <v>121</v>
      </c>
      <c r="D1141" t="s">
        <v>70</v>
      </c>
      <c r="E1141" s="9">
        <v>2</v>
      </c>
      <c r="F1141" s="10">
        <v>110</v>
      </c>
      <c r="G1141" s="11">
        <v>0.05</v>
      </c>
      <c r="H1141" s="10">
        <v>209</v>
      </c>
      <c r="I1141" s="9">
        <v>0</v>
      </c>
      <c r="J1141" s="10">
        <v>0</v>
      </c>
      <c r="K1141" s="9">
        <v>2</v>
      </c>
      <c r="L1141" s="10">
        <v>209</v>
      </c>
      <c r="M1141" s="10">
        <v>157.28</v>
      </c>
      <c r="N1141" s="10">
        <v>51.72</v>
      </c>
      <c r="O1141" s="11">
        <f t="shared" si="66"/>
        <v>0.24746411483253589</v>
      </c>
      <c r="P1141" s="10">
        <v>15.85</v>
      </c>
      <c r="Q1141" s="10">
        <v>35.869999999999997</v>
      </c>
      <c r="R1141" s="11">
        <f t="shared" si="67"/>
        <v>0.17162679425837318</v>
      </c>
      <c r="S1141" t="s">
        <v>59</v>
      </c>
      <c r="T1141" t="s">
        <v>82</v>
      </c>
      <c r="U1141" t="s">
        <v>61</v>
      </c>
    </row>
    <row r="1142" spans="1:21" x14ac:dyDescent="0.35">
      <c r="A1142" t="s">
        <v>1270</v>
      </c>
      <c r="B1142" s="5">
        <v>45752</v>
      </c>
      <c r="C1142" t="s">
        <v>84</v>
      </c>
      <c r="D1142" t="s">
        <v>85</v>
      </c>
      <c r="E1142" s="9">
        <v>1</v>
      </c>
      <c r="F1142" s="10">
        <v>48</v>
      </c>
      <c r="G1142" s="11">
        <v>0.15</v>
      </c>
      <c r="H1142" s="10">
        <v>40.799999999999997</v>
      </c>
      <c r="I1142" s="9">
        <v>0</v>
      </c>
      <c r="J1142" s="10">
        <v>0</v>
      </c>
      <c r="K1142" s="9">
        <v>1</v>
      </c>
      <c r="L1142" s="10">
        <v>40.799999999999997</v>
      </c>
      <c r="M1142" s="10">
        <v>30.3</v>
      </c>
      <c r="N1142" s="10">
        <v>10.5</v>
      </c>
      <c r="O1142" s="11">
        <f t="shared" si="66"/>
        <v>0.25735294117647062</v>
      </c>
      <c r="P1142" s="10">
        <v>3.38</v>
      </c>
      <c r="Q1142" s="10">
        <v>7.12</v>
      </c>
      <c r="R1142" s="11">
        <f t="shared" si="67"/>
        <v>0.17450980392156865</v>
      </c>
      <c r="S1142" t="s">
        <v>81</v>
      </c>
      <c r="T1142" t="s">
        <v>66</v>
      </c>
      <c r="U1142" t="s">
        <v>67</v>
      </c>
    </row>
    <row r="1143" spans="1:21" x14ac:dyDescent="0.35">
      <c r="A1143" t="s">
        <v>1271</v>
      </c>
      <c r="B1143" s="5">
        <v>45830</v>
      </c>
      <c r="C1143" t="s">
        <v>100</v>
      </c>
      <c r="D1143" t="s">
        <v>64</v>
      </c>
      <c r="E1143" s="9">
        <v>3</v>
      </c>
      <c r="F1143" s="10">
        <v>310</v>
      </c>
      <c r="G1143" s="11">
        <v>0</v>
      </c>
      <c r="H1143" s="10">
        <v>930</v>
      </c>
      <c r="I1143" s="9">
        <v>0</v>
      </c>
      <c r="J1143" s="10">
        <v>0</v>
      </c>
      <c r="K1143" s="9">
        <v>3</v>
      </c>
      <c r="L1143" s="10">
        <v>930</v>
      </c>
      <c r="M1143" s="10">
        <v>687.56</v>
      </c>
      <c r="N1143" s="10">
        <v>242.44</v>
      </c>
      <c r="O1143" s="11">
        <f t="shared" si="66"/>
        <v>0.26068817204301076</v>
      </c>
      <c r="P1143" s="10">
        <v>83.41</v>
      </c>
      <c r="Q1143" s="10">
        <v>159.03</v>
      </c>
      <c r="R1143" s="11">
        <f t="shared" si="67"/>
        <v>0.17100000000000001</v>
      </c>
      <c r="S1143" t="s">
        <v>65</v>
      </c>
      <c r="T1143" t="s">
        <v>60</v>
      </c>
      <c r="U1143" t="s">
        <v>67</v>
      </c>
    </row>
    <row r="1144" spans="1:21" x14ac:dyDescent="0.35">
      <c r="A1144" t="s">
        <v>1272</v>
      </c>
      <c r="B1144" s="5">
        <v>45932</v>
      </c>
      <c r="C1144" t="s">
        <v>84</v>
      </c>
      <c r="D1144" t="s">
        <v>85</v>
      </c>
      <c r="E1144" s="9">
        <v>1</v>
      </c>
      <c r="F1144" s="10">
        <v>48</v>
      </c>
      <c r="G1144" s="11">
        <v>0</v>
      </c>
      <c r="H1144" s="10">
        <v>48</v>
      </c>
      <c r="I1144" s="9">
        <v>0</v>
      </c>
      <c r="J1144" s="10">
        <v>0</v>
      </c>
      <c r="K1144" s="9">
        <v>1</v>
      </c>
      <c r="L1144" s="10">
        <v>48</v>
      </c>
      <c r="M1144" s="10">
        <v>32.53</v>
      </c>
      <c r="N1144" s="10">
        <v>15.47</v>
      </c>
      <c r="O1144" s="11">
        <f t="shared" si="66"/>
        <v>0.3222916666666667</v>
      </c>
      <c r="P1144" s="10">
        <v>2.82</v>
      </c>
      <c r="Q1144" s="10">
        <v>12.65</v>
      </c>
      <c r="R1144" s="11">
        <f t="shared" si="67"/>
        <v>0.26354166666666667</v>
      </c>
      <c r="S1144" t="s">
        <v>81</v>
      </c>
      <c r="T1144" t="s">
        <v>86</v>
      </c>
      <c r="U1144" t="s">
        <v>67</v>
      </c>
    </row>
    <row r="1145" spans="1:21" x14ac:dyDescent="0.35">
      <c r="A1145" t="s">
        <v>1273</v>
      </c>
      <c r="B1145" s="5">
        <v>45792</v>
      </c>
      <c r="C1145" t="s">
        <v>95</v>
      </c>
      <c r="D1145" t="s">
        <v>64</v>
      </c>
      <c r="E1145" s="9">
        <v>5</v>
      </c>
      <c r="F1145" s="10">
        <v>52</v>
      </c>
      <c r="G1145" s="11">
        <v>0.1</v>
      </c>
      <c r="H1145" s="10">
        <v>234</v>
      </c>
      <c r="I1145" s="9">
        <v>0</v>
      </c>
      <c r="J1145" s="10">
        <v>0</v>
      </c>
      <c r="K1145" s="9">
        <v>5</v>
      </c>
      <c r="L1145" s="10">
        <v>234</v>
      </c>
      <c r="M1145" s="10">
        <v>154.75</v>
      </c>
      <c r="N1145" s="10">
        <v>79.25</v>
      </c>
      <c r="O1145" s="11">
        <f t="shared" si="66"/>
        <v>0.33867521367521369</v>
      </c>
      <c r="P1145" s="10">
        <v>17.05</v>
      </c>
      <c r="Q1145" s="10">
        <v>62.2</v>
      </c>
      <c r="R1145" s="11">
        <f t="shared" si="67"/>
        <v>0.26581196581196581</v>
      </c>
      <c r="S1145" t="s">
        <v>81</v>
      </c>
      <c r="T1145" t="s">
        <v>66</v>
      </c>
      <c r="U1145" t="s">
        <v>61</v>
      </c>
    </row>
    <row r="1146" spans="1:21" x14ac:dyDescent="0.35">
      <c r="A1146" t="s">
        <v>1274</v>
      </c>
      <c r="B1146" s="5">
        <v>45660</v>
      </c>
      <c r="C1146" t="s">
        <v>264</v>
      </c>
      <c r="D1146" t="s">
        <v>85</v>
      </c>
      <c r="E1146" s="9">
        <v>4</v>
      </c>
      <c r="F1146" s="10">
        <v>20</v>
      </c>
      <c r="G1146" s="11">
        <v>0.02</v>
      </c>
      <c r="H1146" s="10">
        <v>78.400000000000006</v>
      </c>
      <c r="I1146" s="9">
        <v>0</v>
      </c>
      <c r="J1146" s="10">
        <v>0</v>
      </c>
      <c r="K1146" s="9">
        <v>4</v>
      </c>
      <c r="L1146" s="10">
        <v>78.400000000000006</v>
      </c>
      <c r="M1146" s="10">
        <v>58.88</v>
      </c>
      <c r="N1146" s="10">
        <v>19.52</v>
      </c>
      <c r="O1146" s="11">
        <f t="shared" si="66"/>
        <v>0.24897959183673468</v>
      </c>
      <c r="P1146" s="10">
        <v>9.7799999999999994</v>
      </c>
      <c r="Q1146" s="10">
        <v>9.74</v>
      </c>
      <c r="R1146" s="11">
        <f t="shared" si="67"/>
        <v>0.12423469387755101</v>
      </c>
      <c r="S1146" t="s">
        <v>75</v>
      </c>
      <c r="T1146" t="s">
        <v>66</v>
      </c>
      <c r="U1146" t="s">
        <v>76</v>
      </c>
    </row>
    <row r="1147" spans="1:21" x14ac:dyDescent="0.35">
      <c r="A1147" t="s">
        <v>1275</v>
      </c>
      <c r="B1147" s="5">
        <v>45726</v>
      </c>
      <c r="C1147" t="s">
        <v>97</v>
      </c>
      <c r="D1147" t="s">
        <v>57</v>
      </c>
      <c r="E1147" s="9">
        <v>1</v>
      </c>
      <c r="F1147" s="10">
        <v>55</v>
      </c>
      <c r="G1147" s="11">
        <v>0.02</v>
      </c>
      <c r="H1147" s="10">
        <v>53.9</v>
      </c>
      <c r="I1147" s="9">
        <v>0</v>
      </c>
      <c r="J1147" s="10">
        <v>0</v>
      </c>
      <c r="K1147" s="9">
        <v>1</v>
      </c>
      <c r="L1147" s="10">
        <v>53.9</v>
      </c>
      <c r="M1147" s="10">
        <v>42.5</v>
      </c>
      <c r="N1147" s="10">
        <v>11.4</v>
      </c>
      <c r="O1147" s="11">
        <f t="shared" si="66"/>
        <v>0.21150278293135438</v>
      </c>
      <c r="P1147" s="10">
        <v>5.84</v>
      </c>
      <c r="Q1147" s="10">
        <v>5.56</v>
      </c>
      <c r="R1147" s="11">
        <f t="shared" si="67"/>
        <v>0.10315398886827458</v>
      </c>
      <c r="S1147" t="s">
        <v>75</v>
      </c>
      <c r="T1147" t="s">
        <v>66</v>
      </c>
      <c r="U1147" t="s">
        <v>67</v>
      </c>
    </row>
    <row r="1148" spans="1:21" x14ac:dyDescent="0.35">
      <c r="A1148" t="s">
        <v>1276</v>
      </c>
      <c r="B1148" s="5">
        <v>45905</v>
      </c>
      <c r="C1148" t="s">
        <v>73</v>
      </c>
      <c r="D1148" t="s">
        <v>74</v>
      </c>
      <c r="E1148" s="9">
        <v>3</v>
      </c>
      <c r="F1148" s="10">
        <v>280</v>
      </c>
      <c r="G1148" s="11">
        <v>0.02</v>
      </c>
      <c r="H1148" s="10">
        <v>823.2</v>
      </c>
      <c r="I1148" s="9">
        <v>0</v>
      </c>
      <c r="J1148" s="10">
        <v>0</v>
      </c>
      <c r="K1148" s="9">
        <v>3</v>
      </c>
      <c r="L1148" s="10">
        <v>823.2</v>
      </c>
      <c r="M1148" s="10">
        <v>676.97</v>
      </c>
      <c r="N1148" s="10">
        <v>146.22999999999999</v>
      </c>
      <c r="O1148" s="11">
        <f t="shared" si="66"/>
        <v>0.17763605442176869</v>
      </c>
      <c r="P1148" s="10">
        <v>54.73</v>
      </c>
      <c r="Q1148" s="10">
        <v>91.5</v>
      </c>
      <c r="R1148" s="11">
        <f t="shared" si="67"/>
        <v>0.11115160349854226</v>
      </c>
      <c r="S1148" t="s">
        <v>65</v>
      </c>
      <c r="T1148" t="s">
        <v>82</v>
      </c>
      <c r="U1148" t="s">
        <v>61</v>
      </c>
    </row>
    <row r="1149" spans="1:21" x14ac:dyDescent="0.35">
      <c r="A1149" t="s">
        <v>1277</v>
      </c>
      <c r="B1149" s="5">
        <v>45769</v>
      </c>
      <c r="C1149" t="s">
        <v>117</v>
      </c>
      <c r="D1149" t="s">
        <v>74</v>
      </c>
      <c r="E1149" s="9">
        <v>4</v>
      </c>
      <c r="F1149" s="10">
        <v>95</v>
      </c>
      <c r="G1149" s="11">
        <v>0.02</v>
      </c>
      <c r="H1149" s="10">
        <v>372.4</v>
      </c>
      <c r="I1149" s="9">
        <v>0</v>
      </c>
      <c r="J1149" s="10">
        <v>0</v>
      </c>
      <c r="K1149" s="9">
        <v>4</v>
      </c>
      <c r="L1149" s="10">
        <v>372.4</v>
      </c>
      <c r="M1149" s="10">
        <v>315.39999999999998</v>
      </c>
      <c r="N1149" s="10">
        <v>57</v>
      </c>
      <c r="O1149" s="11">
        <f t="shared" si="66"/>
        <v>0.15306122448979592</v>
      </c>
      <c r="P1149" s="10">
        <v>36.47</v>
      </c>
      <c r="Q1149" s="10">
        <v>20.53</v>
      </c>
      <c r="R1149" s="11">
        <f t="shared" si="67"/>
        <v>5.5128893662728252E-2</v>
      </c>
      <c r="S1149" t="s">
        <v>81</v>
      </c>
      <c r="T1149" t="s">
        <v>60</v>
      </c>
      <c r="U1149" t="s">
        <v>67</v>
      </c>
    </row>
    <row r="1150" spans="1:21" x14ac:dyDescent="0.35">
      <c r="A1150" t="s">
        <v>1278</v>
      </c>
      <c r="B1150" s="5">
        <v>46012</v>
      </c>
      <c r="C1150" t="s">
        <v>121</v>
      </c>
      <c r="D1150" t="s">
        <v>70</v>
      </c>
      <c r="E1150" s="9">
        <v>3</v>
      </c>
      <c r="F1150" s="10">
        <v>110</v>
      </c>
      <c r="G1150" s="11">
        <v>0.02</v>
      </c>
      <c r="H1150" s="10">
        <v>323.39999999999998</v>
      </c>
      <c r="I1150" s="9">
        <v>0</v>
      </c>
      <c r="J1150" s="10">
        <v>0</v>
      </c>
      <c r="K1150" s="9">
        <v>3</v>
      </c>
      <c r="L1150" s="10">
        <v>323.39999999999998</v>
      </c>
      <c r="M1150" s="10">
        <v>261.97000000000003</v>
      </c>
      <c r="N1150" s="10">
        <v>61.43</v>
      </c>
      <c r="O1150" s="11">
        <f t="shared" si="66"/>
        <v>0.18995052566481138</v>
      </c>
      <c r="P1150" s="10">
        <v>39.69</v>
      </c>
      <c r="Q1150" s="10">
        <v>21.74</v>
      </c>
      <c r="R1150" s="11">
        <f t="shared" si="67"/>
        <v>6.7223252937538655E-2</v>
      </c>
      <c r="S1150" t="s">
        <v>59</v>
      </c>
      <c r="T1150" t="s">
        <v>86</v>
      </c>
      <c r="U1150" t="s">
        <v>76</v>
      </c>
    </row>
    <row r="1151" spans="1:21" x14ac:dyDescent="0.35">
      <c r="A1151" t="s">
        <v>1279</v>
      </c>
      <c r="B1151" s="5">
        <v>46012</v>
      </c>
      <c r="C1151" t="s">
        <v>117</v>
      </c>
      <c r="D1151" t="s">
        <v>74</v>
      </c>
      <c r="E1151" s="9">
        <v>2</v>
      </c>
      <c r="F1151" s="10">
        <v>95</v>
      </c>
      <c r="G1151" s="11">
        <v>0</v>
      </c>
      <c r="H1151" s="10">
        <v>190</v>
      </c>
      <c r="I1151" s="9">
        <v>0</v>
      </c>
      <c r="J1151" s="10">
        <v>0</v>
      </c>
      <c r="K1151" s="9">
        <v>2</v>
      </c>
      <c r="L1151" s="10">
        <v>190</v>
      </c>
      <c r="M1151" s="10">
        <v>129.06</v>
      </c>
      <c r="N1151" s="10">
        <v>60.94</v>
      </c>
      <c r="O1151" s="11">
        <f t="shared" si="66"/>
        <v>0.32073684210526315</v>
      </c>
      <c r="P1151" s="10">
        <v>19.14</v>
      </c>
      <c r="Q1151" s="10">
        <v>41.8</v>
      </c>
      <c r="R1151" s="11">
        <f t="shared" si="67"/>
        <v>0.21999999999999997</v>
      </c>
      <c r="S1151" t="s">
        <v>65</v>
      </c>
      <c r="T1151" t="s">
        <v>66</v>
      </c>
      <c r="U1151" t="s">
        <v>67</v>
      </c>
    </row>
    <row r="1152" spans="1:21" x14ac:dyDescent="0.35">
      <c r="A1152" t="s">
        <v>1280</v>
      </c>
      <c r="B1152" s="5">
        <v>45954</v>
      </c>
      <c r="C1152" t="s">
        <v>63</v>
      </c>
      <c r="D1152" t="s">
        <v>64</v>
      </c>
      <c r="E1152" s="9">
        <v>6</v>
      </c>
      <c r="F1152" s="10">
        <v>145</v>
      </c>
      <c r="G1152" s="11">
        <v>0.1</v>
      </c>
      <c r="H1152" s="10">
        <v>783</v>
      </c>
      <c r="I1152" s="9">
        <v>0</v>
      </c>
      <c r="J1152" s="10">
        <v>0</v>
      </c>
      <c r="K1152" s="9">
        <v>6</v>
      </c>
      <c r="L1152" s="10">
        <v>783</v>
      </c>
      <c r="M1152" s="10">
        <v>561.12</v>
      </c>
      <c r="N1152" s="10">
        <v>221.88</v>
      </c>
      <c r="O1152" s="11">
        <f t="shared" si="66"/>
        <v>0.28337164750957855</v>
      </c>
      <c r="P1152" s="10">
        <v>63.2</v>
      </c>
      <c r="Q1152" s="10">
        <v>158.68</v>
      </c>
      <c r="R1152" s="11">
        <f t="shared" si="67"/>
        <v>0.20265644955300127</v>
      </c>
      <c r="S1152" t="s">
        <v>75</v>
      </c>
      <c r="T1152" t="s">
        <v>82</v>
      </c>
      <c r="U1152" t="s">
        <v>76</v>
      </c>
    </row>
    <row r="1153" spans="1:21" x14ac:dyDescent="0.35">
      <c r="A1153" t="s">
        <v>1281</v>
      </c>
      <c r="B1153" s="5">
        <v>45933</v>
      </c>
      <c r="C1153" t="s">
        <v>95</v>
      </c>
      <c r="D1153" t="s">
        <v>64</v>
      </c>
      <c r="E1153" s="9">
        <v>5</v>
      </c>
      <c r="F1153" s="10">
        <v>52</v>
      </c>
      <c r="G1153" s="11">
        <v>0</v>
      </c>
      <c r="H1153" s="10">
        <v>260</v>
      </c>
      <c r="I1153" s="9">
        <v>0</v>
      </c>
      <c r="J1153" s="10">
        <v>0</v>
      </c>
      <c r="K1153" s="9">
        <v>5</v>
      </c>
      <c r="L1153" s="10">
        <v>260</v>
      </c>
      <c r="M1153" s="10">
        <v>164.67</v>
      </c>
      <c r="N1153" s="10">
        <v>95.33</v>
      </c>
      <c r="O1153" s="11">
        <f t="shared" si="66"/>
        <v>0.36665384615384616</v>
      </c>
      <c r="P1153" s="10">
        <v>16.2</v>
      </c>
      <c r="Q1153" s="10">
        <v>79.13</v>
      </c>
      <c r="R1153" s="11">
        <f t="shared" si="67"/>
        <v>0.30434615384615382</v>
      </c>
      <c r="S1153" t="s">
        <v>59</v>
      </c>
      <c r="T1153" t="s">
        <v>86</v>
      </c>
      <c r="U1153" t="s">
        <v>61</v>
      </c>
    </row>
    <row r="1154" spans="1:21" x14ac:dyDescent="0.35">
      <c r="A1154" t="s">
        <v>1282</v>
      </c>
      <c r="B1154" s="5">
        <v>45803</v>
      </c>
      <c r="C1154" t="s">
        <v>69</v>
      </c>
      <c r="D1154" t="s">
        <v>70</v>
      </c>
      <c r="E1154" s="9">
        <v>2</v>
      </c>
      <c r="F1154" s="10">
        <v>210</v>
      </c>
      <c r="G1154" s="11">
        <v>0.02</v>
      </c>
      <c r="H1154" s="10">
        <v>411.6</v>
      </c>
      <c r="I1154" s="9">
        <v>0</v>
      </c>
      <c r="J1154" s="10">
        <v>0</v>
      </c>
      <c r="K1154" s="9">
        <v>2</v>
      </c>
      <c r="L1154" s="10">
        <v>411.6</v>
      </c>
      <c r="M1154" s="10">
        <v>324.20999999999998</v>
      </c>
      <c r="N1154" s="10">
        <v>87.39</v>
      </c>
      <c r="O1154" s="11">
        <f t="shared" si="66"/>
        <v>0.21231778425655976</v>
      </c>
      <c r="P1154" s="10">
        <v>36.799999999999997</v>
      </c>
      <c r="Q1154" s="10">
        <v>50.59</v>
      </c>
      <c r="R1154" s="11">
        <f t="shared" si="67"/>
        <v>0.12291059280855199</v>
      </c>
      <c r="S1154" t="s">
        <v>59</v>
      </c>
      <c r="T1154" t="s">
        <v>86</v>
      </c>
      <c r="U1154" t="s">
        <v>67</v>
      </c>
    </row>
    <row r="1155" spans="1:21" x14ac:dyDescent="0.35">
      <c r="A1155" t="s">
        <v>1283</v>
      </c>
      <c r="B1155" s="5">
        <v>45768</v>
      </c>
      <c r="C1155" t="s">
        <v>121</v>
      </c>
      <c r="D1155" t="s">
        <v>70</v>
      </c>
      <c r="E1155" s="9">
        <v>2</v>
      </c>
      <c r="F1155" s="10">
        <v>110</v>
      </c>
      <c r="G1155" s="11">
        <v>0</v>
      </c>
      <c r="H1155" s="10">
        <v>220</v>
      </c>
      <c r="I1155" s="9">
        <v>0</v>
      </c>
      <c r="J1155" s="10">
        <v>0</v>
      </c>
      <c r="K1155" s="9">
        <v>2</v>
      </c>
      <c r="L1155" s="10">
        <v>220</v>
      </c>
      <c r="M1155" s="10">
        <v>180.36</v>
      </c>
      <c r="N1155" s="10">
        <v>39.64</v>
      </c>
      <c r="O1155" s="11">
        <f t="shared" si="66"/>
        <v>0.18018181818181819</v>
      </c>
      <c r="P1155" s="10">
        <v>23.62</v>
      </c>
      <c r="Q1155" s="10">
        <v>16.02</v>
      </c>
      <c r="R1155" s="11">
        <f t="shared" si="67"/>
        <v>7.281818181818181E-2</v>
      </c>
      <c r="S1155" t="s">
        <v>65</v>
      </c>
      <c r="T1155" t="s">
        <v>66</v>
      </c>
      <c r="U1155" t="s">
        <v>76</v>
      </c>
    </row>
    <row r="1156" spans="1:21" x14ac:dyDescent="0.35">
      <c r="A1156" t="s">
        <v>1284</v>
      </c>
      <c r="B1156" s="5">
        <v>45878</v>
      </c>
      <c r="C1156" t="s">
        <v>92</v>
      </c>
      <c r="D1156" t="s">
        <v>79</v>
      </c>
      <c r="E1156" s="9">
        <v>5</v>
      </c>
      <c r="F1156" s="10">
        <v>85</v>
      </c>
      <c r="G1156" s="11">
        <v>0</v>
      </c>
      <c r="H1156" s="10">
        <v>425</v>
      </c>
      <c r="I1156" s="9">
        <v>0</v>
      </c>
      <c r="J1156" s="10">
        <v>0</v>
      </c>
      <c r="K1156" s="9">
        <v>5</v>
      </c>
      <c r="L1156" s="10">
        <v>425</v>
      </c>
      <c r="M1156" s="10">
        <v>364.43</v>
      </c>
      <c r="N1156" s="10">
        <v>60.57</v>
      </c>
      <c r="O1156" s="11">
        <f t="shared" si="66"/>
        <v>0.14251764705882353</v>
      </c>
      <c r="P1156" s="10">
        <v>29.91</v>
      </c>
      <c r="Q1156" s="10">
        <v>30.66</v>
      </c>
      <c r="R1156" s="11">
        <f t="shared" si="67"/>
        <v>7.2141176470588236E-2</v>
      </c>
      <c r="S1156" t="s">
        <v>59</v>
      </c>
      <c r="T1156" t="s">
        <v>60</v>
      </c>
      <c r="U1156" t="s">
        <v>76</v>
      </c>
    </row>
    <row r="1157" spans="1:21" x14ac:dyDescent="0.35">
      <c r="A1157" t="s">
        <v>1285</v>
      </c>
      <c r="B1157" s="5">
        <v>45977</v>
      </c>
      <c r="C1157" t="s">
        <v>84</v>
      </c>
      <c r="D1157" t="s">
        <v>85</v>
      </c>
      <c r="E1157" s="9">
        <v>4</v>
      </c>
      <c r="F1157" s="10">
        <v>48</v>
      </c>
      <c r="G1157" s="11">
        <v>0.05</v>
      </c>
      <c r="H1157" s="10">
        <v>182.4</v>
      </c>
      <c r="I1157" s="9">
        <v>0</v>
      </c>
      <c r="J1157" s="10">
        <v>0</v>
      </c>
      <c r="K1157" s="9">
        <v>4</v>
      </c>
      <c r="L1157" s="10">
        <v>182.4</v>
      </c>
      <c r="M1157" s="10">
        <v>115.05</v>
      </c>
      <c r="N1157" s="10">
        <v>67.349999999999994</v>
      </c>
      <c r="O1157" s="11">
        <f t="shared" si="66"/>
        <v>0.36924342105263153</v>
      </c>
      <c r="P1157" s="10">
        <v>13.21</v>
      </c>
      <c r="Q1157" s="10">
        <v>54.14</v>
      </c>
      <c r="R1157" s="11">
        <f t="shared" si="67"/>
        <v>0.29682017543859651</v>
      </c>
      <c r="S1157" t="s">
        <v>81</v>
      </c>
      <c r="T1157" t="s">
        <v>82</v>
      </c>
      <c r="U1157" t="s">
        <v>71</v>
      </c>
    </row>
    <row r="1158" spans="1:21" x14ac:dyDescent="0.35">
      <c r="A1158" t="s">
        <v>1286</v>
      </c>
      <c r="B1158" s="5">
        <v>45705</v>
      </c>
      <c r="C1158" t="s">
        <v>88</v>
      </c>
      <c r="D1158" t="s">
        <v>57</v>
      </c>
      <c r="E1158" s="9">
        <v>3</v>
      </c>
      <c r="F1158" s="10">
        <v>30</v>
      </c>
      <c r="G1158" s="11">
        <v>0.02</v>
      </c>
      <c r="H1158" s="10">
        <v>88.2</v>
      </c>
      <c r="I1158" s="9">
        <v>0</v>
      </c>
      <c r="J1158" s="10">
        <v>0</v>
      </c>
      <c r="K1158" s="9">
        <v>3</v>
      </c>
      <c r="L1158" s="10">
        <v>88.2</v>
      </c>
      <c r="M1158" s="10">
        <v>62.75</v>
      </c>
      <c r="N1158" s="10">
        <v>25.45</v>
      </c>
      <c r="O1158" s="11">
        <f t="shared" si="66"/>
        <v>0.28854875283446713</v>
      </c>
      <c r="P1158" s="10">
        <v>6.78</v>
      </c>
      <c r="Q1158" s="10">
        <v>18.670000000000002</v>
      </c>
      <c r="R1158" s="11">
        <f t="shared" si="67"/>
        <v>0.2116780045351474</v>
      </c>
      <c r="S1158" t="s">
        <v>65</v>
      </c>
      <c r="T1158" t="s">
        <v>66</v>
      </c>
      <c r="U1158" t="s">
        <v>76</v>
      </c>
    </row>
    <row r="1159" spans="1:21" x14ac:dyDescent="0.35">
      <c r="A1159" t="s">
        <v>1287</v>
      </c>
      <c r="B1159" s="5">
        <v>45667</v>
      </c>
      <c r="C1159" t="s">
        <v>63</v>
      </c>
      <c r="D1159" t="s">
        <v>64</v>
      </c>
      <c r="E1159" s="9">
        <v>1</v>
      </c>
      <c r="F1159" s="10">
        <v>145</v>
      </c>
      <c r="G1159" s="11">
        <v>0</v>
      </c>
      <c r="H1159" s="10">
        <v>145</v>
      </c>
      <c r="I1159" s="9">
        <v>0</v>
      </c>
      <c r="J1159" s="10">
        <v>0</v>
      </c>
      <c r="K1159" s="9">
        <v>1</v>
      </c>
      <c r="L1159" s="10">
        <v>145</v>
      </c>
      <c r="M1159" s="10">
        <v>122.71</v>
      </c>
      <c r="N1159" s="10">
        <v>22.29</v>
      </c>
      <c r="O1159" s="11">
        <f t="shared" si="66"/>
        <v>0.15372413793103448</v>
      </c>
      <c r="P1159" s="10">
        <v>8.27</v>
      </c>
      <c r="Q1159" s="10">
        <v>14.02</v>
      </c>
      <c r="R1159" s="11">
        <f t="shared" si="67"/>
        <v>9.6689655172413791E-2</v>
      </c>
      <c r="S1159" t="s">
        <v>75</v>
      </c>
      <c r="T1159" t="s">
        <v>86</v>
      </c>
      <c r="U1159" t="s">
        <v>67</v>
      </c>
    </row>
    <row r="1160" spans="1:21" x14ac:dyDescent="0.35">
      <c r="A1160" t="s">
        <v>1288</v>
      </c>
      <c r="B1160" s="5">
        <v>45912</v>
      </c>
      <c r="C1160" t="s">
        <v>121</v>
      </c>
      <c r="D1160" t="s">
        <v>70</v>
      </c>
      <c r="E1160" s="9">
        <v>3</v>
      </c>
      <c r="F1160" s="10">
        <v>110</v>
      </c>
      <c r="G1160" s="11">
        <v>0</v>
      </c>
      <c r="H1160" s="10">
        <v>330</v>
      </c>
      <c r="I1160" s="9">
        <v>0</v>
      </c>
      <c r="J1160" s="10">
        <v>0</v>
      </c>
      <c r="K1160" s="9">
        <v>3</v>
      </c>
      <c r="L1160" s="10">
        <v>330</v>
      </c>
      <c r="M1160" s="10">
        <v>254.22</v>
      </c>
      <c r="N1160" s="10">
        <v>75.78</v>
      </c>
      <c r="O1160" s="11">
        <f t="shared" si="66"/>
        <v>0.22963636363636364</v>
      </c>
      <c r="P1160" s="10">
        <v>42.08</v>
      </c>
      <c r="Q1160" s="10">
        <v>33.700000000000003</v>
      </c>
      <c r="R1160" s="11">
        <f t="shared" si="67"/>
        <v>0.10212121212121213</v>
      </c>
      <c r="S1160" t="s">
        <v>81</v>
      </c>
      <c r="T1160" t="s">
        <v>66</v>
      </c>
      <c r="U1160" t="s">
        <v>67</v>
      </c>
    </row>
    <row r="1161" spans="1:21" x14ac:dyDescent="0.35">
      <c r="A1161" t="s">
        <v>1289</v>
      </c>
      <c r="B1161" s="5">
        <v>45693</v>
      </c>
      <c r="C1161" t="s">
        <v>117</v>
      </c>
      <c r="D1161" t="s">
        <v>74</v>
      </c>
      <c r="E1161" s="9">
        <v>8</v>
      </c>
      <c r="F1161" s="10">
        <v>95</v>
      </c>
      <c r="G1161" s="11">
        <v>0.1</v>
      </c>
      <c r="H1161" s="10">
        <v>684</v>
      </c>
      <c r="I1161" s="9">
        <v>0</v>
      </c>
      <c r="J1161" s="10">
        <v>0</v>
      </c>
      <c r="K1161" s="9">
        <v>8</v>
      </c>
      <c r="L1161" s="10">
        <v>684</v>
      </c>
      <c r="M1161" s="10">
        <v>567.84</v>
      </c>
      <c r="N1161" s="10">
        <v>116.16</v>
      </c>
      <c r="O1161" s="11">
        <f t="shared" si="66"/>
        <v>0.16982456140350877</v>
      </c>
      <c r="P1161" s="10">
        <v>85.82</v>
      </c>
      <c r="Q1161" s="10">
        <v>30.34</v>
      </c>
      <c r="R1161" s="11">
        <f t="shared" si="67"/>
        <v>4.435672514619883E-2</v>
      </c>
      <c r="S1161" t="s">
        <v>75</v>
      </c>
      <c r="T1161" t="s">
        <v>60</v>
      </c>
      <c r="U1161" t="s">
        <v>67</v>
      </c>
    </row>
    <row r="1162" spans="1:21" x14ac:dyDescent="0.35">
      <c r="A1162" t="s">
        <v>1290</v>
      </c>
      <c r="B1162" s="5">
        <v>45920</v>
      </c>
      <c r="C1162" t="s">
        <v>88</v>
      </c>
      <c r="D1162" t="s">
        <v>57</v>
      </c>
      <c r="E1162" s="9">
        <v>1</v>
      </c>
      <c r="F1162" s="10">
        <v>30</v>
      </c>
      <c r="G1162" s="11">
        <v>0</v>
      </c>
      <c r="H1162" s="10">
        <v>30</v>
      </c>
      <c r="I1162" s="9">
        <v>0</v>
      </c>
      <c r="J1162" s="10">
        <v>0</v>
      </c>
      <c r="K1162" s="9">
        <v>1</v>
      </c>
      <c r="L1162" s="10">
        <v>30</v>
      </c>
      <c r="M1162" s="10">
        <v>24.11</v>
      </c>
      <c r="N1162" s="10">
        <v>5.89</v>
      </c>
      <c r="O1162" s="11">
        <f t="shared" si="66"/>
        <v>0.19633333333333333</v>
      </c>
      <c r="P1162" s="10">
        <v>3.61</v>
      </c>
      <c r="Q1162" s="10">
        <v>2.2799999999999998</v>
      </c>
      <c r="R1162" s="11">
        <f t="shared" si="67"/>
        <v>7.5999999999999998E-2</v>
      </c>
      <c r="S1162" t="s">
        <v>59</v>
      </c>
      <c r="T1162" t="s">
        <v>86</v>
      </c>
      <c r="U1162" t="s">
        <v>61</v>
      </c>
    </row>
    <row r="1163" spans="1:21" x14ac:dyDescent="0.35">
      <c r="A1163" t="s">
        <v>1291</v>
      </c>
      <c r="B1163" s="5">
        <v>45976</v>
      </c>
      <c r="C1163" t="s">
        <v>125</v>
      </c>
      <c r="D1163" t="s">
        <v>85</v>
      </c>
      <c r="E1163" s="9">
        <v>2</v>
      </c>
      <c r="F1163" s="10">
        <v>125</v>
      </c>
      <c r="G1163" s="11">
        <v>0.05</v>
      </c>
      <c r="H1163" s="10">
        <v>237.5</v>
      </c>
      <c r="I1163" s="9">
        <v>0</v>
      </c>
      <c r="J1163" s="10">
        <v>0</v>
      </c>
      <c r="K1163" s="9">
        <v>2</v>
      </c>
      <c r="L1163" s="10">
        <v>237.5</v>
      </c>
      <c r="M1163" s="10">
        <v>168.22</v>
      </c>
      <c r="N1163" s="10">
        <v>69.28</v>
      </c>
      <c r="O1163" s="11">
        <f t="shared" si="66"/>
        <v>0.29170526315789475</v>
      </c>
      <c r="P1163" s="10">
        <v>13.77</v>
      </c>
      <c r="Q1163" s="10">
        <v>55.51</v>
      </c>
      <c r="R1163" s="11">
        <f t="shared" si="67"/>
        <v>0.23372631578947367</v>
      </c>
      <c r="S1163" t="s">
        <v>75</v>
      </c>
      <c r="T1163" t="s">
        <v>86</v>
      </c>
      <c r="U1163" t="s">
        <v>76</v>
      </c>
    </row>
    <row r="1164" spans="1:21" x14ac:dyDescent="0.35">
      <c r="A1164" t="s">
        <v>1292</v>
      </c>
      <c r="B1164" s="5">
        <v>45876</v>
      </c>
      <c r="C1164" t="s">
        <v>90</v>
      </c>
      <c r="D1164" t="s">
        <v>70</v>
      </c>
      <c r="E1164" s="9">
        <v>4</v>
      </c>
      <c r="F1164" s="10">
        <v>38</v>
      </c>
      <c r="G1164" s="11">
        <v>0</v>
      </c>
      <c r="H1164" s="10">
        <v>152</v>
      </c>
      <c r="I1164" s="9">
        <v>0</v>
      </c>
      <c r="J1164" s="10">
        <v>0</v>
      </c>
      <c r="K1164" s="9">
        <v>4</v>
      </c>
      <c r="L1164" s="10">
        <v>152</v>
      </c>
      <c r="M1164" s="10">
        <v>126.51</v>
      </c>
      <c r="N1164" s="10">
        <v>25.49</v>
      </c>
      <c r="O1164" s="11">
        <f t="shared" si="66"/>
        <v>0.16769736842105262</v>
      </c>
      <c r="P1164" s="10">
        <v>12.81</v>
      </c>
      <c r="Q1164" s="10">
        <v>12.68</v>
      </c>
      <c r="R1164" s="11">
        <f t="shared" si="67"/>
        <v>8.3421052631578951E-2</v>
      </c>
      <c r="S1164" t="s">
        <v>81</v>
      </c>
      <c r="T1164" t="s">
        <v>66</v>
      </c>
      <c r="U1164" t="s">
        <v>61</v>
      </c>
    </row>
    <row r="1165" spans="1:21" x14ac:dyDescent="0.35">
      <c r="A1165" t="s">
        <v>1293</v>
      </c>
      <c r="B1165" s="5">
        <v>45700</v>
      </c>
      <c r="C1165" t="s">
        <v>109</v>
      </c>
      <c r="D1165" t="s">
        <v>85</v>
      </c>
      <c r="E1165" s="9">
        <v>5</v>
      </c>
      <c r="F1165" s="10">
        <v>180</v>
      </c>
      <c r="G1165" s="11">
        <v>0</v>
      </c>
      <c r="H1165" s="10">
        <v>900</v>
      </c>
      <c r="I1165" s="9">
        <v>0</v>
      </c>
      <c r="J1165" s="10">
        <v>0</v>
      </c>
      <c r="K1165" s="9">
        <v>5</v>
      </c>
      <c r="L1165" s="10">
        <v>900</v>
      </c>
      <c r="M1165" s="10">
        <v>753.39</v>
      </c>
      <c r="N1165" s="10">
        <v>146.61000000000001</v>
      </c>
      <c r="O1165" s="11">
        <f t="shared" si="66"/>
        <v>0.16290000000000002</v>
      </c>
      <c r="P1165" s="10">
        <v>72.150000000000006</v>
      </c>
      <c r="Q1165" s="10">
        <v>74.459999999999994</v>
      </c>
      <c r="R1165" s="11">
        <f t="shared" si="67"/>
        <v>8.2733333333333325E-2</v>
      </c>
      <c r="S1165" t="s">
        <v>59</v>
      </c>
      <c r="T1165" t="s">
        <v>66</v>
      </c>
      <c r="U1165" t="s">
        <v>61</v>
      </c>
    </row>
    <row r="1166" spans="1:21" x14ac:dyDescent="0.35">
      <c r="A1166" t="s">
        <v>1294</v>
      </c>
      <c r="B1166" s="5">
        <v>45789</v>
      </c>
      <c r="C1166" t="s">
        <v>125</v>
      </c>
      <c r="D1166" t="s">
        <v>85</v>
      </c>
      <c r="E1166" s="9">
        <v>1</v>
      </c>
      <c r="F1166" s="10">
        <v>125</v>
      </c>
      <c r="G1166" s="11">
        <v>0.02</v>
      </c>
      <c r="H1166" s="10">
        <v>122.5</v>
      </c>
      <c r="I1166" s="9">
        <v>0</v>
      </c>
      <c r="J1166" s="10">
        <v>0</v>
      </c>
      <c r="K1166" s="9">
        <v>1</v>
      </c>
      <c r="L1166" s="10">
        <v>122.5</v>
      </c>
      <c r="M1166" s="10">
        <v>104.64</v>
      </c>
      <c r="N1166" s="10">
        <v>17.86</v>
      </c>
      <c r="O1166" s="11">
        <f t="shared" si="66"/>
        <v>0.14579591836734693</v>
      </c>
      <c r="P1166" s="10">
        <v>10.64</v>
      </c>
      <c r="Q1166" s="10">
        <v>7.22</v>
      </c>
      <c r="R1166" s="11">
        <f t="shared" si="67"/>
        <v>5.8938775510204079E-2</v>
      </c>
      <c r="S1166" t="s">
        <v>65</v>
      </c>
      <c r="T1166" t="s">
        <v>66</v>
      </c>
      <c r="U1166" t="s">
        <v>76</v>
      </c>
    </row>
    <row r="1167" spans="1:21" x14ac:dyDescent="0.35">
      <c r="A1167" t="s">
        <v>1295</v>
      </c>
      <c r="B1167" s="5">
        <v>45838</v>
      </c>
      <c r="C1167" t="s">
        <v>97</v>
      </c>
      <c r="D1167" t="s">
        <v>57</v>
      </c>
      <c r="E1167" s="9">
        <v>5</v>
      </c>
      <c r="F1167" s="10">
        <v>55</v>
      </c>
      <c r="G1167" s="11">
        <v>0</v>
      </c>
      <c r="H1167" s="10">
        <v>275</v>
      </c>
      <c r="I1167" s="9">
        <v>0</v>
      </c>
      <c r="J1167" s="10">
        <v>0</v>
      </c>
      <c r="K1167" s="9">
        <v>5</v>
      </c>
      <c r="L1167" s="10">
        <v>275</v>
      </c>
      <c r="M1167" s="10">
        <v>236.4</v>
      </c>
      <c r="N1167" s="10">
        <v>38.6</v>
      </c>
      <c r="O1167" s="11">
        <f t="shared" si="66"/>
        <v>0.14036363636363636</v>
      </c>
      <c r="P1167" s="10">
        <v>32.76</v>
      </c>
      <c r="Q1167" s="10">
        <v>5.84</v>
      </c>
      <c r="R1167" s="11">
        <f t="shared" si="67"/>
        <v>2.1236363636363637E-2</v>
      </c>
      <c r="S1167" t="s">
        <v>81</v>
      </c>
      <c r="T1167" t="s">
        <v>86</v>
      </c>
      <c r="U1167" t="s">
        <v>76</v>
      </c>
    </row>
    <row r="1168" spans="1:21" x14ac:dyDescent="0.35">
      <c r="A1168" t="s">
        <v>1296</v>
      </c>
      <c r="B1168" s="5">
        <v>45986</v>
      </c>
      <c r="C1168" t="s">
        <v>117</v>
      </c>
      <c r="D1168" t="s">
        <v>74</v>
      </c>
      <c r="E1168" s="9">
        <v>3</v>
      </c>
      <c r="F1168" s="10">
        <v>95</v>
      </c>
      <c r="G1168" s="11">
        <v>0</v>
      </c>
      <c r="H1168" s="10">
        <v>285</v>
      </c>
      <c r="I1168" s="9">
        <v>0</v>
      </c>
      <c r="J1168" s="10">
        <v>0</v>
      </c>
      <c r="K1168" s="9">
        <v>3</v>
      </c>
      <c r="L1168" s="10">
        <v>285</v>
      </c>
      <c r="M1168" s="10">
        <v>232.94</v>
      </c>
      <c r="N1168" s="10">
        <v>52.06</v>
      </c>
      <c r="O1168" s="11">
        <f t="shared" ref="O1168:O1231" si="68">N1168/L1168</f>
        <v>0.18266666666666667</v>
      </c>
      <c r="P1168" s="10">
        <v>30.33</v>
      </c>
      <c r="Q1168" s="10">
        <v>21.73</v>
      </c>
      <c r="R1168" s="11">
        <f t="shared" ref="R1168:R1231" si="69">Q1168/L1168</f>
        <v>7.6245614035087728E-2</v>
      </c>
      <c r="S1168" t="s">
        <v>65</v>
      </c>
      <c r="T1168" t="s">
        <v>60</v>
      </c>
      <c r="U1168" t="s">
        <v>61</v>
      </c>
    </row>
    <row r="1169" spans="1:21" x14ac:dyDescent="0.35">
      <c r="A1169" t="s">
        <v>1297</v>
      </c>
      <c r="B1169" s="5">
        <v>45681</v>
      </c>
      <c r="C1169" t="s">
        <v>88</v>
      </c>
      <c r="D1169" t="s">
        <v>57</v>
      </c>
      <c r="E1169" s="9">
        <v>4</v>
      </c>
      <c r="F1169" s="10">
        <v>30</v>
      </c>
      <c r="G1169" s="11">
        <v>0</v>
      </c>
      <c r="H1169" s="10">
        <v>120</v>
      </c>
      <c r="I1169" s="9">
        <v>0</v>
      </c>
      <c r="J1169" s="10">
        <v>0</v>
      </c>
      <c r="K1169" s="9">
        <v>4</v>
      </c>
      <c r="L1169" s="10">
        <v>120</v>
      </c>
      <c r="M1169" s="10">
        <v>77.67</v>
      </c>
      <c r="N1169" s="10">
        <v>42.33</v>
      </c>
      <c r="O1169" s="11">
        <f t="shared" si="68"/>
        <v>0.35275000000000001</v>
      </c>
      <c r="P1169" s="10">
        <v>12.81</v>
      </c>
      <c r="Q1169" s="10">
        <v>29.52</v>
      </c>
      <c r="R1169" s="11">
        <f t="shared" si="69"/>
        <v>0.246</v>
      </c>
      <c r="S1169" t="s">
        <v>65</v>
      </c>
      <c r="T1169" t="s">
        <v>86</v>
      </c>
      <c r="U1169" t="s">
        <v>76</v>
      </c>
    </row>
    <row r="1170" spans="1:21" x14ac:dyDescent="0.35">
      <c r="A1170" t="s">
        <v>1298</v>
      </c>
      <c r="B1170" s="5">
        <v>45825</v>
      </c>
      <c r="C1170" t="s">
        <v>78</v>
      </c>
      <c r="D1170" t="s">
        <v>79</v>
      </c>
      <c r="E1170" s="9">
        <v>3</v>
      </c>
      <c r="F1170" s="10">
        <v>120</v>
      </c>
      <c r="G1170" s="11">
        <v>0.05</v>
      </c>
      <c r="H1170" s="10">
        <v>342</v>
      </c>
      <c r="I1170" s="9">
        <v>0</v>
      </c>
      <c r="J1170" s="10">
        <v>0</v>
      </c>
      <c r="K1170" s="9">
        <v>3</v>
      </c>
      <c r="L1170" s="10">
        <v>342</v>
      </c>
      <c r="M1170" s="10">
        <v>276.99</v>
      </c>
      <c r="N1170" s="10">
        <v>65.010000000000005</v>
      </c>
      <c r="O1170" s="11">
        <f t="shared" si="68"/>
        <v>0.19008771929824564</v>
      </c>
      <c r="P1170" s="10">
        <v>38.46</v>
      </c>
      <c r="Q1170" s="10">
        <v>26.55</v>
      </c>
      <c r="R1170" s="11">
        <f t="shared" si="69"/>
        <v>7.7631578947368426E-2</v>
      </c>
      <c r="S1170" t="s">
        <v>81</v>
      </c>
      <c r="T1170" t="s">
        <v>60</v>
      </c>
      <c r="U1170" t="s">
        <v>61</v>
      </c>
    </row>
    <row r="1171" spans="1:21" x14ac:dyDescent="0.35">
      <c r="A1171" t="s">
        <v>1299</v>
      </c>
      <c r="B1171" s="5">
        <v>45894</v>
      </c>
      <c r="C1171" t="s">
        <v>90</v>
      </c>
      <c r="D1171" t="s">
        <v>70</v>
      </c>
      <c r="E1171" s="9">
        <v>5</v>
      </c>
      <c r="F1171" s="10">
        <v>38</v>
      </c>
      <c r="G1171" s="11">
        <v>0</v>
      </c>
      <c r="H1171" s="10">
        <v>190</v>
      </c>
      <c r="I1171" s="9">
        <v>0</v>
      </c>
      <c r="J1171" s="10">
        <v>0</v>
      </c>
      <c r="K1171" s="9">
        <v>5</v>
      </c>
      <c r="L1171" s="10">
        <v>190</v>
      </c>
      <c r="M1171" s="10">
        <v>143.52000000000001</v>
      </c>
      <c r="N1171" s="10">
        <v>46.48</v>
      </c>
      <c r="O1171" s="11">
        <f t="shared" si="68"/>
        <v>0.24463157894736839</v>
      </c>
      <c r="P1171" s="10">
        <v>23.52</v>
      </c>
      <c r="Q1171" s="10">
        <v>22.96</v>
      </c>
      <c r="R1171" s="11">
        <f t="shared" si="69"/>
        <v>0.1208421052631579</v>
      </c>
      <c r="S1171" t="s">
        <v>65</v>
      </c>
      <c r="T1171" t="s">
        <v>60</v>
      </c>
      <c r="U1171" t="s">
        <v>67</v>
      </c>
    </row>
    <row r="1172" spans="1:21" x14ac:dyDescent="0.35">
      <c r="A1172" t="s">
        <v>1300</v>
      </c>
      <c r="B1172" s="5">
        <v>45857</v>
      </c>
      <c r="C1172" t="s">
        <v>92</v>
      </c>
      <c r="D1172" t="s">
        <v>79</v>
      </c>
      <c r="E1172" s="9">
        <v>2</v>
      </c>
      <c r="F1172" s="10">
        <v>85</v>
      </c>
      <c r="G1172" s="11">
        <v>0.02</v>
      </c>
      <c r="H1172" s="10">
        <v>166.6</v>
      </c>
      <c r="I1172" s="9">
        <v>0</v>
      </c>
      <c r="J1172" s="10">
        <v>0</v>
      </c>
      <c r="K1172" s="9">
        <v>2</v>
      </c>
      <c r="L1172" s="10">
        <v>166.6</v>
      </c>
      <c r="M1172" s="10">
        <v>118.32</v>
      </c>
      <c r="N1172" s="10">
        <v>48.28</v>
      </c>
      <c r="O1172" s="11">
        <f t="shared" si="68"/>
        <v>0.28979591836734697</v>
      </c>
      <c r="P1172" s="10">
        <v>20.010000000000002</v>
      </c>
      <c r="Q1172" s="10">
        <v>28.27</v>
      </c>
      <c r="R1172" s="11">
        <f t="shared" si="69"/>
        <v>0.16968787515006004</v>
      </c>
      <c r="S1172" t="s">
        <v>65</v>
      </c>
      <c r="T1172" t="s">
        <v>60</v>
      </c>
      <c r="U1172" t="s">
        <v>67</v>
      </c>
    </row>
    <row r="1173" spans="1:21" x14ac:dyDescent="0.35">
      <c r="A1173" t="s">
        <v>1301</v>
      </c>
      <c r="B1173" s="5">
        <v>45905</v>
      </c>
      <c r="C1173" t="s">
        <v>84</v>
      </c>
      <c r="D1173" t="s">
        <v>85</v>
      </c>
      <c r="E1173" s="9">
        <v>2</v>
      </c>
      <c r="F1173" s="10">
        <v>48</v>
      </c>
      <c r="G1173" s="11">
        <v>0</v>
      </c>
      <c r="H1173" s="10">
        <v>96</v>
      </c>
      <c r="I1173" s="9">
        <v>0</v>
      </c>
      <c r="J1173" s="10">
        <v>0</v>
      </c>
      <c r="K1173" s="9">
        <v>2</v>
      </c>
      <c r="L1173" s="10">
        <v>96</v>
      </c>
      <c r="M1173" s="10">
        <v>72.88</v>
      </c>
      <c r="N1173" s="10">
        <v>23.12</v>
      </c>
      <c r="O1173" s="11">
        <f t="shared" si="68"/>
        <v>0.24083333333333334</v>
      </c>
      <c r="P1173" s="10">
        <v>5.52</v>
      </c>
      <c r="Q1173" s="10">
        <v>17.600000000000001</v>
      </c>
      <c r="R1173" s="11">
        <f t="shared" si="69"/>
        <v>0.18333333333333335</v>
      </c>
      <c r="S1173" t="s">
        <v>81</v>
      </c>
      <c r="T1173" t="s">
        <v>60</v>
      </c>
      <c r="U1173" t="s">
        <v>67</v>
      </c>
    </row>
    <row r="1174" spans="1:21" x14ac:dyDescent="0.35">
      <c r="A1174" t="s">
        <v>1302</v>
      </c>
      <c r="B1174" s="5">
        <v>45848</v>
      </c>
      <c r="C1174" t="s">
        <v>107</v>
      </c>
      <c r="D1174" t="s">
        <v>74</v>
      </c>
      <c r="E1174" s="9">
        <v>1</v>
      </c>
      <c r="F1174" s="10">
        <v>125</v>
      </c>
      <c r="G1174" s="11">
        <v>0</v>
      </c>
      <c r="H1174" s="10">
        <v>125</v>
      </c>
      <c r="I1174" s="9">
        <v>0</v>
      </c>
      <c r="J1174" s="10">
        <v>0</v>
      </c>
      <c r="K1174" s="9">
        <v>1</v>
      </c>
      <c r="L1174" s="10">
        <v>125</v>
      </c>
      <c r="M1174" s="10">
        <v>89.37</v>
      </c>
      <c r="N1174" s="10">
        <v>35.630000000000003</v>
      </c>
      <c r="O1174" s="11">
        <f t="shared" si="68"/>
        <v>0.28504000000000002</v>
      </c>
      <c r="P1174" s="10">
        <v>14.67</v>
      </c>
      <c r="Q1174" s="10">
        <v>20.96</v>
      </c>
      <c r="R1174" s="11">
        <f t="shared" si="69"/>
        <v>0.16768</v>
      </c>
      <c r="S1174" t="s">
        <v>2133</v>
      </c>
      <c r="T1174" t="s">
        <v>60</v>
      </c>
      <c r="U1174" t="s">
        <v>71</v>
      </c>
    </row>
    <row r="1175" spans="1:21" x14ac:dyDescent="0.35">
      <c r="A1175" t="s">
        <v>1303</v>
      </c>
      <c r="B1175" s="5">
        <v>46002</v>
      </c>
      <c r="C1175" t="s">
        <v>107</v>
      </c>
      <c r="D1175" t="s">
        <v>74</v>
      </c>
      <c r="E1175" s="9">
        <v>2</v>
      </c>
      <c r="F1175" s="10">
        <v>125</v>
      </c>
      <c r="G1175" s="11">
        <v>0</v>
      </c>
      <c r="H1175" s="10">
        <v>250</v>
      </c>
      <c r="I1175" s="9">
        <v>0</v>
      </c>
      <c r="J1175" s="10">
        <v>0</v>
      </c>
      <c r="K1175" s="9">
        <v>2</v>
      </c>
      <c r="L1175" s="10">
        <v>250</v>
      </c>
      <c r="M1175" s="10">
        <v>187.09</v>
      </c>
      <c r="N1175" s="10">
        <v>62.91</v>
      </c>
      <c r="O1175" s="11">
        <f t="shared" si="68"/>
        <v>0.25163999999999997</v>
      </c>
      <c r="P1175" s="10">
        <v>22.67</v>
      </c>
      <c r="Q1175" s="10">
        <v>40.24</v>
      </c>
      <c r="R1175" s="11">
        <f t="shared" si="69"/>
        <v>0.16096000000000002</v>
      </c>
      <c r="S1175" t="s">
        <v>81</v>
      </c>
      <c r="T1175" t="s">
        <v>66</v>
      </c>
      <c r="U1175" t="s">
        <v>61</v>
      </c>
    </row>
    <row r="1176" spans="1:21" x14ac:dyDescent="0.35">
      <c r="A1176" t="s">
        <v>1304</v>
      </c>
      <c r="B1176" s="5">
        <v>45751</v>
      </c>
      <c r="C1176" t="s">
        <v>107</v>
      </c>
      <c r="D1176" t="s">
        <v>74</v>
      </c>
      <c r="E1176" s="9">
        <v>1</v>
      </c>
      <c r="F1176" s="10">
        <v>125</v>
      </c>
      <c r="G1176" s="11">
        <v>0</v>
      </c>
      <c r="H1176" s="10">
        <v>125</v>
      </c>
      <c r="I1176" s="9">
        <v>0</v>
      </c>
      <c r="J1176" s="10">
        <v>0</v>
      </c>
      <c r="K1176" s="9">
        <v>1</v>
      </c>
      <c r="L1176" s="10">
        <v>125</v>
      </c>
      <c r="M1176" s="10">
        <v>104.4</v>
      </c>
      <c r="N1176" s="10">
        <v>20.6</v>
      </c>
      <c r="O1176" s="11">
        <f t="shared" si="68"/>
        <v>0.1648</v>
      </c>
      <c r="P1176" s="10">
        <v>13.95</v>
      </c>
      <c r="Q1176" s="10">
        <v>6.65</v>
      </c>
      <c r="R1176" s="11">
        <f t="shared" si="69"/>
        <v>5.3200000000000004E-2</v>
      </c>
      <c r="S1176" t="s">
        <v>81</v>
      </c>
      <c r="T1176" t="s">
        <v>82</v>
      </c>
      <c r="U1176" t="s">
        <v>67</v>
      </c>
    </row>
    <row r="1177" spans="1:21" x14ac:dyDescent="0.35">
      <c r="A1177" t="s">
        <v>1305</v>
      </c>
      <c r="B1177" s="5">
        <v>45973</v>
      </c>
      <c r="C1177" t="s">
        <v>56</v>
      </c>
      <c r="D1177" t="s">
        <v>57</v>
      </c>
      <c r="E1177" s="9">
        <v>8</v>
      </c>
      <c r="F1177" s="10">
        <v>40</v>
      </c>
      <c r="G1177" s="11">
        <v>0</v>
      </c>
      <c r="H1177" s="10">
        <v>320</v>
      </c>
      <c r="I1177" s="9">
        <v>0</v>
      </c>
      <c r="J1177" s="10">
        <v>0</v>
      </c>
      <c r="K1177" s="9">
        <v>8</v>
      </c>
      <c r="L1177" s="10">
        <v>320</v>
      </c>
      <c r="M1177" s="10">
        <v>243.17</v>
      </c>
      <c r="N1177" s="10">
        <v>76.83</v>
      </c>
      <c r="O1177" s="11">
        <f t="shared" si="68"/>
        <v>0.24009374999999999</v>
      </c>
      <c r="P1177" s="10">
        <v>40.299999999999997</v>
      </c>
      <c r="Q1177" s="10">
        <v>36.53</v>
      </c>
      <c r="R1177" s="11">
        <f t="shared" si="69"/>
        <v>0.11415625</v>
      </c>
      <c r="S1177" t="s">
        <v>59</v>
      </c>
      <c r="T1177" t="s">
        <v>66</v>
      </c>
      <c r="U1177" t="s">
        <v>61</v>
      </c>
    </row>
    <row r="1178" spans="1:21" x14ac:dyDescent="0.35">
      <c r="A1178" t="s">
        <v>1306</v>
      </c>
      <c r="B1178" s="5">
        <v>45711</v>
      </c>
      <c r="C1178" t="s">
        <v>117</v>
      </c>
      <c r="D1178" t="s">
        <v>74</v>
      </c>
      <c r="E1178" s="9">
        <v>2</v>
      </c>
      <c r="F1178" s="10">
        <v>95</v>
      </c>
      <c r="G1178" s="11">
        <v>0.05</v>
      </c>
      <c r="H1178" s="10">
        <v>180.5</v>
      </c>
      <c r="I1178" s="9">
        <v>0</v>
      </c>
      <c r="J1178" s="10">
        <v>0</v>
      </c>
      <c r="K1178" s="9">
        <v>2</v>
      </c>
      <c r="L1178" s="10">
        <v>180.5</v>
      </c>
      <c r="M1178" s="10">
        <v>147.56</v>
      </c>
      <c r="N1178" s="10">
        <v>32.94</v>
      </c>
      <c r="O1178" s="11">
        <f t="shared" si="68"/>
        <v>0.18249307479224375</v>
      </c>
      <c r="P1178" s="10">
        <v>19.149999999999999</v>
      </c>
      <c r="Q1178" s="10">
        <v>13.79</v>
      </c>
      <c r="R1178" s="11">
        <f t="shared" si="69"/>
        <v>7.6398891966759003E-2</v>
      </c>
      <c r="S1178" t="s">
        <v>75</v>
      </c>
      <c r="T1178" t="s">
        <v>86</v>
      </c>
      <c r="U1178" t="s">
        <v>67</v>
      </c>
    </row>
    <row r="1179" spans="1:21" x14ac:dyDescent="0.35">
      <c r="A1179" t="s">
        <v>1307</v>
      </c>
      <c r="B1179" s="5">
        <v>45848</v>
      </c>
      <c r="C1179" t="s">
        <v>125</v>
      </c>
      <c r="D1179" t="s">
        <v>85</v>
      </c>
      <c r="E1179" s="9">
        <v>4</v>
      </c>
      <c r="F1179" s="10">
        <v>125</v>
      </c>
      <c r="G1179" s="11">
        <v>0</v>
      </c>
      <c r="H1179" s="10">
        <v>500</v>
      </c>
      <c r="I1179" s="9">
        <v>0</v>
      </c>
      <c r="J1179" s="10">
        <v>0</v>
      </c>
      <c r="K1179" s="9">
        <v>4</v>
      </c>
      <c r="L1179" s="10">
        <v>500</v>
      </c>
      <c r="M1179" s="10">
        <v>327.84</v>
      </c>
      <c r="N1179" s="10">
        <v>172.16</v>
      </c>
      <c r="O1179" s="11">
        <f t="shared" si="68"/>
        <v>0.34432000000000001</v>
      </c>
      <c r="P1179" s="10">
        <v>40.43</v>
      </c>
      <c r="Q1179" s="10">
        <v>131.72999999999999</v>
      </c>
      <c r="R1179" s="11">
        <f t="shared" si="69"/>
        <v>0.26345999999999997</v>
      </c>
      <c r="S1179" t="s">
        <v>81</v>
      </c>
      <c r="T1179" t="s">
        <v>86</v>
      </c>
      <c r="U1179" t="s">
        <v>76</v>
      </c>
    </row>
    <row r="1180" spans="1:21" x14ac:dyDescent="0.35">
      <c r="A1180" t="s">
        <v>1308</v>
      </c>
      <c r="B1180" s="5">
        <v>45949</v>
      </c>
      <c r="C1180" t="s">
        <v>104</v>
      </c>
      <c r="D1180" t="s">
        <v>105</v>
      </c>
      <c r="E1180" s="9">
        <v>1</v>
      </c>
      <c r="F1180" s="10">
        <v>65</v>
      </c>
      <c r="G1180" s="11">
        <v>0.02</v>
      </c>
      <c r="H1180" s="10">
        <v>63.7</v>
      </c>
      <c r="I1180" s="9">
        <v>0</v>
      </c>
      <c r="J1180" s="10">
        <v>0</v>
      </c>
      <c r="K1180" s="9">
        <v>1</v>
      </c>
      <c r="L1180" s="10">
        <v>63.7</v>
      </c>
      <c r="M1180" s="10">
        <v>48.1</v>
      </c>
      <c r="N1180" s="10">
        <v>15.6</v>
      </c>
      <c r="O1180" s="11">
        <f t="shared" si="68"/>
        <v>0.24489795918367346</v>
      </c>
      <c r="P1180" s="10">
        <v>3.95</v>
      </c>
      <c r="Q1180" s="10">
        <v>11.65</v>
      </c>
      <c r="R1180" s="11">
        <f t="shared" si="69"/>
        <v>0.18288854003139718</v>
      </c>
      <c r="S1180" t="s">
        <v>65</v>
      </c>
      <c r="T1180" t="s">
        <v>86</v>
      </c>
      <c r="U1180" t="s">
        <v>2133</v>
      </c>
    </row>
    <row r="1181" spans="1:21" x14ac:dyDescent="0.35">
      <c r="A1181" t="s">
        <v>1309</v>
      </c>
      <c r="B1181" s="5">
        <v>45738</v>
      </c>
      <c r="C1181" t="s">
        <v>117</v>
      </c>
      <c r="D1181" t="s">
        <v>74</v>
      </c>
      <c r="E1181" s="9">
        <v>1</v>
      </c>
      <c r="F1181" s="10">
        <v>95</v>
      </c>
      <c r="G1181" s="11">
        <v>0.1</v>
      </c>
      <c r="H1181" s="10">
        <v>85.5</v>
      </c>
      <c r="I1181" s="9">
        <v>0</v>
      </c>
      <c r="J1181" s="10">
        <v>0</v>
      </c>
      <c r="K1181" s="9">
        <v>1</v>
      </c>
      <c r="L1181" s="10">
        <v>85.5</v>
      </c>
      <c r="M1181" s="10">
        <v>58.27</v>
      </c>
      <c r="N1181" s="10">
        <v>27.23</v>
      </c>
      <c r="O1181" s="11">
        <f t="shared" si="68"/>
        <v>0.3184795321637427</v>
      </c>
      <c r="P1181" s="10">
        <v>10.23</v>
      </c>
      <c r="Q1181" s="10">
        <v>17</v>
      </c>
      <c r="R1181" s="11">
        <f t="shared" si="69"/>
        <v>0.19883040935672514</v>
      </c>
      <c r="S1181" t="s">
        <v>75</v>
      </c>
      <c r="T1181" t="s">
        <v>60</v>
      </c>
      <c r="U1181" t="s">
        <v>71</v>
      </c>
    </row>
    <row r="1182" spans="1:21" x14ac:dyDescent="0.35">
      <c r="A1182" t="s">
        <v>1310</v>
      </c>
      <c r="B1182" s="5">
        <v>45687</v>
      </c>
      <c r="C1182" t="s">
        <v>84</v>
      </c>
      <c r="D1182" t="s">
        <v>85</v>
      </c>
      <c r="E1182" s="9">
        <v>4</v>
      </c>
      <c r="F1182" s="10">
        <v>48</v>
      </c>
      <c r="G1182" s="11">
        <v>0</v>
      </c>
      <c r="H1182" s="10">
        <v>192</v>
      </c>
      <c r="I1182" s="9">
        <v>0</v>
      </c>
      <c r="J1182" s="10">
        <v>0</v>
      </c>
      <c r="K1182" s="9">
        <v>4</v>
      </c>
      <c r="L1182" s="10">
        <v>192</v>
      </c>
      <c r="M1182" s="10">
        <v>139.62</v>
      </c>
      <c r="N1182" s="10">
        <v>52.38</v>
      </c>
      <c r="O1182" s="11">
        <f t="shared" si="68"/>
        <v>0.27281250000000001</v>
      </c>
      <c r="P1182" s="10">
        <v>13.57</v>
      </c>
      <c r="Q1182" s="10">
        <v>38.81</v>
      </c>
      <c r="R1182" s="11">
        <f t="shared" si="69"/>
        <v>0.20213541666666668</v>
      </c>
      <c r="S1182" t="s">
        <v>59</v>
      </c>
      <c r="T1182" t="s">
        <v>66</v>
      </c>
      <c r="U1182" t="s">
        <v>61</v>
      </c>
    </row>
    <row r="1183" spans="1:21" x14ac:dyDescent="0.35">
      <c r="A1183" t="s">
        <v>1311</v>
      </c>
      <c r="B1183" s="5">
        <v>45887</v>
      </c>
      <c r="C1183" t="s">
        <v>125</v>
      </c>
      <c r="D1183" t="s">
        <v>85</v>
      </c>
      <c r="E1183" s="9">
        <v>3</v>
      </c>
      <c r="F1183" s="10">
        <v>125</v>
      </c>
      <c r="G1183" s="11">
        <v>0</v>
      </c>
      <c r="H1183" s="10">
        <v>375</v>
      </c>
      <c r="I1183" s="9">
        <v>0</v>
      </c>
      <c r="J1183" s="10">
        <v>0</v>
      </c>
      <c r="K1183" s="9">
        <v>3</v>
      </c>
      <c r="L1183" s="10">
        <v>375</v>
      </c>
      <c r="M1183" s="10">
        <v>274.35000000000002</v>
      </c>
      <c r="N1183" s="10">
        <v>100.65</v>
      </c>
      <c r="O1183" s="11">
        <f t="shared" si="68"/>
        <v>0.26840000000000003</v>
      </c>
      <c r="P1183" s="10">
        <v>45.27</v>
      </c>
      <c r="Q1183" s="10">
        <v>55.38</v>
      </c>
      <c r="R1183" s="11">
        <f t="shared" si="69"/>
        <v>0.14768000000000001</v>
      </c>
      <c r="S1183" t="s">
        <v>59</v>
      </c>
      <c r="T1183" t="s">
        <v>86</v>
      </c>
      <c r="U1183" t="s">
        <v>67</v>
      </c>
    </row>
    <row r="1184" spans="1:21" x14ac:dyDescent="0.35">
      <c r="A1184" t="s">
        <v>1312</v>
      </c>
      <c r="B1184" s="5">
        <v>45923</v>
      </c>
      <c r="C1184" t="s">
        <v>117</v>
      </c>
      <c r="D1184" t="s">
        <v>74</v>
      </c>
      <c r="E1184" s="9">
        <v>2</v>
      </c>
      <c r="F1184" s="10">
        <v>95</v>
      </c>
      <c r="G1184" s="11">
        <v>0</v>
      </c>
      <c r="H1184" s="10">
        <v>190</v>
      </c>
      <c r="I1184" s="9">
        <v>0</v>
      </c>
      <c r="J1184" s="10">
        <v>0</v>
      </c>
      <c r="K1184" s="9">
        <v>2</v>
      </c>
      <c r="L1184" s="10">
        <v>190</v>
      </c>
      <c r="M1184" s="10">
        <v>134.84</v>
      </c>
      <c r="N1184" s="10">
        <v>55.16</v>
      </c>
      <c r="O1184" s="11">
        <f t="shared" si="68"/>
        <v>0.29031578947368419</v>
      </c>
      <c r="P1184" s="10">
        <v>19.7</v>
      </c>
      <c r="Q1184" s="10">
        <v>35.46</v>
      </c>
      <c r="R1184" s="11">
        <f t="shared" si="69"/>
        <v>0.18663157894736843</v>
      </c>
      <c r="S1184" t="s">
        <v>75</v>
      </c>
      <c r="T1184" t="s">
        <v>66</v>
      </c>
      <c r="U1184" t="s">
        <v>61</v>
      </c>
    </row>
    <row r="1185" spans="1:21" x14ac:dyDescent="0.35">
      <c r="A1185" t="s">
        <v>1313</v>
      </c>
      <c r="B1185" s="5">
        <v>46013</v>
      </c>
      <c r="C1185" t="s">
        <v>95</v>
      </c>
      <c r="D1185" t="s">
        <v>64</v>
      </c>
      <c r="E1185" s="9">
        <v>1</v>
      </c>
      <c r="F1185" s="10">
        <v>52</v>
      </c>
      <c r="G1185" s="11">
        <v>0</v>
      </c>
      <c r="H1185" s="10">
        <v>52</v>
      </c>
      <c r="I1185" s="9">
        <v>0</v>
      </c>
      <c r="J1185" s="10">
        <v>0</v>
      </c>
      <c r="K1185" s="9">
        <v>1</v>
      </c>
      <c r="L1185" s="10">
        <v>52</v>
      </c>
      <c r="M1185" s="10">
        <v>32.270000000000003</v>
      </c>
      <c r="N1185" s="10">
        <v>19.73</v>
      </c>
      <c r="O1185" s="11">
        <f t="shared" si="68"/>
        <v>0.37942307692307692</v>
      </c>
      <c r="P1185" s="10">
        <v>4.6900000000000004</v>
      </c>
      <c r="Q1185" s="10">
        <v>15.04</v>
      </c>
      <c r="R1185" s="11">
        <f t="shared" si="69"/>
        <v>0.28923076923076924</v>
      </c>
      <c r="S1185" t="s">
        <v>59</v>
      </c>
      <c r="T1185" t="s">
        <v>86</v>
      </c>
      <c r="U1185" t="s">
        <v>61</v>
      </c>
    </row>
    <row r="1186" spans="1:21" x14ac:dyDescent="0.35">
      <c r="A1186" t="s">
        <v>1314</v>
      </c>
      <c r="B1186" s="5">
        <v>45764</v>
      </c>
      <c r="C1186" t="s">
        <v>73</v>
      </c>
      <c r="D1186" t="s">
        <v>74</v>
      </c>
      <c r="E1186" s="9">
        <v>2</v>
      </c>
      <c r="F1186" s="10">
        <v>280</v>
      </c>
      <c r="G1186" s="11">
        <v>0</v>
      </c>
      <c r="H1186" s="10">
        <v>560</v>
      </c>
      <c r="I1186" s="9">
        <v>0</v>
      </c>
      <c r="J1186" s="10">
        <v>0</v>
      </c>
      <c r="K1186" s="9">
        <v>2</v>
      </c>
      <c r="L1186" s="10">
        <v>560</v>
      </c>
      <c r="M1186" s="10">
        <v>434.17</v>
      </c>
      <c r="N1186" s="10">
        <v>125.83</v>
      </c>
      <c r="O1186" s="11">
        <f t="shared" si="68"/>
        <v>0.22469642857142857</v>
      </c>
      <c r="P1186" s="10">
        <v>50.19</v>
      </c>
      <c r="Q1186" s="10">
        <v>75.64</v>
      </c>
      <c r="R1186" s="11">
        <f t="shared" si="69"/>
        <v>0.13507142857142856</v>
      </c>
      <c r="S1186" t="s">
        <v>59</v>
      </c>
      <c r="T1186" t="s">
        <v>82</v>
      </c>
      <c r="U1186" t="s">
        <v>67</v>
      </c>
    </row>
    <row r="1187" spans="1:21" x14ac:dyDescent="0.35">
      <c r="A1187" t="s">
        <v>1315</v>
      </c>
      <c r="B1187" s="5">
        <v>45951</v>
      </c>
      <c r="C1187" t="s">
        <v>88</v>
      </c>
      <c r="D1187" t="s">
        <v>57</v>
      </c>
      <c r="E1187" s="9">
        <v>3</v>
      </c>
      <c r="F1187" s="10">
        <v>30</v>
      </c>
      <c r="G1187" s="11">
        <v>0.05</v>
      </c>
      <c r="H1187" s="10">
        <v>85.5</v>
      </c>
      <c r="I1187" s="9">
        <v>0</v>
      </c>
      <c r="J1187" s="10">
        <v>0</v>
      </c>
      <c r="K1187" s="9">
        <v>3</v>
      </c>
      <c r="L1187" s="10">
        <v>85.5</v>
      </c>
      <c r="M1187" s="10">
        <v>64.44</v>
      </c>
      <c r="N1187" s="10">
        <v>21.06</v>
      </c>
      <c r="O1187" s="11">
        <f t="shared" si="68"/>
        <v>0.24631578947368418</v>
      </c>
      <c r="P1187" s="10">
        <v>6.86</v>
      </c>
      <c r="Q1187" s="10">
        <v>14.2</v>
      </c>
      <c r="R1187" s="11">
        <f t="shared" si="69"/>
        <v>0.16608187134502922</v>
      </c>
      <c r="S1187" t="s">
        <v>59</v>
      </c>
      <c r="T1187" t="s">
        <v>60</v>
      </c>
      <c r="U1187" t="s">
        <v>71</v>
      </c>
    </row>
    <row r="1188" spans="1:21" x14ac:dyDescent="0.35">
      <c r="A1188" t="s">
        <v>1316</v>
      </c>
      <c r="B1188" s="5">
        <v>45739</v>
      </c>
      <c r="C1188" t="s">
        <v>78</v>
      </c>
      <c r="D1188" t="s">
        <v>79</v>
      </c>
      <c r="E1188" s="9">
        <v>1</v>
      </c>
      <c r="F1188" s="10">
        <v>120</v>
      </c>
      <c r="G1188" s="11">
        <v>0.02</v>
      </c>
      <c r="H1188" s="10">
        <v>117.6</v>
      </c>
      <c r="I1188" s="9">
        <v>0</v>
      </c>
      <c r="J1188" s="10">
        <v>0</v>
      </c>
      <c r="K1188" s="9">
        <v>1</v>
      </c>
      <c r="L1188" s="10">
        <v>117.6</v>
      </c>
      <c r="M1188" s="10">
        <v>74.650000000000006</v>
      </c>
      <c r="N1188" s="10">
        <v>42.95</v>
      </c>
      <c r="O1188" s="11">
        <f t="shared" si="68"/>
        <v>0.36522108843537421</v>
      </c>
      <c r="P1188" s="10">
        <v>7.22</v>
      </c>
      <c r="Q1188" s="10">
        <v>35.729999999999997</v>
      </c>
      <c r="R1188" s="11">
        <f t="shared" si="69"/>
        <v>0.3038265306122449</v>
      </c>
      <c r="S1188" t="s">
        <v>59</v>
      </c>
      <c r="T1188" t="s">
        <v>66</v>
      </c>
      <c r="U1188" t="s">
        <v>67</v>
      </c>
    </row>
    <row r="1189" spans="1:21" x14ac:dyDescent="0.35">
      <c r="A1189" t="s">
        <v>1317</v>
      </c>
      <c r="B1189" s="5">
        <v>45926</v>
      </c>
      <c r="C1189" t="s">
        <v>264</v>
      </c>
      <c r="D1189" t="s">
        <v>85</v>
      </c>
      <c r="E1189" s="9">
        <v>2</v>
      </c>
      <c r="F1189" s="10">
        <v>20</v>
      </c>
      <c r="G1189" s="11">
        <v>0.02</v>
      </c>
      <c r="H1189" s="10">
        <v>39.200000000000003</v>
      </c>
      <c r="I1189" s="9">
        <v>0</v>
      </c>
      <c r="J1189" s="10">
        <v>0</v>
      </c>
      <c r="K1189" s="9">
        <v>2</v>
      </c>
      <c r="L1189" s="10">
        <v>39.200000000000003</v>
      </c>
      <c r="M1189" s="10">
        <v>26.9</v>
      </c>
      <c r="N1189" s="10">
        <v>12.3</v>
      </c>
      <c r="O1189" s="11">
        <f t="shared" si="68"/>
        <v>0.31377551020408162</v>
      </c>
      <c r="P1189" s="10">
        <v>2.76</v>
      </c>
      <c r="Q1189" s="10">
        <v>9.5399999999999991</v>
      </c>
      <c r="R1189" s="11">
        <f t="shared" si="69"/>
        <v>0.24336734693877546</v>
      </c>
      <c r="S1189" t="s">
        <v>65</v>
      </c>
      <c r="T1189" t="s">
        <v>60</v>
      </c>
      <c r="U1189" t="s">
        <v>76</v>
      </c>
    </row>
    <row r="1190" spans="1:21" x14ac:dyDescent="0.35">
      <c r="A1190" t="s">
        <v>1318</v>
      </c>
      <c r="B1190" s="5">
        <v>45911</v>
      </c>
      <c r="C1190" t="s">
        <v>90</v>
      </c>
      <c r="D1190" t="s">
        <v>70</v>
      </c>
      <c r="E1190" s="9">
        <v>6</v>
      </c>
      <c r="F1190" s="10">
        <v>38</v>
      </c>
      <c r="G1190" s="11">
        <v>0</v>
      </c>
      <c r="H1190" s="10">
        <v>228</v>
      </c>
      <c r="I1190" s="9">
        <v>0</v>
      </c>
      <c r="J1190" s="10">
        <v>0</v>
      </c>
      <c r="K1190" s="9">
        <v>6</v>
      </c>
      <c r="L1190" s="10">
        <v>228</v>
      </c>
      <c r="M1190" s="10">
        <v>195.47</v>
      </c>
      <c r="N1190" s="10">
        <v>32.53</v>
      </c>
      <c r="O1190" s="11">
        <f t="shared" si="68"/>
        <v>0.14267543859649123</v>
      </c>
      <c r="P1190" s="10">
        <v>12.83</v>
      </c>
      <c r="Q1190" s="10">
        <v>19.7</v>
      </c>
      <c r="R1190" s="11">
        <f t="shared" si="69"/>
        <v>8.6403508771929816E-2</v>
      </c>
      <c r="S1190" t="s">
        <v>65</v>
      </c>
      <c r="T1190" t="s">
        <v>66</v>
      </c>
      <c r="U1190" t="s">
        <v>67</v>
      </c>
    </row>
    <row r="1191" spans="1:21" x14ac:dyDescent="0.35">
      <c r="A1191" t="s">
        <v>1319</v>
      </c>
      <c r="B1191" s="5">
        <v>45961</v>
      </c>
      <c r="C1191" t="s">
        <v>95</v>
      </c>
      <c r="D1191" t="s">
        <v>64</v>
      </c>
      <c r="E1191" s="9">
        <v>2</v>
      </c>
      <c r="F1191" s="10">
        <v>52</v>
      </c>
      <c r="G1191" s="11">
        <v>0</v>
      </c>
      <c r="H1191" s="10">
        <v>104</v>
      </c>
      <c r="I1191" s="9">
        <v>0</v>
      </c>
      <c r="J1191" s="10">
        <v>0</v>
      </c>
      <c r="K1191" s="9">
        <v>2</v>
      </c>
      <c r="L1191" s="10">
        <v>104</v>
      </c>
      <c r="M1191" s="10">
        <v>79.56</v>
      </c>
      <c r="N1191" s="10">
        <v>24.44</v>
      </c>
      <c r="O1191" s="11">
        <f t="shared" si="68"/>
        <v>0.23500000000000001</v>
      </c>
      <c r="P1191" s="10">
        <v>10.210000000000001</v>
      </c>
      <c r="Q1191" s="10">
        <v>14.23</v>
      </c>
      <c r="R1191" s="11">
        <f t="shared" si="69"/>
        <v>0.13682692307692307</v>
      </c>
      <c r="S1191" t="s">
        <v>59</v>
      </c>
      <c r="T1191" t="s">
        <v>66</v>
      </c>
      <c r="U1191" t="s">
        <v>76</v>
      </c>
    </row>
    <row r="1192" spans="1:21" x14ac:dyDescent="0.35">
      <c r="A1192" t="s">
        <v>1320</v>
      </c>
      <c r="B1192" s="5">
        <v>45872</v>
      </c>
      <c r="C1192" t="s">
        <v>63</v>
      </c>
      <c r="D1192" t="s">
        <v>64</v>
      </c>
      <c r="E1192" s="9">
        <v>2</v>
      </c>
      <c r="F1192" s="10">
        <v>145</v>
      </c>
      <c r="G1192" s="11">
        <v>0</v>
      </c>
      <c r="H1192" s="10">
        <v>290</v>
      </c>
      <c r="I1192" s="9">
        <v>0</v>
      </c>
      <c r="J1192" s="10">
        <v>0</v>
      </c>
      <c r="K1192" s="9">
        <v>2</v>
      </c>
      <c r="L1192" s="10">
        <v>290</v>
      </c>
      <c r="M1192" s="10">
        <v>212.45</v>
      </c>
      <c r="N1192" s="10">
        <v>77.55</v>
      </c>
      <c r="O1192" s="11">
        <f t="shared" si="68"/>
        <v>0.26741379310344826</v>
      </c>
      <c r="P1192" s="10">
        <v>16.989999999999998</v>
      </c>
      <c r="Q1192" s="10">
        <v>60.56</v>
      </c>
      <c r="R1192" s="11">
        <f t="shared" si="69"/>
        <v>0.20882758620689656</v>
      </c>
      <c r="S1192" t="s">
        <v>59</v>
      </c>
      <c r="T1192" t="s">
        <v>82</v>
      </c>
      <c r="U1192" t="s">
        <v>71</v>
      </c>
    </row>
    <row r="1193" spans="1:21" x14ac:dyDescent="0.35">
      <c r="A1193" t="s">
        <v>1321</v>
      </c>
      <c r="B1193" s="5">
        <v>45723</v>
      </c>
      <c r="C1193" t="s">
        <v>84</v>
      </c>
      <c r="D1193" t="s">
        <v>85</v>
      </c>
      <c r="E1193" s="9">
        <v>5</v>
      </c>
      <c r="F1193" s="10">
        <v>48</v>
      </c>
      <c r="G1193" s="11">
        <v>0</v>
      </c>
      <c r="H1193" s="10">
        <v>240</v>
      </c>
      <c r="I1193" s="9">
        <v>0</v>
      </c>
      <c r="J1193" s="10">
        <v>0</v>
      </c>
      <c r="K1193" s="9">
        <v>5</v>
      </c>
      <c r="L1193" s="10">
        <v>240</v>
      </c>
      <c r="M1193" s="10">
        <v>189.35</v>
      </c>
      <c r="N1193" s="10">
        <v>50.65</v>
      </c>
      <c r="O1193" s="11">
        <f t="shared" si="68"/>
        <v>0.21104166666666666</v>
      </c>
      <c r="P1193" s="10">
        <v>17.95</v>
      </c>
      <c r="Q1193" s="10">
        <v>32.700000000000003</v>
      </c>
      <c r="R1193" s="11">
        <f t="shared" si="69"/>
        <v>0.13625000000000001</v>
      </c>
      <c r="S1193" t="s">
        <v>75</v>
      </c>
      <c r="T1193" t="s">
        <v>66</v>
      </c>
      <c r="U1193" t="s">
        <v>67</v>
      </c>
    </row>
    <row r="1194" spans="1:21" x14ac:dyDescent="0.35">
      <c r="A1194" t="s">
        <v>1322</v>
      </c>
      <c r="B1194" s="5">
        <v>45816</v>
      </c>
      <c r="C1194" t="s">
        <v>84</v>
      </c>
      <c r="D1194" t="s">
        <v>85</v>
      </c>
      <c r="E1194" s="9">
        <v>2</v>
      </c>
      <c r="F1194" s="10">
        <v>48</v>
      </c>
      <c r="G1194" s="11">
        <v>0</v>
      </c>
      <c r="H1194" s="10">
        <v>96</v>
      </c>
      <c r="I1194" s="9">
        <v>0</v>
      </c>
      <c r="J1194" s="10">
        <v>0</v>
      </c>
      <c r="K1194" s="9">
        <v>2</v>
      </c>
      <c r="L1194" s="10">
        <v>96</v>
      </c>
      <c r="M1194" s="10">
        <v>77.64</v>
      </c>
      <c r="N1194" s="10">
        <v>18.36</v>
      </c>
      <c r="O1194" s="11">
        <f t="shared" si="68"/>
        <v>0.19125</v>
      </c>
      <c r="P1194" s="10">
        <v>11.24</v>
      </c>
      <c r="Q1194" s="10">
        <v>7.12</v>
      </c>
      <c r="R1194" s="11">
        <f t="shared" si="69"/>
        <v>7.4166666666666672E-2</v>
      </c>
      <c r="S1194" t="s">
        <v>65</v>
      </c>
      <c r="T1194" t="s">
        <v>66</v>
      </c>
      <c r="U1194" t="s">
        <v>71</v>
      </c>
    </row>
    <row r="1195" spans="1:21" x14ac:dyDescent="0.35">
      <c r="A1195" t="s">
        <v>1323</v>
      </c>
      <c r="B1195" s="5">
        <v>45668</v>
      </c>
      <c r="C1195" t="s">
        <v>69</v>
      </c>
      <c r="D1195" t="s">
        <v>70</v>
      </c>
      <c r="E1195" s="9">
        <v>1</v>
      </c>
      <c r="F1195" s="10">
        <v>210</v>
      </c>
      <c r="G1195" s="11">
        <v>0</v>
      </c>
      <c r="H1195" s="10">
        <v>210</v>
      </c>
      <c r="I1195" s="9">
        <v>0</v>
      </c>
      <c r="J1195" s="10">
        <v>0</v>
      </c>
      <c r="K1195" s="9">
        <v>1</v>
      </c>
      <c r="L1195" s="10">
        <v>210</v>
      </c>
      <c r="M1195" s="10">
        <v>172.7</v>
      </c>
      <c r="N1195" s="10">
        <v>37.299999999999997</v>
      </c>
      <c r="O1195" s="11">
        <f t="shared" si="68"/>
        <v>0.17761904761904759</v>
      </c>
      <c r="P1195" s="10">
        <v>15.73</v>
      </c>
      <c r="Q1195" s="10">
        <v>21.57</v>
      </c>
      <c r="R1195" s="11">
        <f t="shared" si="69"/>
        <v>0.10271428571428572</v>
      </c>
      <c r="S1195" t="s">
        <v>59</v>
      </c>
      <c r="T1195" t="s">
        <v>82</v>
      </c>
      <c r="U1195" t="s">
        <v>67</v>
      </c>
    </row>
    <row r="1196" spans="1:21" x14ac:dyDescent="0.35">
      <c r="A1196" t="s">
        <v>1324</v>
      </c>
      <c r="B1196" s="5">
        <v>45843</v>
      </c>
      <c r="C1196" t="s">
        <v>69</v>
      </c>
      <c r="D1196" t="s">
        <v>70</v>
      </c>
      <c r="E1196" s="9">
        <v>2</v>
      </c>
      <c r="F1196" s="10">
        <v>210</v>
      </c>
      <c r="G1196" s="11">
        <v>0</v>
      </c>
      <c r="H1196" s="10">
        <v>420</v>
      </c>
      <c r="I1196" s="9">
        <v>0</v>
      </c>
      <c r="J1196" s="10">
        <v>0</v>
      </c>
      <c r="K1196" s="9">
        <v>2</v>
      </c>
      <c r="L1196" s="10">
        <v>420</v>
      </c>
      <c r="M1196" s="10">
        <v>332.77</v>
      </c>
      <c r="N1196" s="10">
        <v>87.23</v>
      </c>
      <c r="O1196" s="11">
        <f t="shared" si="68"/>
        <v>0.2076904761904762</v>
      </c>
      <c r="P1196" s="10">
        <v>22.71</v>
      </c>
      <c r="Q1196" s="10">
        <v>64.52</v>
      </c>
      <c r="R1196" s="11">
        <f t="shared" si="69"/>
        <v>0.1536190476190476</v>
      </c>
      <c r="S1196" t="s">
        <v>81</v>
      </c>
      <c r="T1196" t="s">
        <v>66</v>
      </c>
      <c r="U1196" t="s">
        <v>61</v>
      </c>
    </row>
    <row r="1197" spans="1:21" x14ac:dyDescent="0.35">
      <c r="A1197" t="s">
        <v>1325</v>
      </c>
      <c r="B1197" s="5">
        <v>45684</v>
      </c>
      <c r="C1197" t="s">
        <v>109</v>
      </c>
      <c r="D1197" t="s">
        <v>85</v>
      </c>
      <c r="E1197" s="9">
        <v>2</v>
      </c>
      <c r="F1197" s="10">
        <v>180</v>
      </c>
      <c r="G1197" s="11">
        <v>0</v>
      </c>
      <c r="H1197" s="10">
        <v>360</v>
      </c>
      <c r="I1197" s="9">
        <v>0</v>
      </c>
      <c r="J1197" s="10">
        <v>0</v>
      </c>
      <c r="K1197" s="9">
        <v>2</v>
      </c>
      <c r="L1197" s="10">
        <v>360</v>
      </c>
      <c r="M1197" s="10">
        <v>236.46</v>
      </c>
      <c r="N1197" s="10">
        <v>123.54</v>
      </c>
      <c r="O1197" s="11">
        <f t="shared" si="68"/>
        <v>0.34316666666666668</v>
      </c>
      <c r="P1197" s="10">
        <v>19.97</v>
      </c>
      <c r="Q1197" s="10">
        <v>103.57</v>
      </c>
      <c r="R1197" s="11">
        <f t="shared" si="69"/>
        <v>0.28769444444444442</v>
      </c>
      <c r="S1197" t="s">
        <v>81</v>
      </c>
      <c r="T1197" t="s">
        <v>86</v>
      </c>
      <c r="U1197" t="s">
        <v>71</v>
      </c>
    </row>
    <row r="1198" spans="1:21" x14ac:dyDescent="0.35">
      <c r="A1198" t="s">
        <v>1326</v>
      </c>
      <c r="B1198" s="5">
        <v>45872</v>
      </c>
      <c r="C1198" t="s">
        <v>88</v>
      </c>
      <c r="D1198" t="s">
        <v>57</v>
      </c>
      <c r="E1198" s="9">
        <v>4</v>
      </c>
      <c r="F1198" s="10">
        <v>30</v>
      </c>
      <c r="G1198" s="11">
        <v>0</v>
      </c>
      <c r="H1198" s="10">
        <v>120</v>
      </c>
      <c r="I1198" s="9">
        <v>0</v>
      </c>
      <c r="J1198" s="10">
        <v>0</v>
      </c>
      <c r="K1198" s="9">
        <v>4</v>
      </c>
      <c r="L1198" s="10">
        <v>120</v>
      </c>
      <c r="M1198" s="10">
        <v>80.87</v>
      </c>
      <c r="N1198" s="10">
        <v>39.130000000000003</v>
      </c>
      <c r="O1198" s="11">
        <f t="shared" si="68"/>
        <v>0.32608333333333334</v>
      </c>
      <c r="P1198" s="10">
        <v>12.8</v>
      </c>
      <c r="Q1198" s="10">
        <v>26.33</v>
      </c>
      <c r="R1198" s="11">
        <f t="shared" si="69"/>
        <v>0.21941666666666665</v>
      </c>
      <c r="S1198" t="s">
        <v>81</v>
      </c>
      <c r="T1198" t="s">
        <v>82</v>
      </c>
      <c r="U1198" t="s">
        <v>71</v>
      </c>
    </row>
    <row r="1199" spans="1:21" x14ac:dyDescent="0.35">
      <c r="A1199" t="s">
        <v>1327</v>
      </c>
      <c r="B1199" s="5">
        <v>45947</v>
      </c>
      <c r="C1199" t="s">
        <v>84</v>
      </c>
      <c r="D1199" t="s">
        <v>85</v>
      </c>
      <c r="E1199" s="9">
        <v>2</v>
      </c>
      <c r="F1199" s="10">
        <v>48</v>
      </c>
      <c r="G1199" s="11">
        <v>0</v>
      </c>
      <c r="H1199" s="10">
        <v>96</v>
      </c>
      <c r="I1199" s="9">
        <v>0</v>
      </c>
      <c r="J1199" s="10">
        <v>0</v>
      </c>
      <c r="K1199" s="9">
        <v>2</v>
      </c>
      <c r="L1199" s="10">
        <v>96</v>
      </c>
      <c r="M1199" s="10">
        <v>59.96</v>
      </c>
      <c r="N1199" s="10">
        <v>36.04</v>
      </c>
      <c r="O1199" s="11">
        <f t="shared" si="68"/>
        <v>0.37541666666666668</v>
      </c>
      <c r="P1199" s="10">
        <v>6.11</v>
      </c>
      <c r="Q1199" s="10">
        <v>29.93</v>
      </c>
      <c r="R1199" s="11">
        <f t="shared" si="69"/>
        <v>0.31177083333333333</v>
      </c>
      <c r="S1199" t="s">
        <v>59</v>
      </c>
      <c r="T1199" t="s">
        <v>66</v>
      </c>
      <c r="U1199" t="s">
        <v>67</v>
      </c>
    </row>
    <row r="1200" spans="1:21" x14ac:dyDescent="0.35">
      <c r="A1200" t="s">
        <v>1328</v>
      </c>
      <c r="B1200" s="5">
        <v>45702</v>
      </c>
      <c r="C1200" t="s">
        <v>125</v>
      </c>
      <c r="D1200" t="s">
        <v>85</v>
      </c>
      <c r="E1200" s="9">
        <v>5</v>
      </c>
      <c r="F1200" s="10">
        <v>125</v>
      </c>
      <c r="G1200" s="11">
        <v>0</v>
      </c>
      <c r="H1200" s="10">
        <v>625</v>
      </c>
      <c r="I1200" s="9">
        <v>0</v>
      </c>
      <c r="J1200" s="10">
        <v>0</v>
      </c>
      <c r="K1200" s="9">
        <v>5</v>
      </c>
      <c r="L1200" s="10">
        <v>625</v>
      </c>
      <c r="M1200" s="10">
        <v>424.08</v>
      </c>
      <c r="N1200" s="10">
        <v>200.92</v>
      </c>
      <c r="O1200" s="11">
        <f t="shared" si="68"/>
        <v>0.32147199999999998</v>
      </c>
      <c r="P1200" s="10">
        <v>74.209999999999994</v>
      </c>
      <c r="Q1200" s="10">
        <v>126.71</v>
      </c>
      <c r="R1200" s="11">
        <f t="shared" si="69"/>
        <v>0.202736</v>
      </c>
      <c r="S1200" t="s">
        <v>65</v>
      </c>
      <c r="T1200" t="s">
        <v>66</v>
      </c>
      <c r="U1200" t="s">
        <v>61</v>
      </c>
    </row>
    <row r="1201" spans="1:21" x14ac:dyDescent="0.35">
      <c r="A1201" t="s">
        <v>1329</v>
      </c>
      <c r="B1201" s="5">
        <v>45937</v>
      </c>
      <c r="C1201" t="s">
        <v>264</v>
      </c>
      <c r="D1201" t="s">
        <v>85</v>
      </c>
      <c r="E1201" s="9">
        <v>10</v>
      </c>
      <c r="F1201" s="10">
        <v>20</v>
      </c>
      <c r="G1201" s="11">
        <v>0.1</v>
      </c>
      <c r="H1201" s="10">
        <v>180</v>
      </c>
      <c r="I1201" s="9">
        <v>0</v>
      </c>
      <c r="J1201" s="10">
        <v>0</v>
      </c>
      <c r="K1201" s="9">
        <v>10</v>
      </c>
      <c r="L1201" s="10">
        <v>180</v>
      </c>
      <c r="M1201" s="10">
        <v>142.12</v>
      </c>
      <c r="N1201" s="10">
        <v>37.880000000000003</v>
      </c>
      <c r="O1201" s="11">
        <f t="shared" si="68"/>
        <v>0.21044444444444446</v>
      </c>
      <c r="P1201" s="10">
        <v>11.38</v>
      </c>
      <c r="Q1201" s="10">
        <v>26.5</v>
      </c>
      <c r="R1201" s="11">
        <f t="shared" si="69"/>
        <v>0.14722222222222223</v>
      </c>
      <c r="S1201" t="s">
        <v>59</v>
      </c>
      <c r="T1201" t="s">
        <v>86</v>
      </c>
      <c r="U1201" t="s">
        <v>67</v>
      </c>
    </row>
    <row r="1202" spans="1:21" x14ac:dyDescent="0.35">
      <c r="A1202" t="s">
        <v>1330</v>
      </c>
      <c r="B1202" s="5">
        <v>45833</v>
      </c>
      <c r="C1202" t="s">
        <v>73</v>
      </c>
      <c r="D1202" t="s">
        <v>74</v>
      </c>
      <c r="E1202" s="9">
        <v>3</v>
      </c>
      <c r="F1202" s="10">
        <v>280</v>
      </c>
      <c r="G1202" s="11">
        <v>0.1</v>
      </c>
      <c r="H1202" s="10">
        <v>756</v>
      </c>
      <c r="I1202" s="9">
        <v>0</v>
      </c>
      <c r="J1202" s="10">
        <v>0</v>
      </c>
      <c r="K1202" s="9">
        <v>3</v>
      </c>
      <c r="L1202" s="10">
        <v>756</v>
      </c>
      <c r="M1202" s="10">
        <v>538.95000000000005</v>
      </c>
      <c r="N1202" s="10">
        <v>217.05</v>
      </c>
      <c r="O1202" s="11">
        <f t="shared" si="68"/>
        <v>0.28710317460317464</v>
      </c>
      <c r="P1202" s="10">
        <v>86.36</v>
      </c>
      <c r="Q1202" s="10">
        <v>130.69</v>
      </c>
      <c r="R1202" s="11">
        <f t="shared" si="69"/>
        <v>0.17287037037037037</v>
      </c>
      <c r="S1202" t="s">
        <v>81</v>
      </c>
      <c r="T1202" t="s">
        <v>66</v>
      </c>
      <c r="U1202" t="s">
        <v>76</v>
      </c>
    </row>
    <row r="1203" spans="1:21" x14ac:dyDescent="0.35">
      <c r="A1203" t="s">
        <v>1331</v>
      </c>
      <c r="B1203" s="5">
        <v>45744</v>
      </c>
      <c r="C1203" t="s">
        <v>63</v>
      </c>
      <c r="D1203" t="s">
        <v>64</v>
      </c>
      <c r="E1203" s="9">
        <v>2</v>
      </c>
      <c r="F1203" s="10">
        <v>145</v>
      </c>
      <c r="G1203" s="11">
        <v>0</v>
      </c>
      <c r="H1203" s="10">
        <v>290</v>
      </c>
      <c r="I1203" s="9">
        <v>0</v>
      </c>
      <c r="J1203" s="10">
        <v>0</v>
      </c>
      <c r="K1203" s="9">
        <v>2</v>
      </c>
      <c r="L1203" s="10">
        <v>290</v>
      </c>
      <c r="M1203" s="10">
        <v>228.2</v>
      </c>
      <c r="N1203" s="10">
        <v>61.8</v>
      </c>
      <c r="O1203" s="11">
        <f t="shared" si="68"/>
        <v>0.21310344827586206</v>
      </c>
      <c r="P1203" s="10">
        <v>29.92</v>
      </c>
      <c r="Q1203" s="10">
        <v>31.88</v>
      </c>
      <c r="R1203" s="11">
        <f t="shared" si="69"/>
        <v>0.10993103448275862</v>
      </c>
      <c r="S1203" t="s">
        <v>81</v>
      </c>
      <c r="T1203" t="s">
        <v>60</v>
      </c>
      <c r="U1203" t="s">
        <v>67</v>
      </c>
    </row>
    <row r="1204" spans="1:21" x14ac:dyDescent="0.35">
      <c r="A1204" t="s">
        <v>1332</v>
      </c>
      <c r="B1204" s="5">
        <v>45953</v>
      </c>
      <c r="C1204" t="s">
        <v>95</v>
      </c>
      <c r="D1204" t="s">
        <v>64</v>
      </c>
      <c r="E1204" s="9">
        <v>6</v>
      </c>
      <c r="F1204" s="10">
        <v>52</v>
      </c>
      <c r="G1204" s="11">
        <v>0.02</v>
      </c>
      <c r="H1204" s="10">
        <v>305.76</v>
      </c>
      <c r="I1204" s="9">
        <v>0</v>
      </c>
      <c r="J1204" s="10">
        <v>0</v>
      </c>
      <c r="K1204" s="9">
        <v>6</v>
      </c>
      <c r="L1204" s="10">
        <v>305.76</v>
      </c>
      <c r="M1204" s="10">
        <v>248.5</v>
      </c>
      <c r="N1204" s="10">
        <v>57.26</v>
      </c>
      <c r="O1204" s="11">
        <f t="shared" si="68"/>
        <v>0.18727106227106227</v>
      </c>
      <c r="P1204" s="10">
        <v>20.010000000000002</v>
      </c>
      <c r="Q1204" s="10">
        <v>37.25</v>
      </c>
      <c r="R1204" s="11">
        <f t="shared" si="69"/>
        <v>0.12182757718472005</v>
      </c>
      <c r="S1204" t="s">
        <v>81</v>
      </c>
      <c r="T1204" t="s">
        <v>82</v>
      </c>
      <c r="U1204" t="s">
        <v>61</v>
      </c>
    </row>
    <row r="1205" spans="1:21" x14ac:dyDescent="0.35">
      <c r="A1205" t="s">
        <v>1333</v>
      </c>
      <c r="B1205" s="5">
        <v>45936</v>
      </c>
      <c r="C1205" t="s">
        <v>109</v>
      </c>
      <c r="D1205" t="s">
        <v>85</v>
      </c>
      <c r="E1205" s="9">
        <v>1</v>
      </c>
      <c r="F1205" s="10">
        <v>180</v>
      </c>
      <c r="G1205" s="11">
        <v>0</v>
      </c>
      <c r="H1205" s="10">
        <v>180</v>
      </c>
      <c r="I1205" s="9">
        <v>0</v>
      </c>
      <c r="J1205" s="10">
        <v>0</v>
      </c>
      <c r="K1205" s="9">
        <v>1</v>
      </c>
      <c r="L1205" s="10">
        <v>180</v>
      </c>
      <c r="M1205" s="10">
        <v>147.58000000000001</v>
      </c>
      <c r="N1205" s="10">
        <v>32.42</v>
      </c>
      <c r="O1205" s="11">
        <f t="shared" si="68"/>
        <v>0.18011111111111111</v>
      </c>
      <c r="P1205" s="10">
        <v>13.58</v>
      </c>
      <c r="Q1205" s="10">
        <v>18.84</v>
      </c>
      <c r="R1205" s="11">
        <f t="shared" si="69"/>
        <v>0.10466666666666667</v>
      </c>
      <c r="S1205" t="s">
        <v>75</v>
      </c>
      <c r="T1205" t="s">
        <v>86</v>
      </c>
      <c r="U1205" t="s">
        <v>61</v>
      </c>
    </row>
    <row r="1206" spans="1:21" x14ac:dyDescent="0.35">
      <c r="A1206" t="s">
        <v>1334</v>
      </c>
      <c r="B1206" s="5">
        <v>45952</v>
      </c>
      <c r="C1206" t="s">
        <v>121</v>
      </c>
      <c r="D1206" t="s">
        <v>70</v>
      </c>
      <c r="E1206" s="9">
        <v>3</v>
      </c>
      <c r="F1206" s="10">
        <v>110</v>
      </c>
      <c r="G1206" s="11">
        <v>0.02</v>
      </c>
      <c r="H1206" s="10">
        <v>323.39999999999998</v>
      </c>
      <c r="I1206" s="9">
        <v>0</v>
      </c>
      <c r="J1206" s="10">
        <v>0</v>
      </c>
      <c r="K1206" s="9">
        <v>3</v>
      </c>
      <c r="L1206" s="10">
        <v>323.39999999999998</v>
      </c>
      <c r="M1206" s="10">
        <v>272.05</v>
      </c>
      <c r="N1206" s="10">
        <v>51.35</v>
      </c>
      <c r="O1206" s="11">
        <f t="shared" si="68"/>
        <v>0.15878169449598023</v>
      </c>
      <c r="P1206" s="10">
        <v>39.51</v>
      </c>
      <c r="Q1206" s="10">
        <v>11.84</v>
      </c>
      <c r="R1206" s="11">
        <f t="shared" si="69"/>
        <v>3.6611008039579472E-2</v>
      </c>
      <c r="S1206" t="s">
        <v>81</v>
      </c>
      <c r="T1206" t="s">
        <v>60</v>
      </c>
      <c r="U1206" t="s">
        <v>71</v>
      </c>
    </row>
    <row r="1207" spans="1:21" x14ac:dyDescent="0.35">
      <c r="A1207" t="s">
        <v>1335</v>
      </c>
      <c r="B1207" s="5">
        <v>45863</v>
      </c>
      <c r="C1207" t="s">
        <v>109</v>
      </c>
      <c r="D1207" t="s">
        <v>85</v>
      </c>
      <c r="E1207" s="9">
        <v>3</v>
      </c>
      <c r="F1207" s="10">
        <v>180</v>
      </c>
      <c r="G1207" s="11">
        <v>0</v>
      </c>
      <c r="H1207" s="10">
        <v>540</v>
      </c>
      <c r="I1207" s="9">
        <v>0</v>
      </c>
      <c r="J1207" s="10">
        <v>0</v>
      </c>
      <c r="K1207" s="9">
        <v>3</v>
      </c>
      <c r="L1207" s="10">
        <v>540</v>
      </c>
      <c r="M1207" s="10">
        <v>368.83</v>
      </c>
      <c r="N1207" s="10">
        <v>171.17</v>
      </c>
      <c r="O1207" s="11">
        <f t="shared" si="68"/>
        <v>0.31698148148148148</v>
      </c>
      <c r="P1207" s="10">
        <v>40.200000000000003</v>
      </c>
      <c r="Q1207" s="10">
        <v>130.97</v>
      </c>
      <c r="R1207" s="11">
        <f t="shared" si="69"/>
        <v>0.24253703703703702</v>
      </c>
      <c r="S1207" t="s">
        <v>81</v>
      </c>
      <c r="T1207" t="s">
        <v>66</v>
      </c>
      <c r="U1207" t="s">
        <v>61</v>
      </c>
    </row>
    <row r="1208" spans="1:21" x14ac:dyDescent="0.35">
      <c r="A1208" t="s">
        <v>1336</v>
      </c>
      <c r="B1208" s="5">
        <v>45939</v>
      </c>
      <c r="C1208" t="s">
        <v>114</v>
      </c>
      <c r="D1208" t="s">
        <v>64</v>
      </c>
      <c r="E1208" s="9">
        <v>4</v>
      </c>
      <c r="F1208" s="10">
        <v>420</v>
      </c>
      <c r="G1208" s="11">
        <v>0.05</v>
      </c>
      <c r="H1208" s="10">
        <v>1596</v>
      </c>
      <c r="I1208" s="9">
        <v>0</v>
      </c>
      <c r="J1208" s="10">
        <v>0</v>
      </c>
      <c r="K1208" s="9">
        <v>4</v>
      </c>
      <c r="L1208" s="10">
        <v>1596</v>
      </c>
      <c r="M1208" s="10">
        <v>1163.93</v>
      </c>
      <c r="N1208" s="10">
        <v>432.07</v>
      </c>
      <c r="O1208" s="11">
        <f t="shared" si="68"/>
        <v>0.27072055137844608</v>
      </c>
      <c r="P1208" s="10">
        <v>129.33000000000001</v>
      </c>
      <c r="Q1208" s="10">
        <v>302.74</v>
      </c>
      <c r="R1208" s="11">
        <f t="shared" si="69"/>
        <v>0.18968671679197996</v>
      </c>
      <c r="S1208" t="s">
        <v>81</v>
      </c>
      <c r="T1208" t="s">
        <v>66</v>
      </c>
      <c r="U1208" t="s">
        <v>61</v>
      </c>
    </row>
    <row r="1209" spans="1:21" x14ac:dyDescent="0.35">
      <c r="A1209" t="s">
        <v>1337</v>
      </c>
      <c r="B1209" s="5">
        <v>45994</v>
      </c>
      <c r="C1209" t="s">
        <v>100</v>
      </c>
      <c r="D1209" t="s">
        <v>64</v>
      </c>
      <c r="E1209" s="9">
        <v>8</v>
      </c>
      <c r="F1209" s="10">
        <v>310</v>
      </c>
      <c r="G1209" s="11">
        <v>0</v>
      </c>
      <c r="H1209" s="10">
        <v>2480</v>
      </c>
      <c r="I1209" s="9">
        <v>0</v>
      </c>
      <c r="J1209" s="10">
        <v>0</v>
      </c>
      <c r="K1209" s="9">
        <v>8</v>
      </c>
      <c r="L1209" s="10">
        <v>2480</v>
      </c>
      <c r="M1209" s="10">
        <v>1839.6</v>
      </c>
      <c r="N1209" s="10">
        <v>640.4</v>
      </c>
      <c r="O1209" s="11">
        <f t="shared" si="68"/>
        <v>0.25822580645161292</v>
      </c>
      <c r="P1209" s="10">
        <v>224.85</v>
      </c>
      <c r="Q1209" s="10">
        <v>415.55</v>
      </c>
      <c r="R1209" s="11">
        <f t="shared" si="69"/>
        <v>0.16756048387096775</v>
      </c>
      <c r="S1209" t="s">
        <v>65</v>
      </c>
      <c r="T1209" t="s">
        <v>66</v>
      </c>
      <c r="U1209" t="s">
        <v>71</v>
      </c>
    </row>
    <row r="1210" spans="1:21" x14ac:dyDescent="0.35">
      <c r="A1210" t="s">
        <v>1338</v>
      </c>
      <c r="B1210" s="5">
        <v>45747</v>
      </c>
      <c r="C1210" t="s">
        <v>104</v>
      </c>
      <c r="D1210" t="s">
        <v>105</v>
      </c>
      <c r="E1210" s="9">
        <v>1</v>
      </c>
      <c r="F1210" s="10">
        <v>65</v>
      </c>
      <c r="G1210" s="11">
        <v>0.15</v>
      </c>
      <c r="H1210" s="10">
        <v>55.25</v>
      </c>
      <c r="I1210" s="9">
        <v>0</v>
      </c>
      <c r="J1210" s="10">
        <v>0</v>
      </c>
      <c r="K1210" s="9">
        <v>1</v>
      </c>
      <c r="L1210" s="10">
        <v>55.25</v>
      </c>
      <c r="M1210" s="10">
        <v>40.39</v>
      </c>
      <c r="N1210" s="10">
        <v>14.86</v>
      </c>
      <c r="O1210" s="11">
        <f t="shared" si="68"/>
        <v>0.26895927601809955</v>
      </c>
      <c r="P1210" s="10">
        <v>3.9</v>
      </c>
      <c r="Q1210" s="10">
        <v>10.96</v>
      </c>
      <c r="R1210" s="11">
        <f t="shared" si="69"/>
        <v>0.19837104072398193</v>
      </c>
      <c r="S1210" t="s">
        <v>65</v>
      </c>
      <c r="T1210" t="s">
        <v>66</v>
      </c>
      <c r="U1210" t="s">
        <v>76</v>
      </c>
    </row>
    <row r="1211" spans="1:21" x14ac:dyDescent="0.35">
      <c r="A1211" t="s">
        <v>1339</v>
      </c>
      <c r="B1211" s="5">
        <v>45821</v>
      </c>
      <c r="C1211" t="s">
        <v>121</v>
      </c>
      <c r="D1211" t="s">
        <v>70</v>
      </c>
      <c r="E1211" s="9">
        <v>4</v>
      </c>
      <c r="F1211" s="10">
        <v>110</v>
      </c>
      <c r="G1211" s="11">
        <v>0</v>
      </c>
      <c r="H1211" s="10">
        <v>440</v>
      </c>
      <c r="I1211" s="9">
        <v>0</v>
      </c>
      <c r="J1211" s="10">
        <v>0</v>
      </c>
      <c r="K1211" s="9">
        <v>4</v>
      </c>
      <c r="L1211" s="10">
        <v>440</v>
      </c>
      <c r="M1211" s="10">
        <v>353.81</v>
      </c>
      <c r="N1211" s="10">
        <v>86.19</v>
      </c>
      <c r="O1211" s="11">
        <f t="shared" si="68"/>
        <v>0.19588636363636364</v>
      </c>
      <c r="P1211" s="10">
        <v>53.69</v>
      </c>
      <c r="Q1211" s="10">
        <v>32.5</v>
      </c>
      <c r="R1211" s="11">
        <f t="shared" si="69"/>
        <v>7.3863636363636367E-2</v>
      </c>
      <c r="S1211" t="s">
        <v>59</v>
      </c>
      <c r="T1211" t="s">
        <v>60</v>
      </c>
      <c r="U1211" t="s">
        <v>67</v>
      </c>
    </row>
    <row r="1212" spans="1:21" x14ac:dyDescent="0.35">
      <c r="A1212" t="s">
        <v>1340</v>
      </c>
      <c r="B1212" s="5">
        <v>45799</v>
      </c>
      <c r="C1212" t="s">
        <v>88</v>
      </c>
      <c r="D1212" t="s">
        <v>57</v>
      </c>
      <c r="E1212" s="9">
        <v>1</v>
      </c>
      <c r="F1212" s="10">
        <v>30</v>
      </c>
      <c r="G1212" s="11">
        <v>0</v>
      </c>
      <c r="H1212" s="10">
        <v>30</v>
      </c>
      <c r="I1212" s="9">
        <v>0</v>
      </c>
      <c r="J1212" s="10">
        <v>0</v>
      </c>
      <c r="K1212" s="9">
        <v>1</v>
      </c>
      <c r="L1212" s="10">
        <v>30</v>
      </c>
      <c r="M1212" s="10">
        <v>22.25</v>
      </c>
      <c r="N1212" s="10">
        <v>7.75</v>
      </c>
      <c r="O1212" s="11">
        <f t="shared" si="68"/>
        <v>0.25833333333333336</v>
      </c>
      <c r="P1212" s="10">
        <v>3.69</v>
      </c>
      <c r="Q1212" s="10">
        <v>4.0599999999999996</v>
      </c>
      <c r="R1212" s="11">
        <f t="shared" si="69"/>
        <v>0.13533333333333333</v>
      </c>
      <c r="S1212" t="s">
        <v>81</v>
      </c>
      <c r="T1212" t="s">
        <v>86</v>
      </c>
      <c r="U1212" t="s">
        <v>71</v>
      </c>
    </row>
    <row r="1213" spans="1:21" x14ac:dyDescent="0.35">
      <c r="A1213" t="s">
        <v>1341</v>
      </c>
      <c r="B1213" s="5">
        <v>45887</v>
      </c>
      <c r="C1213" t="s">
        <v>69</v>
      </c>
      <c r="D1213" t="s">
        <v>70</v>
      </c>
      <c r="E1213" s="9">
        <v>3</v>
      </c>
      <c r="F1213" s="10">
        <v>210</v>
      </c>
      <c r="G1213" s="11">
        <v>0</v>
      </c>
      <c r="H1213" s="10">
        <v>630</v>
      </c>
      <c r="I1213" s="9">
        <v>0</v>
      </c>
      <c r="J1213" s="10">
        <v>0</v>
      </c>
      <c r="K1213" s="9">
        <v>3</v>
      </c>
      <c r="L1213" s="10">
        <v>630</v>
      </c>
      <c r="M1213" s="10">
        <v>474.5</v>
      </c>
      <c r="N1213" s="10">
        <v>155.5</v>
      </c>
      <c r="O1213" s="11">
        <f t="shared" si="68"/>
        <v>0.24682539682539684</v>
      </c>
      <c r="P1213" s="10">
        <v>74.83</v>
      </c>
      <c r="Q1213" s="10">
        <v>80.67</v>
      </c>
      <c r="R1213" s="11">
        <f t="shared" si="69"/>
        <v>0.12804761904761905</v>
      </c>
      <c r="S1213" t="s">
        <v>65</v>
      </c>
      <c r="T1213" t="s">
        <v>86</v>
      </c>
      <c r="U1213" t="s">
        <v>71</v>
      </c>
    </row>
    <row r="1214" spans="1:21" x14ac:dyDescent="0.35">
      <c r="A1214" t="s">
        <v>1342</v>
      </c>
      <c r="B1214" s="5">
        <v>45957</v>
      </c>
      <c r="C1214" t="s">
        <v>90</v>
      </c>
      <c r="D1214" t="s">
        <v>70</v>
      </c>
      <c r="E1214" s="9">
        <v>3</v>
      </c>
      <c r="F1214" s="10">
        <v>38</v>
      </c>
      <c r="G1214" s="11">
        <v>0</v>
      </c>
      <c r="H1214" s="10">
        <v>114</v>
      </c>
      <c r="I1214" s="9">
        <v>0</v>
      </c>
      <c r="J1214" s="10">
        <v>0</v>
      </c>
      <c r="K1214" s="9">
        <v>3</v>
      </c>
      <c r="L1214" s="10">
        <v>114</v>
      </c>
      <c r="M1214" s="10">
        <v>90.76</v>
      </c>
      <c r="N1214" s="10">
        <v>23.24</v>
      </c>
      <c r="O1214" s="11">
        <f t="shared" si="68"/>
        <v>0.20385964912280699</v>
      </c>
      <c r="P1214" s="10">
        <v>11.44</v>
      </c>
      <c r="Q1214" s="10">
        <v>11.8</v>
      </c>
      <c r="R1214" s="11">
        <f t="shared" si="69"/>
        <v>0.10350877192982456</v>
      </c>
      <c r="S1214" t="s">
        <v>81</v>
      </c>
      <c r="T1214" t="s">
        <v>66</v>
      </c>
      <c r="U1214" t="s">
        <v>67</v>
      </c>
    </row>
    <row r="1215" spans="1:21" x14ac:dyDescent="0.35">
      <c r="A1215" t="s">
        <v>1343</v>
      </c>
      <c r="B1215" s="5">
        <v>45970</v>
      </c>
      <c r="C1215" t="s">
        <v>84</v>
      </c>
      <c r="D1215" t="s">
        <v>85</v>
      </c>
      <c r="E1215" s="9">
        <v>4</v>
      </c>
      <c r="F1215" s="10">
        <v>48</v>
      </c>
      <c r="G1215" s="11">
        <v>0.05</v>
      </c>
      <c r="H1215" s="10">
        <v>182.4</v>
      </c>
      <c r="I1215" s="9">
        <v>0</v>
      </c>
      <c r="J1215" s="10">
        <v>0</v>
      </c>
      <c r="K1215" s="9">
        <v>4</v>
      </c>
      <c r="L1215" s="10">
        <v>182.4</v>
      </c>
      <c r="M1215" s="10">
        <v>119.14</v>
      </c>
      <c r="N1215" s="10">
        <v>63.26</v>
      </c>
      <c r="O1215" s="11">
        <f t="shared" si="68"/>
        <v>0.34682017543859645</v>
      </c>
      <c r="P1215" s="10">
        <v>21.1</v>
      </c>
      <c r="Q1215" s="10">
        <v>42.16</v>
      </c>
      <c r="R1215" s="11">
        <f t="shared" si="69"/>
        <v>0.23114035087719295</v>
      </c>
      <c r="S1215" t="s">
        <v>81</v>
      </c>
      <c r="T1215" t="s">
        <v>82</v>
      </c>
      <c r="U1215" t="s">
        <v>61</v>
      </c>
    </row>
    <row r="1216" spans="1:21" x14ac:dyDescent="0.35">
      <c r="A1216" t="s">
        <v>1344</v>
      </c>
      <c r="B1216" s="5">
        <v>45675</v>
      </c>
      <c r="C1216" t="s">
        <v>63</v>
      </c>
      <c r="D1216" t="s">
        <v>64</v>
      </c>
      <c r="E1216" s="9">
        <v>1</v>
      </c>
      <c r="F1216" s="10">
        <v>145</v>
      </c>
      <c r="G1216" s="11">
        <v>0.05</v>
      </c>
      <c r="H1216" s="10">
        <v>137.75</v>
      </c>
      <c r="I1216" s="9">
        <v>0</v>
      </c>
      <c r="J1216" s="10">
        <v>0</v>
      </c>
      <c r="K1216" s="9">
        <v>1</v>
      </c>
      <c r="L1216" s="10">
        <v>137.75</v>
      </c>
      <c r="M1216" s="10">
        <v>100.93</v>
      </c>
      <c r="N1216" s="10">
        <v>36.82</v>
      </c>
      <c r="O1216" s="11">
        <f t="shared" si="68"/>
        <v>0.26729582577132488</v>
      </c>
      <c r="P1216" s="10">
        <v>15.11</v>
      </c>
      <c r="Q1216" s="10">
        <v>21.71</v>
      </c>
      <c r="R1216" s="11">
        <f t="shared" si="69"/>
        <v>0.15760435571687842</v>
      </c>
      <c r="S1216" t="s">
        <v>65</v>
      </c>
      <c r="T1216" t="s">
        <v>60</v>
      </c>
      <c r="U1216" t="s">
        <v>76</v>
      </c>
    </row>
    <row r="1217" spans="1:21" x14ac:dyDescent="0.35">
      <c r="A1217" t="s">
        <v>1345</v>
      </c>
      <c r="B1217" s="5">
        <v>45880</v>
      </c>
      <c r="C1217" t="s">
        <v>125</v>
      </c>
      <c r="D1217" t="s">
        <v>85</v>
      </c>
      <c r="E1217" s="9">
        <v>4</v>
      </c>
      <c r="F1217" s="10">
        <v>125</v>
      </c>
      <c r="G1217" s="11">
        <v>0</v>
      </c>
      <c r="H1217" s="10">
        <v>500</v>
      </c>
      <c r="I1217" s="9">
        <v>0</v>
      </c>
      <c r="J1217" s="10">
        <v>0</v>
      </c>
      <c r="K1217" s="9">
        <v>4</v>
      </c>
      <c r="L1217" s="10">
        <v>500</v>
      </c>
      <c r="M1217" s="10">
        <v>402.18</v>
      </c>
      <c r="N1217" s="10">
        <v>97.82</v>
      </c>
      <c r="O1217" s="11">
        <f t="shared" si="68"/>
        <v>0.19563999999999998</v>
      </c>
      <c r="P1217" s="10">
        <v>43.3</v>
      </c>
      <c r="Q1217" s="10">
        <v>54.52</v>
      </c>
      <c r="R1217" s="11">
        <f t="shared" si="69"/>
        <v>0.10904000000000001</v>
      </c>
      <c r="S1217" t="s">
        <v>75</v>
      </c>
      <c r="T1217" t="s">
        <v>66</v>
      </c>
      <c r="U1217" t="s">
        <v>61</v>
      </c>
    </row>
    <row r="1218" spans="1:21" x14ac:dyDescent="0.35">
      <c r="A1218" t="s">
        <v>1346</v>
      </c>
      <c r="B1218" s="5">
        <v>45899</v>
      </c>
      <c r="C1218" t="s">
        <v>84</v>
      </c>
      <c r="D1218" t="s">
        <v>85</v>
      </c>
      <c r="E1218" s="9">
        <v>2</v>
      </c>
      <c r="F1218" s="10">
        <v>48</v>
      </c>
      <c r="G1218" s="11">
        <v>0.02</v>
      </c>
      <c r="H1218" s="10">
        <v>94.08</v>
      </c>
      <c r="I1218" s="9">
        <v>0</v>
      </c>
      <c r="J1218" s="10">
        <v>0</v>
      </c>
      <c r="K1218" s="9">
        <v>2</v>
      </c>
      <c r="L1218" s="10">
        <v>94.08</v>
      </c>
      <c r="M1218" s="10">
        <v>72.84</v>
      </c>
      <c r="N1218" s="10">
        <v>21.24</v>
      </c>
      <c r="O1218" s="11">
        <f t="shared" si="68"/>
        <v>0.22576530612244897</v>
      </c>
      <c r="P1218" s="10">
        <v>11.04</v>
      </c>
      <c r="Q1218" s="10">
        <v>10.199999999999999</v>
      </c>
      <c r="R1218" s="11">
        <f t="shared" si="69"/>
        <v>0.10841836734693877</v>
      </c>
      <c r="S1218" t="s">
        <v>65</v>
      </c>
      <c r="T1218" t="s">
        <v>82</v>
      </c>
      <c r="U1218" t="s">
        <v>76</v>
      </c>
    </row>
    <row r="1219" spans="1:21" x14ac:dyDescent="0.35">
      <c r="A1219" t="s">
        <v>1347</v>
      </c>
      <c r="B1219" s="5">
        <v>45666</v>
      </c>
      <c r="C1219" t="s">
        <v>69</v>
      </c>
      <c r="D1219" t="s">
        <v>70</v>
      </c>
      <c r="E1219" s="9">
        <v>3</v>
      </c>
      <c r="F1219" s="10">
        <v>210</v>
      </c>
      <c r="G1219" s="11">
        <v>0.15</v>
      </c>
      <c r="H1219" s="10">
        <v>535.5</v>
      </c>
      <c r="I1219" s="9">
        <v>0</v>
      </c>
      <c r="J1219" s="10">
        <v>0</v>
      </c>
      <c r="K1219" s="9">
        <v>3</v>
      </c>
      <c r="L1219" s="10">
        <v>535.5</v>
      </c>
      <c r="M1219" s="10">
        <v>363.82</v>
      </c>
      <c r="N1219" s="10">
        <v>171.68</v>
      </c>
      <c r="O1219" s="11">
        <f t="shared" si="68"/>
        <v>0.32059757236227826</v>
      </c>
      <c r="P1219" s="10">
        <v>29.77</v>
      </c>
      <c r="Q1219" s="10">
        <v>141.91</v>
      </c>
      <c r="R1219" s="11">
        <f t="shared" si="69"/>
        <v>0.26500466853408028</v>
      </c>
      <c r="S1219" t="s">
        <v>75</v>
      </c>
      <c r="T1219" t="s">
        <v>66</v>
      </c>
      <c r="U1219" t="s">
        <v>67</v>
      </c>
    </row>
    <row r="1220" spans="1:21" x14ac:dyDescent="0.35">
      <c r="A1220" t="s">
        <v>1348</v>
      </c>
      <c r="B1220" s="5">
        <v>45791</v>
      </c>
      <c r="C1220" t="s">
        <v>97</v>
      </c>
      <c r="D1220" t="s">
        <v>57</v>
      </c>
      <c r="E1220" s="9">
        <v>10</v>
      </c>
      <c r="F1220" s="10">
        <v>55</v>
      </c>
      <c r="G1220" s="11">
        <v>0.1</v>
      </c>
      <c r="H1220" s="10">
        <v>495</v>
      </c>
      <c r="I1220" s="9">
        <v>0</v>
      </c>
      <c r="J1220" s="10">
        <v>0</v>
      </c>
      <c r="K1220" s="9">
        <v>10</v>
      </c>
      <c r="L1220" s="10">
        <v>495</v>
      </c>
      <c r="M1220" s="10">
        <v>411.99</v>
      </c>
      <c r="N1220" s="10">
        <v>83.01</v>
      </c>
      <c r="O1220" s="11">
        <f t="shared" si="68"/>
        <v>0.16769696969696971</v>
      </c>
      <c r="P1220" s="10">
        <v>49.86</v>
      </c>
      <c r="Q1220" s="10">
        <v>33.15</v>
      </c>
      <c r="R1220" s="11">
        <f t="shared" si="69"/>
        <v>6.6969696969696971E-2</v>
      </c>
      <c r="S1220" t="s">
        <v>75</v>
      </c>
      <c r="T1220" t="s">
        <v>86</v>
      </c>
      <c r="U1220" t="s">
        <v>76</v>
      </c>
    </row>
    <row r="1221" spans="1:21" x14ac:dyDescent="0.35">
      <c r="A1221" t="s">
        <v>1349</v>
      </c>
      <c r="B1221" s="5">
        <v>45984</v>
      </c>
      <c r="C1221" t="s">
        <v>95</v>
      </c>
      <c r="D1221" t="s">
        <v>64</v>
      </c>
      <c r="E1221" s="9">
        <v>3</v>
      </c>
      <c r="F1221" s="10">
        <v>52</v>
      </c>
      <c r="G1221" s="11">
        <v>0.05</v>
      </c>
      <c r="H1221" s="10">
        <v>148.19999999999999</v>
      </c>
      <c r="I1221" s="9">
        <v>0</v>
      </c>
      <c r="J1221" s="10">
        <v>0</v>
      </c>
      <c r="K1221" s="9">
        <v>3</v>
      </c>
      <c r="L1221" s="10">
        <v>148.19999999999999</v>
      </c>
      <c r="M1221" s="10">
        <v>101.54</v>
      </c>
      <c r="N1221" s="10">
        <v>46.66</v>
      </c>
      <c r="O1221" s="11">
        <f t="shared" si="68"/>
        <v>0.31484480431848855</v>
      </c>
      <c r="P1221" s="10">
        <v>15.49</v>
      </c>
      <c r="Q1221" s="10">
        <v>31.17</v>
      </c>
      <c r="R1221" s="11">
        <f t="shared" si="69"/>
        <v>0.21032388663967613</v>
      </c>
      <c r="S1221" t="s">
        <v>59</v>
      </c>
      <c r="T1221" t="s">
        <v>82</v>
      </c>
      <c r="U1221" t="s">
        <v>61</v>
      </c>
    </row>
    <row r="1222" spans="1:21" x14ac:dyDescent="0.35">
      <c r="A1222" t="s">
        <v>1350</v>
      </c>
      <c r="B1222" s="5">
        <v>45971</v>
      </c>
      <c r="C1222" t="s">
        <v>121</v>
      </c>
      <c r="D1222" t="s">
        <v>70</v>
      </c>
      <c r="E1222" s="9">
        <v>10</v>
      </c>
      <c r="F1222" s="10">
        <v>110</v>
      </c>
      <c r="G1222" s="11">
        <v>0</v>
      </c>
      <c r="H1222" s="10">
        <v>1100</v>
      </c>
      <c r="I1222" s="9">
        <v>0</v>
      </c>
      <c r="J1222" s="10">
        <v>0</v>
      </c>
      <c r="K1222" s="9">
        <v>10</v>
      </c>
      <c r="L1222" s="10">
        <v>1100</v>
      </c>
      <c r="M1222" s="10">
        <v>844.47</v>
      </c>
      <c r="N1222" s="10">
        <v>255.53</v>
      </c>
      <c r="O1222" s="11">
        <f t="shared" si="68"/>
        <v>0.23230000000000001</v>
      </c>
      <c r="P1222" s="10">
        <v>89.57</v>
      </c>
      <c r="Q1222" s="10">
        <v>165.96</v>
      </c>
      <c r="R1222" s="11">
        <f t="shared" si="69"/>
        <v>0.15087272727272727</v>
      </c>
      <c r="S1222" t="s">
        <v>65</v>
      </c>
      <c r="T1222" t="s">
        <v>66</v>
      </c>
      <c r="U1222" t="s">
        <v>67</v>
      </c>
    </row>
    <row r="1223" spans="1:21" x14ac:dyDescent="0.35">
      <c r="A1223" t="s">
        <v>1351</v>
      </c>
      <c r="B1223" s="5">
        <v>45794</v>
      </c>
      <c r="C1223" t="s">
        <v>78</v>
      </c>
      <c r="D1223" t="s">
        <v>79</v>
      </c>
      <c r="E1223" s="9">
        <v>5</v>
      </c>
      <c r="F1223" s="10">
        <v>120</v>
      </c>
      <c r="G1223" s="11">
        <v>0</v>
      </c>
      <c r="H1223" s="10">
        <v>600</v>
      </c>
      <c r="I1223" s="9">
        <v>0</v>
      </c>
      <c r="J1223" s="10">
        <v>0</v>
      </c>
      <c r="K1223" s="9">
        <v>5</v>
      </c>
      <c r="L1223" s="10">
        <v>600</v>
      </c>
      <c r="M1223" s="10">
        <v>402.41</v>
      </c>
      <c r="N1223" s="10">
        <v>197.59</v>
      </c>
      <c r="O1223" s="11">
        <f t="shared" si="68"/>
        <v>0.32931666666666665</v>
      </c>
      <c r="P1223" s="10">
        <v>30.96</v>
      </c>
      <c r="Q1223" s="10">
        <v>166.63</v>
      </c>
      <c r="R1223" s="11">
        <f t="shared" si="69"/>
        <v>0.27771666666666667</v>
      </c>
      <c r="S1223" t="s">
        <v>65</v>
      </c>
      <c r="T1223" t="s">
        <v>66</v>
      </c>
      <c r="U1223" t="s">
        <v>61</v>
      </c>
    </row>
    <row r="1224" spans="1:21" x14ac:dyDescent="0.35">
      <c r="A1224" t="s">
        <v>1352</v>
      </c>
      <c r="B1224" s="5">
        <v>45918</v>
      </c>
      <c r="C1224" t="s">
        <v>100</v>
      </c>
      <c r="D1224" t="s">
        <v>64</v>
      </c>
      <c r="E1224" s="9">
        <v>1</v>
      </c>
      <c r="F1224" s="10">
        <v>310</v>
      </c>
      <c r="G1224" s="11">
        <v>0</v>
      </c>
      <c r="H1224" s="10">
        <v>310</v>
      </c>
      <c r="I1224" s="9">
        <v>0</v>
      </c>
      <c r="J1224" s="10">
        <v>0</v>
      </c>
      <c r="K1224" s="9">
        <v>1</v>
      </c>
      <c r="L1224" s="10">
        <v>310</v>
      </c>
      <c r="M1224" s="10">
        <v>245.17</v>
      </c>
      <c r="N1224" s="10">
        <v>64.83</v>
      </c>
      <c r="O1224" s="11">
        <f t="shared" si="68"/>
        <v>0.20912903225806451</v>
      </c>
      <c r="P1224" s="10">
        <v>38.659999999999997</v>
      </c>
      <c r="Q1224" s="10">
        <v>26.17</v>
      </c>
      <c r="R1224" s="11">
        <f t="shared" si="69"/>
        <v>8.4419354838709687E-2</v>
      </c>
      <c r="S1224" t="s">
        <v>59</v>
      </c>
      <c r="T1224" t="s">
        <v>60</v>
      </c>
      <c r="U1224" t="s">
        <v>61</v>
      </c>
    </row>
    <row r="1225" spans="1:21" x14ac:dyDescent="0.35">
      <c r="A1225" t="s">
        <v>1353</v>
      </c>
      <c r="B1225" s="5">
        <v>45859</v>
      </c>
      <c r="C1225" t="s">
        <v>114</v>
      </c>
      <c r="D1225" t="s">
        <v>64</v>
      </c>
      <c r="E1225" s="9">
        <v>5</v>
      </c>
      <c r="F1225" s="10">
        <v>420</v>
      </c>
      <c r="G1225" s="11">
        <v>0</v>
      </c>
      <c r="H1225" s="10">
        <v>2100</v>
      </c>
      <c r="I1225" s="9">
        <v>0</v>
      </c>
      <c r="J1225" s="10">
        <v>0</v>
      </c>
      <c r="K1225" s="9">
        <v>5</v>
      </c>
      <c r="L1225" s="10">
        <v>2100</v>
      </c>
      <c r="M1225" s="10">
        <v>1367.94</v>
      </c>
      <c r="N1225" s="10">
        <v>732.06</v>
      </c>
      <c r="O1225" s="11">
        <f t="shared" si="68"/>
        <v>0.34859999999999997</v>
      </c>
      <c r="P1225" s="10">
        <v>199.06</v>
      </c>
      <c r="Q1225" s="10">
        <v>533</v>
      </c>
      <c r="R1225" s="11">
        <f t="shared" si="69"/>
        <v>0.25380952380952382</v>
      </c>
      <c r="S1225" t="s">
        <v>59</v>
      </c>
      <c r="T1225" t="s">
        <v>60</v>
      </c>
      <c r="U1225" t="s">
        <v>76</v>
      </c>
    </row>
    <row r="1226" spans="1:21" x14ac:dyDescent="0.35">
      <c r="A1226" t="s">
        <v>1354</v>
      </c>
      <c r="B1226" s="5">
        <v>45881</v>
      </c>
      <c r="C1226" t="s">
        <v>84</v>
      </c>
      <c r="D1226" t="s">
        <v>85</v>
      </c>
      <c r="E1226" s="9">
        <v>3</v>
      </c>
      <c r="F1226" s="10">
        <v>48</v>
      </c>
      <c r="G1226" s="11">
        <v>0</v>
      </c>
      <c r="H1226" s="10">
        <v>144</v>
      </c>
      <c r="I1226" s="9">
        <v>0</v>
      </c>
      <c r="J1226" s="10">
        <v>0</v>
      </c>
      <c r="K1226" s="9">
        <v>3</v>
      </c>
      <c r="L1226" s="10">
        <v>144</v>
      </c>
      <c r="M1226" s="10">
        <v>98.25</v>
      </c>
      <c r="N1226" s="10">
        <v>45.75</v>
      </c>
      <c r="O1226" s="11">
        <f t="shared" si="68"/>
        <v>0.31770833333333331</v>
      </c>
      <c r="P1226" s="10">
        <v>7.57</v>
      </c>
      <c r="Q1226" s="10">
        <v>38.18</v>
      </c>
      <c r="R1226" s="11">
        <f t="shared" si="69"/>
        <v>0.26513888888888887</v>
      </c>
      <c r="S1226" t="s">
        <v>59</v>
      </c>
      <c r="T1226" t="s">
        <v>86</v>
      </c>
      <c r="U1226" t="s">
        <v>71</v>
      </c>
    </row>
    <row r="1227" spans="1:21" x14ac:dyDescent="0.35">
      <c r="A1227" t="s">
        <v>1355</v>
      </c>
      <c r="B1227" s="5">
        <v>45753</v>
      </c>
      <c r="C1227" t="s">
        <v>125</v>
      </c>
      <c r="D1227" t="s">
        <v>85</v>
      </c>
      <c r="E1227" s="9">
        <v>4</v>
      </c>
      <c r="F1227" s="10">
        <v>125</v>
      </c>
      <c r="G1227" s="11">
        <v>0.02</v>
      </c>
      <c r="H1227" s="10">
        <v>490</v>
      </c>
      <c r="I1227" s="9">
        <v>0</v>
      </c>
      <c r="J1227" s="10">
        <v>0</v>
      </c>
      <c r="K1227" s="9">
        <v>4</v>
      </c>
      <c r="L1227" s="10">
        <v>490</v>
      </c>
      <c r="M1227" s="10">
        <v>357.94</v>
      </c>
      <c r="N1227" s="10">
        <v>132.06</v>
      </c>
      <c r="O1227" s="11">
        <f t="shared" si="68"/>
        <v>0.26951020408163268</v>
      </c>
      <c r="P1227" s="10">
        <v>38.340000000000003</v>
      </c>
      <c r="Q1227" s="10">
        <v>93.72</v>
      </c>
      <c r="R1227" s="11">
        <f t="shared" si="69"/>
        <v>0.19126530612244896</v>
      </c>
      <c r="S1227" t="s">
        <v>75</v>
      </c>
      <c r="T1227" t="s">
        <v>82</v>
      </c>
      <c r="U1227" t="s">
        <v>67</v>
      </c>
    </row>
    <row r="1228" spans="1:21" x14ac:dyDescent="0.35">
      <c r="A1228" t="s">
        <v>1356</v>
      </c>
      <c r="B1228" s="5">
        <v>45897</v>
      </c>
      <c r="C1228" t="s">
        <v>117</v>
      </c>
      <c r="D1228" t="s">
        <v>74</v>
      </c>
      <c r="E1228" s="9">
        <v>10</v>
      </c>
      <c r="F1228" s="10">
        <v>95</v>
      </c>
      <c r="G1228" s="11">
        <v>0.15</v>
      </c>
      <c r="H1228" s="10">
        <v>807.5</v>
      </c>
      <c r="I1228" s="9">
        <v>0</v>
      </c>
      <c r="J1228" s="10">
        <v>0</v>
      </c>
      <c r="K1228" s="9">
        <v>10</v>
      </c>
      <c r="L1228" s="10">
        <v>807.5</v>
      </c>
      <c r="M1228" s="10">
        <v>671.61</v>
      </c>
      <c r="N1228" s="10">
        <v>135.88999999999999</v>
      </c>
      <c r="O1228" s="11">
        <f t="shared" si="68"/>
        <v>0.16828482972136222</v>
      </c>
      <c r="P1228" s="10">
        <v>66.09</v>
      </c>
      <c r="Q1228" s="10">
        <v>69.8</v>
      </c>
      <c r="R1228" s="11">
        <f t="shared" si="69"/>
        <v>8.6439628482972139E-2</v>
      </c>
      <c r="S1228" t="s">
        <v>81</v>
      </c>
      <c r="T1228" t="s">
        <v>86</v>
      </c>
      <c r="U1228" t="s">
        <v>76</v>
      </c>
    </row>
    <row r="1229" spans="1:21" x14ac:dyDescent="0.35">
      <c r="A1229" t="s">
        <v>1357</v>
      </c>
      <c r="B1229" s="5">
        <v>45743</v>
      </c>
      <c r="C1229" t="s">
        <v>56</v>
      </c>
      <c r="D1229" t="s">
        <v>57</v>
      </c>
      <c r="E1229" s="9">
        <v>4</v>
      </c>
      <c r="F1229" s="10">
        <v>40</v>
      </c>
      <c r="G1229" s="11">
        <v>0.02</v>
      </c>
      <c r="H1229" s="10">
        <v>156.80000000000001</v>
      </c>
      <c r="I1229" s="9">
        <v>0</v>
      </c>
      <c r="J1229" s="10">
        <v>0</v>
      </c>
      <c r="K1229" s="9">
        <v>4</v>
      </c>
      <c r="L1229" s="10">
        <v>156.80000000000001</v>
      </c>
      <c r="M1229" s="10">
        <v>131.69999999999999</v>
      </c>
      <c r="N1229" s="10">
        <v>25.1</v>
      </c>
      <c r="O1229" s="11">
        <f t="shared" si="68"/>
        <v>0.16007653061224489</v>
      </c>
      <c r="P1229" s="10">
        <v>9.7899999999999991</v>
      </c>
      <c r="Q1229" s="10">
        <v>15.31</v>
      </c>
      <c r="R1229" s="11">
        <f t="shared" si="69"/>
        <v>9.7640306122448978E-2</v>
      </c>
      <c r="S1229" t="s">
        <v>65</v>
      </c>
      <c r="T1229" t="s">
        <v>86</v>
      </c>
      <c r="U1229" t="s">
        <v>61</v>
      </c>
    </row>
    <row r="1230" spans="1:21" x14ac:dyDescent="0.35">
      <c r="A1230" t="s">
        <v>1358</v>
      </c>
      <c r="B1230" s="5">
        <v>45738</v>
      </c>
      <c r="C1230" t="s">
        <v>92</v>
      </c>
      <c r="D1230" t="s">
        <v>79</v>
      </c>
      <c r="E1230" s="9">
        <v>5</v>
      </c>
      <c r="F1230" s="10">
        <v>85</v>
      </c>
      <c r="G1230" s="11">
        <v>0</v>
      </c>
      <c r="H1230" s="10">
        <v>425</v>
      </c>
      <c r="I1230" s="9">
        <v>0</v>
      </c>
      <c r="J1230" s="10">
        <v>0</v>
      </c>
      <c r="K1230" s="9">
        <v>5</v>
      </c>
      <c r="L1230" s="10">
        <v>425</v>
      </c>
      <c r="M1230" s="10">
        <v>347.48</v>
      </c>
      <c r="N1230" s="10">
        <v>77.52</v>
      </c>
      <c r="O1230" s="11">
        <f t="shared" si="68"/>
        <v>0.18239999999999998</v>
      </c>
      <c r="P1230" s="10">
        <v>48.11</v>
      </c>
      <c r="Q1230" s="10">
        <v>29.41</v>
      </c>
      <c r="R1230" s="11">
        <f t="shared" si="69"/>
        <v>6.9199999999999998E-2</v>
      </c>
      <c r="S1230" t="s">
        <v>75</v>
      </c>
      <c r="T1230" t="s">
        <v>86</v>
      </c>
      <c r="U1230" t="s">
        <v>76</v>
      </c>
    </row>
    <row r="1231" spans="1:21" x14ac:dyDescent="0.35">
      <c r="A1231" t="s">
        <v>1359</v>
      </c>
      <c r="B1231" s="5">
        <v>45703</v>
      </c>
      <c r="C1231" t="s">
        <v>92</v>
      </c>
      <c r="D1231" t="s">
        <v>79</v>
      </c>
      <c r="E1231" s="9">
        <v>1</v>
      </c>
      <c r="F1231" s="10">
        <v>85</v>
      </c>
      <c r="G1231" s="11">
        <v>0</v>
      </c>
      <c r="H1231" s="10">
        <v>85</v>
      </c>
      <c r="I1231" s="9">
        <v>0</v>
      </c>
      <c r="J1231" s="10">
        <v>0</v>
      </c>
      <c r="K1231" s="9">
        <v>1</v>
      </c>
      <c r="L1231" s="10">
        <v>85</v>
      </c>
      <c r="M1231" s="10">
        <v>71.14</v>
      </c>
      <c r="N1231" s="10">
        <v>13.86</v>
      </c>
      <c r="O1231" s="11">
        <f t="shared" si="68"/>
        <v>0.16305882352941176</v>
      </c>
      <c r="P1231" s="10">
        <v>9.25</v>
      </c>
      <c r="Q1231" s="10">
        <v>4.6100000000000003</v>
      </c>
      <c r="R1231" s="11">
        <f t="shared" si="69"/>
        <v>5.4235294117647062E-2</v>
      </c>
      <c r="S1231" t="s">
        <v>59</v>
      </c>
      <c r="T1231" t="s">
        <v>60</v>
      </c>
      <c r="U1231" t="s">
        <v>71</v>
      </c>
    </row>
    <row r="1232" spans="1:21" x14ac:dyDescent="0.35">
      <c r="A1232" t="s">
        <v>1360</v>
      </c>
      <c r="B1232" s="5">
        <v>45919</v>
      </c>
      <c r="C1232" t="s">
        <v>121</v>
      </c>
      <c r="D1232" t="s">
        <v>70</v>
      </c>
      <c r="E1232" s="9">
        <v>3</v>
      </c>
      <c r="F1232" s="10">
        <v>110</v>
      </c>
      <c r="G1232" s="11">
        <v>0</v>
      </c>
      <c r="H1232" s="10">
        <v>330</v>
      </c>
      <c r="I1232" s="9">
        <v>0</v>
      </c>
      <c r="J1232" s="10">
        <v>0</v>
      </c>
      <c r="K1232" s="9">
        <v>3</v>
      </c>
      <c r="L1232" s="10">
        <v>330</v>
      </c>
      <c r="M1232" s="10">
        <v>216.84</v>
      </c>
      <c r="N1232" s="10">
        <v>113.16</v>
      </c>
      <c r="O1232" s="11">
        <f t="shared" ref="O1232:O1263" si="70">N1232/L1232</f>
        <v>0.34290909090909089</v>
      </c>
      <c r="P1232" s="10">
        <v>26.18</v>
      </c>
      <c r="Q1232" s="10">
        <v>86.98</v>
      </c>
      <c r="R1232" s="11">
        <f t="shared" ref="R1232:R1263" si="71">Q1232/L1232</f>
        <v>0.26357575757575757</v>
      </c>
      <c r="S1232" t="s">
        <v>65</v>
      </c>
      <c r="T1232" t="s">
        <v>82</v>
      </c>
      <c r="U1232" t="s">
        <v>71</v>
      </c>
    </row>
    <row r="1233" spans="1:21" x14ac:dyDescent="0.35">
      <c r="A1233" t="s">
        <v>1361</v>
      </c>
      <c r="B1233" s="5">
        <v>46005</v>
      </c>
      <c r="C1233" t="s">
        <v>56</v>
      </c>
      <c r="D1233" t="s">
        <v>57</v>
      </c>
      <c r="E1233" s="9">
        <v>1</v>
      </c>
      <c r="F1233" s="10">
        <v>40</v>
      </c>
      <c r="G1233" s="11">
        <v>0</v>
      </c>
      <c r="H1233" s="10">
        <v>40</v>
      </c>
      <c r="I1233" s="9">
        <v>0</v>
      </c>
      <c r="J1233" s="10">
        <v>0</v>
      </c>
      <c r="K1233" s="9">
        <v>1</v>
      </c>
      <c r="L1233" s="10">
        <v>40</v>
      </c>
      <c r="M1233" s="10">
        <v>26.7</v>
      </c>
      <c r="N1233" s="10">
        <v>13.3</v>
      </c>
      <c r="O1233" s="11">
        <f t="shared" si="70"/>
        <v>0.33250000000000002</v>
      </c>
      <c r="P1233" s="10">
        <v>2.56</v>
      </c>
      <c r="Q1233" s="10">
        <v>10.74</v>
      </c>
      <c r="R1233" s="11">
        <f t="shared" si="71"/>
        <v>0.26850000000000002</v>
      </c>
      <c r="S1233" t="s">
        <v>81</v>
      </c>
      <c r="T1233" t="s">
        <v>82</v>
      </c>
      <c r="U1233" t="s">
        <v>67</v>
      </c>
    </row>
    <row r="1234" spans="1:21" x14ac:dyDescent="0.35">
      <c r="A1234" t="s">
        <v>1362</v>
      </c>
      <c r="B1234" s="5">
        <v>45946</v>
      </c>
      <c r="C1234" t="s">
        <v>92</v>
      </c>
      <c r="D1234" t="s">
        <v>79</v>
      </c>
      <c r="E1234" s="9">
        <v>3</v>
      </c>
      <c r="F1234" s="10">
        <v>85</v>
      </c>
      <c r="G1234" s="11">
        <v>0</v>
      </c>
      <c r="H1234" s="10">
        <v>255</v>
      </c>
      <c r="I1234" s="9">
        <v>0</v>
      </c>
      <c r="J1234" s="10">
        <v>0</v>
      </c>
      <c r="K1234" s="9">
        <v>3</v>
      </c>
      <c r="L1234" s="10">
        <v>255</v>
      </c>
      <c r="M1234" s="10">
        <v>174.11</v>
      </c>
      <c r="N1234" s="10">
        <v>80.89</v>
      </c>
      <c r="O1234" s="11">
        <f t="shared" si="70"/>
        <v>0.3172156862745098</v>
      </c>
      <c r="P1234" s="10">
        <v>21.28</v>
      </c>
      <c r="Q1234" s="10">
        <v>59.61</v>
      </c>
      <c r="R1234" s="11">
        <f t="shared" si="71"/>
        <v>0.23376470588235293</v>
      </c>
      <c r="S1234" t="s">
        <v>65</v>
      </c>
      <c r="T1234" t="s">
        <v>82</v>
      </c>
      <c r="U1234" t="s">
        <v>71</v>
      </c>
    </row>
    <row r="1235" spans="1:21" x14ac:dyDescent="0.35">
      <c r="A1235" t="s">
        <v>1363</v>
      </c>
      <c r="B1235" s="5">
        <v>45798</v>
      </c>
      <c r="C1235" t="s">
        <v>107</v>
      </c>
      <c r="D1235" t="s">
        <v>74</v>
      </c>
      <c r="E1235" s="9">
        <v>5</v>
      </c>
      <c r="F1235" s="10">
        <v>125</v>
      </c>
      <c r="G1235" s="11">
        <v>0.02</v>
      </c>
      <c r="H1235" s="10">
        <v>612.5</v>
      </c>
      <c r="I1235" s="9">
        <v>0</v>
      </c>
      <c r="J1235" s="10">
        <v>0</v>
      </c>
      <c r="K1235" s="9">
        <v>5</v>
      </c>
      <c r="L1235" s="10">
        <v>612.5</v>
      </c>
      <c r="M1235" s="10">
        <v>521.52</v>
      </c>
      <c r="N1235" s="10">
        <v>90.98</v>
      </c>
      <c r="O1235" s="11">
        <f t="shared" si="70"/>
        <v>0.14853877551020409</v>
      </c>
      <c r="P1235" s="10">
        <v>65.62</v>
      </c>
      <c r="Q1235" s="10">
        <v>25.36</v>
      </c>
      <c r="R1235" s="11">
        <f t="shared" si="71"/>
        <v>4.1404081632653057E-2</v>
      </c>
      <c r="S1235" t="s">
        <v>81</v>
      </c>
      <c r="T1235" t="s">
        <v>60</v>
      </c>
      <c r="U1235" t="s">
        <v>61</v>
      </c>
    </row>
    <row r="1236" spans="1:21" x14ac:dyDescent="0.35">
      <c r="A1236" t="s">
        <v>1364</v>
      </c>
      <c r="B1236" s="5">
        <v>45941</v>
      </c>
      <c r="C1236" t="s">
        <v>56</v>
      </c>
      <c r="D1236" t="s">
        <v>57</v>
      </c>
      <c r="E1236" s="9">
        <v>1</v>
      </c>
      <c r="F1236" s="10">
        <v>40</v>
      </c>
      <c r="G1236" s="11">
        <v>0</v>
      </c>
      <c r="H1236" s="10">
        <v>40</v>
      </c>
      <c r="I1236" s="9">
        <v>0</v>
      </c>
      <c r="J1236" s="10">
        <v>0</v>
      </c>
      <c r="K1236" s="9">
        <v>1</v>
      </c>
      <c r="L1236" s="10">
        <v>40</v>
      </c>
      <c r="M1236" s="10">
        <v>31.68</v>
      </c>
      <c r="N1236" s="10">
        <v>8.32</v>
      </c>
      <c r="O1236" s="11">
        <f t="shared" si="70"/>
        <v>0.20800000000000002</v>
      </c>
      <c r="P1236" s="10">
        <v>4.5999999999999996</v>
      </c>
      <c r="Q1236" s="10">
        <v>3.72</v>
      </c>
      <c r="R1236" s="11">
        <f t="shared" si="71"/>
        <v>9.2999999999999999E-2</v>
      </c>
      <c r="S1236" t="s">
        <v>81</v>
      </c>
      <c r="T1236" t="s">
        <v>86</v>
      </c>
      <c r="U1236" t="s">
        <v>61</v>
      </c>
    </row>
    <row r="1237" spans="1:21" x14ac:dyDescent="0.35">
      <c r="A1237" t="s">
        <v>1365</v>
      </c>
      <c r="B1237" s="5">
        <v>45666</v>
      </c>
      <c r="C1237" t="s">
        <v>117</v>
      </c>
      <c r="D1237" t="s">
        <v>74</v>
      </c>
      <c r="E1237" s="9">
        <v>8</v>
      </c>
      <c r="F1237" s="10">
        <v>95</v>
      </c>
      <c r="G1237" s="11">
        <v>0.02</v>
      </c>
      <c r="H1237" s="10">
        <v>744.8</v>
      </c>
      <c r="I1237" s="9">
        <v>0</v>
      </c>
      <c r="J1237" s="10">
        <v>0</v>
      </c>
      <c r="K1237" s="9">
        <v>8</v>
      </c>
      <c r="L1237" s="10">
        <v>744.8</v>
      </c>
      <c r="M1237" s="10">
        <v>501.15</v>
      </c>
      <c r="N1237" s="10">
        <v>243.65</v>
      </c>
      <c r="O1237" s="11">
        <f t="shared" si="70"/>
        <v>0.32713480128893663</v>
      </c>
      <c r="P1237" s="10">
        <v>81.489999999999995</v>
      </c>
      <c r="Q1237" s="10">
        <v>162.16</v>
      </c>
      <c r="R1237" s="11">
        <f t="shared" si="71"/>
        <v>0.21772287862513429</v>
      </c>
      <c r="S1237" t="s">
        <v>59</v>
      </c>
      <c r="T1237" t="s">
        <v>82</v>
      </c>
      <c r="U1237" t="s">
        <v>76</v>
      </c>
    </row>
    <row r="1238" spans="1:21" x14ac:dyDescent="0.35">
      <c r="A1238" t="s">
        <v>1366</v>
      </c>
      <c r="B1238" s="5">
        <v>45801</v>
      </c>
      <c r="C1238" t="s">
        <v>69</v>
      </c>
      <c r="D1238" t="s">
        <v>70</v>
      </c>
      <c r="E1238" s="9">
        <v>3</v>
      </c>
      <c r="F1238" s="10">
        <v>210</v>
      </c>
      <c r="G1238" s="11">
        <v>0.1</v>
      </c>
      <c r="H1238" s="10">
        <v>567</v>
      </c>
      <c r="I1238" s="9">
        <v>0</v>
      </c>
      <c r="J1238" s="10">
        <v>0</v>
      </c>
      <c r="K1238" s="9">
        <v>3</v>
      </c>
      <c r="L1238" s="10">
        <v>567</v>
      </c>
      <c r="M1238" s="10">
        <v>404.81</v>
      </c>
      <c r="N1238" s="10">
        <v>162.19</v>
      </c>
      <c r="O1238" s="11">
        <f t="shared" si="70"/>
        <v>0.28604938271604941</v>
      </c>
      <c r="P1238" s="10">
        <v>28.36</v>
      </c>
      <c r="Q1238" s="10">
        <v>133.83000000000001</v>
      </c>
      <c r="R1238" s="11">
        <f t="shared" si="71"/>
        <v>0.23603174603174606</v>
      </c>
      <c r="S1238" t="s">
        <v>81</v>
      </c>
      <c r="T1238" t="s">
        <v>86</v>
      </c>
      <c r="U1238" t="s">
        <v>61</v>
      </c>
    </row>
    <row r="1239" spans="1:21" x14ac:dyDescent="0.35">
      <c r="A1239" t="s">
        <v>1367</v>
      </c>
      <c r="B1239" s="5">
        <v>45765</v>
      </c>
      <c r="C1239" t="s">
        <v>107</v>
      </c>
      <c r="D1239" t="s">
        <v>74</v>
      </c>
      <c r="E1239" s="9">
        <v>1</v>
      </c>
      <c r="F1239" s="10">
        <v>125</v>
      </c>
      <c r="G1239" s="11">
        <v>0.05</v>
      </c>
      <c r="H1239" s="10">
        <v>118.75</v>
      </c>
      <c r="I1239" s="9">
        <v>0</v>
      </c>
      <c r="J1239" s="10">
        <v>0</v>
      </c>
      <c r="K1239" s="9">
        <v>1</v>
      </c>
      <c r="L1239" s="10">
        <v>118.75</v>
      </c>
      <c r="M1239" s="10">
        <v>87.06</v>
      </c>
      <c r="N1239" s="10">
        <v>31.69</v>
      </c>
      <c r="O1239" s="11">
        <f t="shared" si="70"/>
        <v>0.26686315789473686</v>
      </c>
      <c r="P1239" s="10">
        <v>8.4499999999999993</v>
      </c>
      <c r="Q1239" s="10">
        <v>23.24</v>
      </c>
      <c r="R1239" s="11">
        <f t="shared" si="71"/>
        <v>0.19570526315789472</v>
      </c>
      <c r="S1239" t="s">
        <v>75</v>
      </c>
      <c r="T1239" t="s">
        <v>86</v>
      </c>
      <c r="U1239" t="s">
        <v>76</v>
      </c>
    </row>
    <row r="1240" spans="1:21" x14ac:dyDescent="0.35">
      <c r="A1240" t="s">
        <v>1368</v>
      </c>
      <c r="B1240" s="5">
        <v>45843</v>
      </c>
      <c r="C1240" t="s">
        <v>73</v>
      </c>
      <c r="D1240" t="s">
        <v>74</v>
      </c>
      <c r="E1240" s="9">
        <v>2</v>
      </c>
      <c r="F1240" s="10">
        <v>280</v>
      </c>
      <c r="G1240" s="11">
        <v>0</v>
      </c>
      <c r="H1240" s="10">
        <v>560</v>
      </c>
      <c r="I1240" s="9">
        <v>0</v>
      </c>
      <c r="J1240" s="10">
        <v>0</v>
      </c>
      <c r="K1240" s="9">
        <v>2</v>
      </c>
      <c r="L1240" s="10">
        <v>560</v>
      </c>
      <c r="M1240" s="10">
        <v>464.12</v>
      </c>
      <c r="N1240" s="10">
        <v>95.88</v>
      </c>
      <c r="O1240" s="11">
        <f t="shared" si="70"/>
        <v>0.17121428571428571</v>
      </c>
      <c r="P1240" s="10">
        <v>55.51</v>
      </c>
      <c r="Q1240" s="10">
        <v>40.369999999999997</v>
      </c>
      <c r="R1240" s="11">
        <f t="shared" si="71"/>
        <v>7.2089285714285703E-2</v>
      </c>
      <c r="S1240" t="s">
        <v>59</v>
      </c>
      <c r="T1240" t="s">
        <v>60</v>
      </c>
      <c r="U1240" t="s">
        <v>61</v>
      </c>
    </row>
    <row r="1241" spans="1:21" x14ac:dyDescent="0.35">
      <c r="A1241" t="s">
        <v>1369</v>
      </c>
      <c r="B1241" s="5">
        <v>45785</v>
      </c>
      <c r="C1241" t="s">
        <v>100</v>
      </c>
      <c r="D1241" t="s">
        <v>64</v>
      </c>
      <c r="E1241" s="9">
        <v>10</v>
      </c>
      <c r="F1241" s="10">
        <v>310</v>
      </c>
      <c r="G1241" s="11">
        <v>0.05</v>
      </c>
      <c r="H1241" s="10">
        <v>2945</v>
      </c>
      <c r="I1241" s="9">
        <v>0</v>
      </c>
      <c r="J1241" s="10">
        <v>0</v>
      </c>
      <c r="K1241" s="9">
        <v>10</v>
      </c>
      <c r="L1241" s="10">
        <v>2945</v>
      </c>
      <c r="M1241" s="10">
        <v>2457.4</v>
      </c>
      <c r="N1241" s="10">
        <v>487.6</v>
      </c>
      <c r="O1241" s="11">
        <f t="shared" si="70"/>
        <v>0.16556876061120543</v>
      </c>
      <c r="P1241" s="10">
        <v>171.53</v>
      </c>
      <c r="Q1241" s="10">
        <v>316.07</v>
      </c>
      <c r="R1241" s="11">
        <f t="shared" si="71"/>
        <v>0.10732427843803055</v>
      </c>
      <c r="S1241" t="s">
        <v>81</v>
      </c>
      <c r="T1241" t="s">
        <v>60</v>
      </c>
      <c r="U1241" t="s">
        <v>61</v>
      </c>
    </row>
    <row r="1242" spans="1:21" x14ac:dyDescent="0.35">
      <c r="A1242" t="s">
        <v>1370</v>
      </c>
      <c r="B1242" s="5">
        <v>46006</v>
      </c>
      <c r="C1242" t="s">
        <v>73</v>
      </c>
      <c r="D1242" t="s">
        <v>74</v>
      </c>
      <c r="E1242" s="9">
        <v>5</v>
      </c>
      <c r="F1242" s="10">
        <v>280</v>
      </c>
      <c r="G1242" s="11">
        <v>0.02</v>
      </c>
      <c r="H1242" s="10">
        <v>1372</v>
      </c>
      <c r="I1242" s="9">
        <v>0</v>
      </c>
      <c r="J1242" s="10">
        <v>0</v>
      </c>
      <c r="K1242" s="9">
        <v>5</v>
      </c>
      <c r="L1242" s="10">
        <v>1372</v>
      </c>
      <c r="M1242" s="10">
        <v>877.88</v>
      </c>
      <c r="N1242" s="10">
        <v>494.12</v>
      </c>
      <c r="O1242" s="11">
        <f t="shared" si="70"/>
        <v>0.36014577259475217</v>
      </c>
      <c r="P1242" s="10">
        <v>142.91999999999999</v>
      </c>
      <c r="Q1242" s="10">
        <v>351.2</v>
      </c>
      <c r="R1242" s="11">
        <f t="shared" si="71"/>
        <v>0.25597667638483962</v>
      </c>
      <c r="S1242" t="s">
        <v>65</v>
      </c>
      <c r="T1242" t="s">
        <v>86</v>
      </c>
      <c r="U1242" t="s">
        <v>61</v>
      </c>
    </row>
    <row r="1243" spans="1:21" x14ac:dyDescent="0.35">
      <c r="A1243" t="s">
        <v>1371</v>
      </c>
      <c r="B1243" s="5">
        <v>45963</v>
      </c>
      <c r="C1243" t="s">
        <v>104</v>
      </c>
      <c r="D1243" t="s">
        <v>105</v>
      </c>
      <c r="E1243" s="9">
        <v>1</v>
      </c>
      <c r="F1243" s="10">
        <v>65</v>
      </c>
      <c r="G1243" s="11">
        <v>0</v>
      </c>
      <c r="H1243" s="10">
        <v>65</v>
      </c>
      <c r="I1243" s="9">
        <v>0</v>
      </c>
      <c r="J1243" s="10">
        <v>0</v>
      </c>
      <c r="K1243" s="9">
        <v>1</v>
      </c>
      <c r="L1243" s="10">
        <v>65</v>
      </c>
      <c r="M1243" s="10">
        <v>46.97</v>
      </c>
      <c r="N1243" s="10">
        <v>18.03</v>
      </c>
      <c r="O1243" s="11">
        <f t="shared" si="70"/>
        <v>0.2773846153846154</v>
      </c>
      <c r="P1243" s="10">
        <v>8</v>
      </c>
      <c r="Q1243" s="10">
        <v>10.029999999999999</v>
      </c>
      <c r="R1243" s="11">
        <f t="shared" si="71"/>
        <v>0.15430769230769228</v>
      </c>
      <c r="S1243" t="s">
        <v>81</v>
      </c>
      <c r="T1243" t="s">
        <v>66</v>
      </c>
      <c r="U1243" t="s">
        <v>76</v>
      </c>
    </row>
    <row r="1244" spans="1:21" x14ac:dyDescent="0.35">
      <c r="A1244" t="s">
        <v>1372</v>
      </c>
      <c r="B1244" s="5">
        <v>45954</v>
      </c>
      <c r="C1244" t="s">
        <v>92</v>
      </c>
      <c r="D1244" t="s">
        <v>79</v>
      </c>
      <c r="E1244" s="9">
        <v>2</v>
      </c>
      <c r="F1244" s="10">
        <v>85</v>
      </c>
      <c r="G1244" s="11">
        <v>0</v>
      </c>
      <c r="H1244" s="10">
        <v>170</v>
      </c>
      <c r="I1244" s="9">
        <v>0</v>
      </c>
      <c r="J1244" s="10">
        <v>0</v>
      </c>
      <c r="K1244" s="9">
        <v>2</v>
      </c>
      <c r="L1244" s="10">
        <v>170</v>
      </c>
      <c r="M1244" s="10">
        <v>112.18</v>
      </c>
      <c r="N1244" s="10">
        <v>57.82</v>
      </c>
      <c r="O1244" s="11">
        <f t="shared" si="70"/>
        <v>0.34011764705882352</v>
      </c>
      <c r="P1244" s="10">
        <v>18.59</v>
      </c>
      <c r="Q1244" s="10">
        <v>39.229999999999997</v>
      </c>
      <c r="R1244" s="11">
        <f t="shared" si="71"/>
        <v>0.23076470588235293</v>
      </c>
      <c r="S1244" t="s">
        <v>65</v>
      </c>
      <c r="T1244" t="s">
        <v>60</v>
      </c>
      <c r="U1244" t="s">
        <v>67</v>
      </c>
    </row>
    <row r="1245" spans="1:21" x14ac:dyDescent="0.35">
      <c r="A1245" t="s">
        <v>1373</v>
      </c>
      <c r="B1245" s="5">
        <v>45974</v>
      </c>
      <c r="C1245" t="s">
        <v>78</v>
      </c>
      <c r="D1245" t="s">
        <v>79</v>
      </c>
      <c r="E1245" s="9">
        <v>3</v>
      </c>
      <c r="F1245" s="10">
        <v>120</v>
      </c>
      <c r="G1245" s="11">
        <v>0</v>
      </c>
      <c r="H1245" s="10">
        <v>360</v>
      </c>
      <c r="I1245" s="9">
        <v>0</v>
      </c>
      <c r="J1245" s="10">
        <v>0</v>
      </c>
      <c r="K1245" s="9">
        <v>3</v>
      </c>
      <c r="L1245" s="10">
        <v>360</v>
      </c>
      <c r="M1245" s="10">
        <v>270.72000000000003</v>
      </c>
      <c r="N1245" s="10">
        <v>89.28</v>
      </c>
      <c r="O1245" s="11">
        <f t="shared" si="70"/>
        <v>0.248</v>
      </c>
      <c r="P1245" s="10">
        <v>34.29</v>
      </c>
      <c r="Q1245" s="10">
        <v>54.99</v>
      </c>
      <c r="R1245" s="11">
        <f t="shared" si="71"/>
        <v>0.15275</v>
      </c>
      <c r="S1245" t="s">
        <v>81</v>
      </c>
      <c r="T1245" t="s">
        <v>66</v>
      </c>
      <c r="U1245" t="s">
        <v>71</v>
      </c>
    </row>
    <row r="1246" spans="1:21" x14ac:dyDescent="0.35">
      <c r="A1246" t="s">
        <v>1374</v>
      </c>
      <c r="B1246" s="5">
        <v>46011</v>
      </c>
      <c r="C1246" t="s">
        <v>264</v>
      </c>
      <c r="D1246" t="s">
        <v>85</v>
      </c>
      <c r="E1246" s="9">
        <v>3</v>
      </c>
      <c r="F1246" s="10">
        <v>20</v>
      </c>
      <c r="G1246" s="11">
        <v>0.05</v>
      </c>
      <c r="H1246" s="10">
        <v>57</v>
      </c>
      <c r="I1246" s="9">
        <v>0</v>
      </c>
      <c r="J1246" s="10">
        <v>0</v>
      </c>
      <c r="K1246" s="9">
        <v>3</v>
      </c>
      <c r="L1246" s="10">
        <v>57</v>
      </c>
      <c r="M1246" s="10">
        <v>48.1</v>
      </c>
      <c r="N1246" s="10">
        <v>8.9</v>
      </c>
      <c r="O1246" s="11">
        <f t="shared" si="70"/>
        <v>0.156140350877193</v>
      </c>
      <c r="P1246" s="10">
        <v>6.69</v>
      </c>
      <c r="Q1246" s="10">
        <v>2.21</v>
      </c>
      <c r="R1246" s="11">
        <f t="shared" si="71"/>
        <v>3.8771929824561402E-2</v>
      </c>
      <c r="S1246" t="s">
        <v>59</v>
      </c>
      <c r="T1246" t="s">
        <v>82</v>
      </c>
      <c r="U1246" t="s">
        <v>67</v>
      </c>
    </row>
    <row r="1247" spans="1:21" x14ac:dyDescent="0.35">
      <c r="A1247" t="s">
        <v>1375</v>
      </c>
      <c r="B1247" s="5">
        <v>45833</v>
      </c>
      <c r="C1247" t="s">
        <v>92</v>
      </c>
      <c r="D1247" t="s">
        <v>79</v>
      </c>
      <c r="E1247" s="9">
        <v>2</v>
      </c>
      <c r="F1247" s="10">
        <v>85</v>
      </c>
      <c r="G1247" s="11">
        <v>0.02</v>
      </c>
      <c r="H1247" s="10">
        <v>166.6</v>
      </c>
      <c r="I1247" s="9">
        <v>0</v>
      </c>
      <c r="J1247" s="10">
        <v>0</v>
      </c>
      <c r="K1247" s="9">
        <v>2</v>
      </c>
      <c r="L1247" s="10">
        <v>166.6</v>
      </c>
      <c r="M1247" s="10">
        <v>115.77</v>
      </c>
      <c r="N1247" s="10">
        <v>50.83</v>
      </c>
      <c r="O1247" s="11">
        <f t="shared" si="70"/>
        <v>0.30510204081632653</v>
      </c>
      <c r="P1247" s="10">
        <v>19.93</v>
      </c>
      <c r="Q1247" s="10">
        <v>30.9</v>
      </c>
      <c r="R1247" s="11">
        <f t="shared" si="71"/>
        <v>0.18547418967587034</v>
      </c>
      <c r="S1247" t="s">
        <v>59</v>
      </c>
      <c r="T1247" t="s">
        <v>86</v>
      </c>
      <c r="U1247" t="s">
        <v>76</v>
      </c>
    </row>
    <row r="1248" spans="1:21" x14ac:dyDescent="0.35">
      <c r="A1248" t="s">
        <v>1376</v>
      </c>
      <c r="B1248" s="5">
        <v>45686</v>
      </c>
      <c r="C1248" t="s">
        <v>121</v>
      </c>
      <c r="D1248" t="s">
        <v>70</v>
      </c>
      <c r="E1248" s="9">
        <v>4</v>
      </c>
      <c r="F1248" s="10">
        <v>110</v>
      </c>
      <c r="G1248" s="11">
        <v>0</v>
      </c>
      <c r="H1248" s="10">
        <v>440</v>
      </c>
      <c r="I1248" s="9">
        <v>0</v>
      </c>
      <c r="J1248" s="10">
        <v>0</v>
      </c>
      <c r="K1248" s="9">
        <v>4</v>
      </c>
      <c r="L1248" s="10">
        <v>440</v>
      </c>
      <c r="M1248" s="10">
        <v>281.20999999999998</v>
      </c>
      <c r="N1248" s="10">
        <v>158.79</v>
      </c>
      <c r="O1248" s="11">
        <f t="shared" si="70"/>
        <v>0.36088636363636362</v>
      </c>
      <c r="P1248" s="10">
        <v>55.37</v>
      </c>
      <c r="Q1248" s="10">
        <v>103.42</v>
      </c>
      <c r="R1248" s="11">
        <f t="shared" si="71"/>
        <v>0.23504545454545456</v>
      </c>
      <c r="S1248" t="s">
        <v>81</v>
      </c>
      <c r="T1248" t="s">
        <v>86</v>
      </c>
      <c r="U1248" t="s">
        <v>67</v>
      </c>
    </row>
    <row r="1249" spans="1:21" x14ac:dyDescent="0.35">
      <c r="A1249" t="s">
        <v>1377</v>
      </c>
      <c r="B1249" s="5">
        <v>46009</v>
      </c>
      <c r="C1249" t="s">
        <v>107</v>
      </c>
      <c r="D1249" t="s">
        <v>74</v>
      </c>
      <c r="E1249" s="9">
        <v>1</v>
      </c>
      <c r="F1249" s="10">
        <v>125</v>
      </c>
      <c r="G1249" s="11">
        <v>0.05</v>
      </c>
      <c r="H1249" s="10">
        <v>118.75</v>
      </c>
      <c r="I1249" s="9">
        <v>0</v>
      </c>
      <c r="J1249" s="10">
        <v>0</v>
      </c>
      <c r="K1249" s="9">
        <v>1</v>
      </c>
      <c r="L1249" s="10">
        <v>118.75</v>
      </c>
      <c r="M1249" s="10">
        <v>86.04</v>
      </c>
      <c r="N1249" s="10">
        <v>32.71</v>
      </c>
      <c r="O1249" s="11">
        <f t="shared" si="70"/>
        <v>0.27545263157894739</v>
      </c>
      <c r="P1249" s="10">
        <v>12.46</v>
      </c>
      <c r="Q1249" s="10">
        <v>20.25</v>
      </c>
      <c r="R1249" s="11">
        <f t="shared" si="71"/>
        <v>0.17052631578947369</v>
      </c>
      <c r="S1249" t="s">
        <v>65</v>
      </c>
      <c r="T1249" t="s">
        <v>82</v>
      </c>
      <c r="U1249" t="s">
        <v>67</v>
      </c>
    </row>
    <row r="1250" spans="1:21" x14ac:dyDescent="0.35">
      <c r="A1250" t="s">
        <v>1378</v>
      </c>
      <c r="B1250" s="5">
        <v>45701</v>
      </c>
      <c r="C1250" t="s">
        <v>117</v>
      </c>
      <c r="D1250" t="s">
        <v>74</v>
      </c>
      <c r="E1250" s="9">
        <v>3</v>
      </c>
      <c r="F1250" s="10">
        <v>95</v>
      </c>
      <c r="G1250" s="11">
        <v>0</v>
      </c>
      <c r="H1250" s="10">
        <v>285</v>
      </c>
      <c r="I1250" s="9">
        <v>0</v>
      </c>
      <c r="J1250" s="10">
        <v>0</v>
      </c>
      <c r="K1250" s="9">
        <v>3</v>
      </c>
      <c r="L1250" s="10">
        <v>285</v>
      </c>
      <c r="M1250" s="10">
        <v>235.91</v>
      </c>
      <c r="N1250" s="10">
        <v>49.09</v>
      </c>
      <c r="O1250" s="11">
        <f t="shared" si="70"/>
        <v>0.17224561403508773</v>
      </c>
      <c r="P1250" s="10">
        <v>28.93</v>
      </c>
      <c r="Q1250" s="10">
        <v>20.16</v>
      </c>
      <c r="R1250" s="11">
        <f t="shared" si="71"/>
        <v>7.0736842105263154E-2</v>
      </c>
      <c r="S1250" t="s">
        <v>65</v>
      </c>
      <c r="T1250" t="s">
        <v>86</v>
      </c>
      <c r="U1250" t="s">
        <v>67</v>
      </c>
    </row>
    <row r="1251" spans="1:21" x14ac:dyDescent="0.35">
      <c r="A1251" t="s">
        <v>1379</v>
      </c>
      <c r="B1251" s="5">
        <v>45777</v>
      </c>
      <c r="C1251" t="s">
        <v>264</v>
      </c>
      <c r="D1251" t="s">
        <v>85</v>
      </c>
      <c r="E1251" s="9">
        <v>4</v>
      </c>
      <c r="F1251" s="10">
        <v>20</v>
      </c>
      <c r="G1251" s="11">
        <v>0.02</v>
      </c>
      <c r="H1251" s="10">
        <v>78.400000000000006</v>
      </c>
      <c r="I1251" s="9">
        <v>0</v>
      </c>
      <c r="J1251" s="10">
        <v>0</v>
      </c>
      <c r="K1251" s="9">
        <v>4</v>
      </c>
      <c r="L1251" s="10">
        <v>78.400000000000006</v>
      </c>
      <c r="M1251" s="10">
        <v>57.83</v>
      </c>
      <c r="N1251" s="10">
        <v>20.57</v>
      </c>
      <c r="O1251" s="11">
        <f t="shared" si="70"/>
        <v>0.26237244897959183</v>
      </c>
      <c r="P1251" s="10">
        <v>7.84</v>
      </c>
      <c r="Q1251" s="10">
        <v>12.73</v>
      </c>
      <c r="R1251" s="11">
        <f t="shared" si="71"/>
        <v>0.16237244897959183</v>
      </c>
      <c r="S1251" t="s">
        <v>81</v>
      </c>
      <c r="T1251" t="s">
        <v>86</v>
      </c>
      <c r="U1251" t="s">
        <v>71</v>
      </c>
    </row>
    <row r="1252" spans="1:21" x14ac:dyDescent="0.35">
      <c r="A1252" t="s">
        <v>1380</v>
      </c>
      <c r="B1252" s="5">
        <v>45947</v>
      </c>
      <c r="C1252" t="s">
        <v>121</v>
      </c>
      <c r="D1252" t="s">
        <v>70</v>
      </c>
      <c r="E1252" s="9">
        <v>2</v>
      </c>
      <c r="F1252" s="10">
        <v>110</v>
      </c>
      <c r="G1252" s="11">
        <v>0</v>
      </c>
      <c r="H1252" s="10">
        <v>220</v>
      </c>
      <c r="I1252" s="9">
        <v>0</v>
      </c>
      <c r="J1252" s="10">
        <v>0</v>
      </c>
      <c r="K1252" s="9">
        <v>2</v>
      </c>
      <c r="L1252" s="10">
        <v>220</v>
      </c>
      <c r="M1252" s="10">
        <v>137.91</v>
      </c>
      <c r="N1252" s="10">
        <v>82.09</v>
      </c>
      <c r="O1252" s="11">
        <f t="shared" si="70"/>
        <v>0.37313636363636365</v>
      </c>
      <c r="P1252" s="10">
        <v>11.14</v>
      </c>
      <c r="Q1252" s="10">
        <v>70.95</v>
      </c>
      <c r="R1252" s="11">
        <f t="shared" si="71"/>
        <v>0.32250000000000001</v>
      </c>
      <c r="S1252" t="s">
        <v>59</v>
      </c>
      <c r="T1252" t="s">
        <v>60</v>
      </c>
      <c r="U1252" t="s">
        <v>61</v>
      </c>
    </row>
    <row r="1253" spans="1:21" x14ac:dyDescent="0.35">
      <c r="A1253" t="s">
        <v>1381</v>
      </c>
      <c r="B1253" s="5">
        <v>45977</v>
      </c>
      <c r="C1253" t="s">
        <v>97</v>
      </c>
      <c r="D1253" t="s">
        <v>57</v>
      </c>
      <c r="E1253" s="9">
        <v>2</v>
      </c>
      <c r="F1253" s="10">
        <v>55</v>
      </c>
      <c r="G1253" s="11">
        <v>0.02</v>
      </c>
      <c r="H1253" s="10">
        <v>107.8</v>
      </c>
      <c r="I1253" s="9">
        <v>0</v>
      </c>
      <c r="J1253" s="10">
        <v>0</v>
      </c>
      <c r="K1253" s="9">
        <v>2</v>
      </c>
      <c r="L1253" s="10">
        <v>107.8</v>
      </c>
      <c r="M1253" s="10">
        <v>72.069999999999993</v>
      </c>
      <c r="N1253" s="10">
        <v>35.729999999999997</v>
      </c>
      <c r="O1253" s="11">
        <f t="shared" si="70"/>
        <v>0.33144712430426715</v>
      </c>
      <c r="P1253" s="10">
        <v>9.74</v>
      </c>
      <c r="Q1253" s="10">
        <v>25.99</v>
      </c>
      <c r="R1253" s="11">
        <f t="shared" si="71"/>
        <v>0.24109461966604823</v>
      </c>
      <c r="S1253" t="s">
        <v>81</v>
      </c>
      <c r="T1253" t="s">
        <v>66</v>
      </c>
      <c r="U1253" t="s">
        <v>61</v>
      </c>
    </row>
    <row r="1254" spans="1:21" x14ac:dyDescent="0.35">
      <c r="A1254" t="s">
        <v>1382</v>
      </c>
      <c r="B1254" s="5">
        <v>45951</v>
      </c>
      <c r="C1254" t="s">
        <v>114</v>
      </c>
      <c r="D1254" t="s">
        <v>64</v>
      </c>
      <c r="E1254" s="9">
        <v>8</v>
      </c>
      <c r="F1254" s="10">
        <v>420</v>
      </c>
      <c r="G1254" s="11">
        <v>0</v>
      </c>
      <c r="H1254" s="10">
        <v>3360</v>
      </c>
      <c r="I1254" s="9">
        <v>0</v>
      </c>
      <c r="J1254" s="10">
        <v>0</v>
      </c>
      <c r="K1254" s="9">
        <v>8</v>
      </c>
      <c r="L1254" s="10">
        <v>3360</v>
      </c>
      <c r="M1254" s="10">
        <v>2334.15</v>
      </c>
      <c r="N1254" s="10">
        <v>1025.8499999999999</v>
      </c>
      <c r="O1254" s="11">
        <f t="shared" si="70"/>
        <v>0.30531249999999999</v>
      </c>
      <c r="P1254" s="10">
        <v>400.99</v>
      </c>
      <c r="Q1254" s="10">
        <v>624.86</v>
      </c>
      <c r="R1254" s="11">
        <f t="shared" si="71"/>
        <v>0.18597023809523811</v>
      </c>
      <c r="S1254" t="s">
        <v>75</v>
      </c>
      <c r="T1254" t="s">
        <v>66</v>
      </c>
      <c r="U1254" t="s">
        <v>61</v>
      </c>
    </row>
    <row r="1255" spans="1:21" x14ac:dyDescent="0.35">
      <c r="A1255" t="s">
        <v>1383</v>
      </c>
      <c r="B1255" s="5">
        <v>45696</v>
      </c>
      <c r="C1255" t="s">
        <v>114</v>
      </c>
      <c r="D1255" t="s">
        <v>64</v>
      </c>
      <c r="E1255" s="9">
        <v>2</v>
      </c>
      <c r="F1255" s="10">
        <v>420</v>
      </c>
      <c r="G1255" s="11">
        <v>0.02</v>
      </c>
      <c r="H1255" s="10">
        <v>823.2</v>
      </c>
      <c r="I1255" s="9">
        <v>0</v>
      </c>
      <c r="J1255" s="10">
        <v>0</v>
      </c>
      <c r="K1255" s="9">
        <v>2</v>
      </c>
      <c r="L1255" s="10">
        <v>823.2</v>
      </c>
      <c r="M1255" s="10">
        <v>661.34</v>
      </c>
      <c r="N1255" s="10">
        <v>161.86000000000001</v>
      </c>
      <c r="O1255" s="11">
        <f t="shared" si="70"/>
        <v>0.19662293488824101</v>
      </c>
      <c r="P1255" s="10">
        <v>56.45</v>
      </c>
      <c r="Q1255" s="10">
        <v>105.41</v>
      </c>
      <c r="R1255" s="11">
        <f t="shared" si="71"/>
        <v>0.12804907677356656</v>
      </c>
      <c r="S1255" t="s">
        <v>65</v>
      </c>
      <c r="T1255" t="s">
        <v>60</v>
      </c>
      <c r="U1255" t="s">
        <v>61</v>
      </c>
    </row>
    <row r="1256" spans="1:21" x14ac:dyDescent="0.35">
      <c r="A1256" t="s">
        <v>1384</v>
      </c>
      <c r="B1256" s="5">
        <v>45766</v>
      </c>
      <c r="C1256" t="s">
        <v>117</v>
      </c>
      <c r="D1256" t="s">
        <v>74</v>
      </c>
      <c r="E1256" s="9">
        <v>6</v>
      </c>
      <c r="F1256" s="10">
        <v>95</v>
      </c>
      <c r="G1256" s="11">
        <v>0.02</v>
      </c>
      <c r="H1256" s="10">
        <v>558.6</v>
      </c>
      <c r="I1256" s="9">
        <v>0</v>
      </c>
      <c r="J1256" s="10">
        <v>0</v>
      </c>
      <c r="K1256" s="9">
        <v>6</v>
      </c>
      <c r="L1256" s="10">
        <v>558.6</v>
      </c>
      <c r="M1256" s="10">
        <v>408.78</v>
      </c>
      <c r="N1256" s="10">
        <v>149.82</v>
      </c>
      <c r="O1256" s="11">
        <f t="shared" si="70"/>
        <v>0.26820622986036519</v>
      </c>
      <c r="P1256" s="10">
        <v>34.049999999999997</v>
      </c>
      <c r="Q1256" s="10">
        <v>115.77</v>
      </c>
      <c r="R1256" s="11">
        <f t="shared" si="71"/>
        <v>0.20725026852846401</v>
      </c>
      <c r="S1256" t="s">
        <v>81</v>
      </c>
      <c r="T1256" t="s">
        <v>86</v>
      </c>
      <c r="U1256" t="s">
        <v>71</v>
      </c>
    </row>
    <row r="1257" spans="1:21" x14ac:dyDescent="0.35">
      <c r="A1257" t="s">
        <v>1385</v>
      </c>
      <c r="B1257" s="5">
        <v>45876</v>
      </c>
      <c r="C1257" t="s">
        <v>100</v>
      </c>
      <c r="D1257" t="s">
        <v>64</v>
      </c>
      <c r="E1257" s="9">
        <v>6</v>
      </c>
      <c r="F1257" s="10">
        <v>310</v>
      </c>
      <c r="G1257" s="11">
        <v>0</v>
      </c>
      <c r="H1257" s="10">
        <v>1860</v>
      </c>
      <c r="I1257" s="9">
        <v>0</v>
      </c>
      <c r="J1257" s="10">
        <v>0</v>
      </c>
      <c r="K1257" s="9">
        <v>6</v>
      </c>
      <c r="L1257" s="10">
        <v>1860</v>
      </c>
      <c r="M1257" s="10">
        <v>1478.07</v>
      </c>
      <c r="N1257" s="10">
        <v>381.93</v>
      </c>
      <c r="O1257" s="11">
        <f t="shared" si="70"/>
        <v>0.20533870967741935</v>
      </c>
      <c r="P1257" s="10">
        <v>183.55</v>
      </c>
      <c r="Q1257" s="10">
        <v>198.38</v>
      </c>
      <c r="R1257" s="11">
        <f t="shared" si="71"/>
        <v>0.10665591397849462</v>
      </c>
      <c r="S1257" t="s">
        <v>59</v>
      </c>
      <c r="T1257" t="s">
        <v>66</v>
      </c>
      <c r="U1257" t="s">
        <v>67</v>
      </c>
    </row>
    <row r="1258" spans="1:21" x14ac:dyDescent="0.35">
      <c r="A1258" t="s">
        <v>1386</v>
      </c>
      <c r="B1258" s="5">
        <v>45822</v>
      </c>
      <c r="C1258" t="s">
        <v>117</v>
      </c>
      <c r="D1258" t="s">
        <v>74</v>
      </c>
      <c r="E1258" s="9">
        <v>4</v>
      </c>
      <c r="F1258" s="10">
        <v>95</v>
      </c>
      <c r="G1258" s="11">
        <v>0.05</v>
      </c>
      <c r="H1258" s="10">
        <v>361</v>
      </c>
      <c r="I1258" s="9">
        <v>0</v>
      </c>
      <c r="J1258" s="10">
        <v>0</v>
      </c>
      <c r="K1258" s="9">
        <v>4</v>
      </c>
      <c r="L1258" s="10">
        <v>361</v>
      </c>
      <c r="M1258" s="10">
        <v>267.45</v>
      </c>
      <c r="N1258" s="10">
        <v>93.55</v>
      </c>
      <c r="O1258" s="11">
        <f t="shared" si="70"/>
        <v>0.25914127423822714</v>
      </c>
      <c r="P1258" s="10">
        <v>45.09</v>
      </c>
      <c r="Q1258" s="10">
        <v>48.46</v>
      </c>
      <c r="R1258" s="11">
        <f t="shared" si="71"/>
        <v>0.13423822714681441</v>
      </c>
      <c r="S1258" t="s">
        <v>81</v>
      </c>
      <c r="T1258" t="s">
        <v>82</v>
      </c>
      <c r="U1258" t="s">
        <v>71</v>
      </c>
    </row>
    <row r="1259" spans="1:21" x14ac:dyDescent="0.35">
      <c r="A1259" t="s">
        <v>1387</v>
      </c>
      <c r="B1259" s="5">
        <v>45882</v>
      </c>
      <c r="C1259" t="s">
        <v>121</v>
      </c>
      <c r="D1259" t="s">
        <v>70</v>
      </c>
      <c r="E1259" s="9">
        <v>2</v>
      </c>
      <c r="F1259" s="10">
        <v>110</v>
      </c>
      <c r="G1259" s="11">
        <v>0</v>
      </c>
      <c r="H1259" s="10">
        <v>220</v>
      </c>
      <c r="I1259" s="9">
        <v>0</v>
      </c>
      <c r="J1259" s="10">
        <v>0</v>
      </c>
      <c r="K1259" s="9">
        <v>2</v>
      </c>
      <c r="L1259" s="10">
        <v>220</v>
      </c>
      <c r="M1259" s="10">
        <v>164.02</v>
      </c>
      <c r="N1259" s="10">
        <v>55.98</v>
      </c>
      <c r="O1259" s="11">
        <f t="shared" si="70"/>
        <v>0.25445454545454543</v>
      </c>
      <c r="P1259" s="10">
        <v>21.18</v>
      </c>
      <c r="Q1259" s="10">
        <v>34.799999999999997</v>
      </c>
      <c r="R1259" s="11">
        <f t="shared" si="71"/>
        <v>0.15818181818181817</v>
      </c>
      <c r="S1259" t="s">
        <v>81</v>
      </c>
      <c r="T1259" t="s">
        <v>82</v>
      </c>
      <c r="U1259" t="s">
        <v>61</v>
      </c>
    </row>
    <row r="1260" spans="1:21" x14ac:dyDescent="0.35">
      <c r="A1260" t="s">
        <v>1388</v>
      </c>
      <c r="B1260" s="5">
        <v>45865</v>
      </c>
      <c r="C1260" t="s">
        <v>73</v>
      </c>
      <c r="D1260" t="s">
        <v>74</v>
      </c>
      <c r="E1260" s="9">
        <v>4</v>
      </c>
      <c r="F1260" s="10">
        <v>280</v>
      </c>
      <c r="G1260" s="11">
        <v>0.05</v>
      </c>
      <c r="H1260" s="10">
        <v>1064</v>
      </c>
      <c r="I1260" s="9">
        <v>1</v>
      </c>
      <c r="J1260" s="10">
        <v>266</v>
      </c>
      <c r="K1260" s="9">
        <v>3</v>
      </c>
      <c r="L1260" s="10">
        <v>798</v>
      </c>
      <c r="M1260" s="10">
        <v>574.46</v>
      </c>
      <c r="N1260" s="10">
        <v>223.54</v>
      </c>
      <c r="O1260" s="11">
        <f t="shared" si="70"/>
        <v>0.280125313283208</v>
      </c>
      <c r="P1260" s="10">
        <v>66.510000000000005</v>
      </c>
      <c r="Q1260" s="10">
        <v>157.03</v>
      </c>
      <c r="R1260" s="11">
        <f t="shared" si="71"/>
        <v>0.19677944862155389</v>
      </c>
      <c r="S1260" t="s">
        <v>65</v>
      </c>
      <c r="T1260" t="s">
        <v>60</v>
      </c>
      <c r="U1260" t="s">
        <v>61</v>
      </c>
    </row>
    <row r="1261" spans="1:21" x14ac:dyDescent="0.35">
      <c r="A1261" t="s">
        <v>1389</v>
      </c>
      <c r="B1261" s="5">
        <v>45706</v>
      </c>
      <c r="C1261" t="s">
        <v>69</v>
      </c>
      <c r="D1261" t="s">
        <v>70</v>
      </c>
      <c r="E1261" s="9">
        <v>5</v>
      </c>
      <c r="F1261" s="10">
        <v>210</v>
      </c>
      <c r="G1261" s="11">
        <v>0.05</v>
      </c>
      <c r="H1261" s="10">
        <v>997.5</v>
      </c>
      <c r="I1261" s="9">
        <v>0</v>
      </c>
      <c r="J1261" s="10">
        <v>0</v>
      </c>
      <c r="K1261" s="9">
        <v>5</v>
      </c>
      <c r="L1261" s="10">
        <v>997.5</v>
      </c>
      <c r="M1261" s="10">
        <v>710.1</v>
      </c>
      <c r="N1261" s="10">
        <v>287.39999999999998</v>
      </c>
      <c r="O1261" s="11">
        <f t="shared" si="70"/>
        <v>0.28812030075187967</v>
      </c>
      <c r="P1261" s="10">
        <v>107.4</v>
      </c>
      <c r="Q1261" s="10">
        <v>180</v>
      </c>
      <c r="R1261" s="11">
        <f t="shared" si="71"/>
        <v>0.18045112781954886</v>
      </c>
      <c r="S1261" t="s">
        <v>65</v>
      </c>
      <c r="T1261" t="s">
        <v>66</v>
      </c>
      <c r="U1261" t="s">
        <v>71</v>
      </c>
    </row>
    <row r="1262" spans="1:21" x14ac:dyDescent="0.35">
      <c r="A1262" t="s">
        <v>1390</v>
      </c>
      <c r="B1262" s="5">
        <v>45680</v>
      </c>
      <c r="C1262" t="s">
        <v>104</v>
      </c>
      <c r="D1262" t="s">
        <v>105</v>
      </c>
      <c r="E1262" s="9">
        <v>3</v>
      </c>
      <c r="F1262" s="10">
        <v>65</v>
      </c>
      <c r="G1262" s="11">
        <v>0</v>
      </c>
      <c r="H1262" s="10">
        <v>195</v>
      </c>
      <c r="I1262" s="9">
        <v>0</v>
      </c>
      <c r="J1262" s="10">
        <v>0</v>
      </c>
      <c r="K1262" s="9">
        <v>3</v>
      </c>
      <c r="L1262" s="10">
        <v>195</v>
      </c>
      <c r="M1262" s="10">
        <v>139.99</v>
      </c>
      <c r="N1262" s="10">
        <v>55.01</v>
      </c>
      <c r="O1262" s="11">
        <f t="shared" si="70"/>
        <v>0.28210256410256407</v>
      </c>
      <c r="P1262" s="10">
        <v>17.28</v>
      </c>
      <c r="Q1262" s="10">
        <v>37.729999999999997</v>
      </c>
      <c r="R1262" s="11">
        <f t="shared" si="71"/>
        <v>0.19348717948717947</v>
      </c>
      <c r="S1262" t="s">
        <v>75</v>
      </c>
      <c r="T1262" t="s">
        <v>60</v>
      </c>
      <c r="U1262" t="s">
        <v>76</v>
      </c>
    </row>
    <row r="1263" spans="1:21" x14ac:dyDescent="0.35">
      <c r="A1263" t="s">
        <v>1391</v>
      </c>
      <c r="B1263" s="5">
        <v>45735</v>
      </c>
      <c r="C1263" t="s">
        <v>100</v>
      </c>
      <c r="D1263" t="s">
        <v>64</v>
      </c>
      <c r="E1263" s="9">
        <v>1</v>
      </c>
      <c r="F1263" s="10">
        <v>310</v>
      </c>
      <c r="G1263" s="11">
        <v>0</v>
      </c>
      <c r="H1263" s="10">
        <v>310</v>
      </c>
      <c r="I1263" s="9">
        <v>0</v>
      </c>
      <c r="J1263" s="10">
        <v>0</v>
      </c>
      <c r="K1263" s="9">
        <v>1</v>
      </c>
      <c r="L1263" s="10">
        <v>310</v>
      </c>
      <c r="M1263" s="10">
        <v>194.86</v>
      </c>
      <c r="N1263" s="10">
        <v>115.14</v>
      </c>
      <c r="O1263" s="11">
        <f t="shared" si="70"/>
        <v>0.37141935483870969</v>
      </c>
      <c r="P1263" s="10">
        <v>27.7</v>
      </c>
      <c r="Q1263" s="10">
        <v>87.44</v>
      </c>
      <c r="R1263" s="11">
        <f t="shared" si="71"/>
        <v>0.28206451612903227</v>
      </c>
      <c r="S1263" t="s">
        <v>81</v>
      </c>
      <c r="T1263" t="s">
        <v>60</v>
      </c>
      <c r="U1263" t="s">
        <v>67</v>
      </c>
    </row>
    <row r="1264" spans="1:21" x14ac:dyDescent="0.35">
      <c r="A1264" t="s">
        <v>1392</v>
      </c>
      <c r="B1264" s="5">
        <v>45952</v>
      </c>
      <c r="C1264" t="s">
        <v>78</v>
      </c>
      <c r="D1264" t="s">
        <v>79</v>
      </c>
      <c r="E1264" s="9">
        <v>4</v>
      </c>
      <c r="F1264" s="10">
        <v>120</v>
      </c>
      <c r="G1264" s="11">
        <v>0.1</v>
      </c>
      <c r="H1264" s="10">
        <v>432</v>
      </c>
      <c r="I1264" s="9">
        <v>4</v>
      </c>
      <c r="J1264" s="10">
        <v>432</v>
      </c>
      <c r="K1264" s="9">
        <v>0</v>
      </c>
      <c r="L1264" s="10">
        <v>0</v>
      </c>
      <c r="M1264" s="10">
        <v>0</v>
      </c>
      <c r="N1264" s="10">
        <v>0</v>
      </c>
      <c r="O1264" s="11">
        <v>0</v>
      </c>
      <c r="P1264" s="10">
        <v>0</v>
      </c>
      <c r="Q1264" s="10">
        <v>0</v>
      </c>
      <c r="R1264" s="11">
        <v>0</v>
      </c>
      <c r="S1264" t="s">
        <v>81</v>
      </c>
      <c r="T1264" t="s">
        <v>86</v>
      </c>
      <c r="U1264" t="s">
        <v>76</v>
      </c>
    </row>
    <row r="1265" spans="1:21" x14ac:dyDescent="0.35">
      <c r="A1265" t="s">
        <v>1393</v>
      </c>
      <c r="B1265" s="5">
        <v>45728</v>
      </c>
      <c r="C1265" t="s">
        <v>73</v>
      </c>
      <c r="D1265" t="s">
        <v>74</v>
      </c>
      <c r="E1265" s="9">
        <v>5</v>
      </c>
      <c r="F1265" s="10">
        <v>280</v>
      </c>
      <c r="G1265" s="11">
        <v>0</v>
      </c>
      <c r="H1265" s="10">
        <v>1400</v>
      </c>
      <c r="I1265" s="9">
        <v>0</v>
      </c>
      <c r="J1265" s="10">
        <v>0</v>
      </c>
      <c r="K1265" s="9">
        <v>5</v>
      </c>
      <c r="L1265" s="10">
        <v>1400</v>
      </c>
      <c r="M1265" s="10">
        <v>1152.52</v>
      </c>
      <c r="N1265" s="10">
        <v>247.48</v>
      </c>
      <c r="O1265" s="11">
        <f t="shared" ref="O1265:O1279" si="72">N1265/L1265</f>
        <v>0.17677142857142855</v>
      </c>
      <c r="P1265" s="10">
        <v>146.37</v>
      </c>
      <c r="Q1265" s="10">
        <v>101.11</v>
      </c>
      <c r="R1265" s="11">
        <f t="shared" ref="R1265:R1279" si="73">Q1265/L1265</f>
        <v>7.2221428571428575E-2</v>
      </c>
      <c r="S1265" t="s">
        <v>81</v>
      </c>
      <c r="T1265" t="s">
        <v>86</v>
      </c>
      <c r="U1265" t="s">
        <v>61</v>
      </c>
    </row>
    <row r="1266" spans="1:21" x14ac:dyDescent="0.35">
      <c r="A1266" t="s">
        <v>1394</v>
      </c>
      <c r="B1266" s="5">
        <v>45703</v>
      </c>
      <c r="C1266" t="s">
        <v>97</v>
      </c>
      <c r="D1266" t="s">
        <v>57</v>
      </c>
      <c r="E1266" s="9">
        <v>3</v>
      </c>
      <c r="F1266" s="10">
        <v>55</v>
      </c>
      <c r="G1266" s="11">
        <v>0</v>
      </c>
      <c r="H1266" s="10">
        <v>165</v>
      </c>
      <c r="I1266" s="9">
        <v>0</v>
      </c>
      <c r="J1266" s="10">
        <v>0</v>
      </c>
      <c r="K1266" s="9">
        <v>3</v>
      </c>
      <c r="L1266" s="10">
        <v>165</v>
      </c>
      <c r="M1266" s="10">
        <v>121.56</v>
      </c>
      <c r="N1266" s="10">
        <v>43.44</v>
      </c>
      <c r="O1266" s="11">
        <f t="shared" si="72"/>
        <v>0.26327272727272727</v>
      </c>
      <c r="P1266" s="10">
        <v>19.170000000000002</v>
      </c>
      <c r="Q1266" s="10">
        <v>24.27</v>
      </c>
      <c r="R1266" s="11">
        <f t="shared" si="73"/>
        <v>0.14709090909090908</v>
      </c>
      <c r="S1266" t="s">
        <v>65</v>
      </c>
      <c r="T1266" t="s">
        <v>60</v>
      </c>
      <c r="U1266" t="s">
        <v>61</v>
      </c>
    </row>
    <row r="1267" spans="1:21" x14ac:dyDescent="0.35">
      <c r="A1267" t="s">
        <v>1395</v>
      </c>
      <c r="B1267" s="5">
        <v>45735</v>
      </c>
      <c r="C1267" t="s">
        <v>56</v>
      </c>
      <c r="D1267" t="s">
        <v>57</v>
      </c>
      <c r="E1267" s="9">
        <v>1</v>
      </c>
      <c r="F1267" s="10">
        <v>40</v>
      </c>
      <c r="G1267" s="11">
        <v>0</v>
      </c>
      <c r="H1267" s="10">
        <v>40</v>
      </c>
      <c r="I1267" s="9">
        <v>0</v>
      </c>
      <c r="J1267" s="10">
        <v>0</v>
      </c>
      <c r="K1267" s="9">
        <v>1</v>
      </c>
      <c r="L1267" s="10">
        <v>40</v>
      </c>
      <c r="M1267" s="10">
        <v>33.68</v>
      </c>
      <c r="N1267" s="10">
        <v>6.32</v>
      </c>
      <c r="O1267" s="11">
        <f t="shared" si="72"/>
        <v>0.158</v>
      </c>
      <c r="P1267" s="10">
        <v>4</v>
      </c>
      <c r="Q1267" s="10">
        <v>2.3199999999999998</v>
      </c>
      <c r="R1267" s="11">
        <f t="shared" si="73"/>
        <v>5.7999999999999996E-2</v>
      </c>
      <c r="S1267" t="s">
        <v>65</v>
      </c>
      <c r="T1267" t="s">
        <v>86</v>
      </c>
      <c r="U1267" t="s">
        <v>71</v>
      </c>
    </row>
    <row r="1268" spans="1:21" x14ac:dyDescent="0.35">
      <c r="A1268" t="s">
        <v>1396</v>
      </c>
      <c r="B1268" s="5">
        <v>45729</v>
      </c>
      <c r="C1268" t="s">
        <v>104</v>
      </c>
      <c r="D1268" t="s">
        <v>105</v>
      </c>
      <c r="E1268" s="9">
        <v>2</v>
      </c>
      <c r="F1268" s="10">
        <v>65</v>
      </c>
      <c r="G1268" s="11">
        <v>0.1</v>
      </c>
      <c r="H1268" s="10">
        <v>117</v>
      </c>
      <c r="I1268" s="9">
        <v>0</v>
      </c>
      <c r="J1268" s="10">
        <v>0</v>
      </c>
      <c r="K1268" s="9">
        <v>2</v>
      </c>
      <c r="L1268" s="10">
        <v>117</v>
      </c>
      <c r="M1268" s="10">
        <v>79.290000000000006</v>
      </c>
      <c r="N1268" s="10">
        <v>37.71</v>
      </c>
      <c r="O1268" s="11">
        <f t="shared" si="72"/>
        <v>0.3223076923076923</v>
      </c>
      <c r="P1268" s="10">
        <v>6.35</v>
      </c>
      <c r="Q1268" s="10">
        <v>31.36</v>
      </c>
      <c r="R1268" s="11">
        <f t="shared" si="73"/>
        <v>0.26803418803418805</v>
      </c>
      <c r="S1268" t="s">
        <v>65</v>
      </c>
      <c r="T1268" t="s">
        <v>66</v>
      </c>
      <c r="U1268" t="s">
        <v>61</v>
      </c>
    </row>
    <row r="1269" spans="1:21" x14ac:dyDescent="0.35">
      <c r="A1269" t="s">
        <v>1397</v>
      </c>
      <c r="B1269" s="5">
        <v>45740</v>
      </c>
      <c r="C1269" t="s">
        <v>117</v>
      </c>
      <c r="D1269" t="s">
        <v>74</v>
      </c>
      <c r="E1269" s="9">
        <v>2</v>
      </c>
      <c r="F1269" s="10">
        <v>95</v>
      </c>
      <c r="G1269" s="11">
        <v>0</v>
      </c>
      <c r="H1269" s="10">
        <v>190</v>
      </c>
      <c r="I1269" s="9">
        <v>0</v>
      </c>
      <c r="J1269" s="10">
        <v>0</v>
      </c>
      <c r="K1269" s="9">
        <v>2</v>
      </c>
      <c r="L1269" s="10">
        <v>190</v>
      </c>
      <c r="M1269" s="10">
        <v>138.56</v>
      </c>
      <c r="N1269" s="10">
        <v>51.44</v>
      </c>
      <c r="O1269" s="11">
        <f t="shared" si="72"/>
        <v>0.27073684210526316</v>
      </c>
      <c r="P1269" s="10">
        <v>22.09</v>
      </c>
      <c r="Q1269" s="10">
        <v>29.35</v>
      </c>
      <c r="R1269" s="11">
        <f t="shared" si="73"/>
        <v>0.15447368421052632</v>
      </c>
      <c r="S1269" t="s">
        <v>65</v>
      </c>
      <c r="T1269" t="s">
        <v>82</v>
      </c>
      <c r="U1269" t="s">
        <v>76</v>
      </c>
    </row>
    <row r="1270" spans="1:21" x14ac:dyDescent="0.35">
      <c r="A1270" t="s">
        <v>1398</v>
      </c>
      <c r="B1270" s="5">
        <v>45900</v>
      </c>
      <c r="C1270" t="s">
        <v>107</v>
      </c>
      <c r="D1270" t="s">
        <v>74</v>
      </c>
      <c r="E1270" s="9">
        <v>2</v>
      </c>
      <c r="F1270" s="10">
        <v>125</v>
      </c>
      <c r="G1270" s="11">
        <v>0</v>
      </c>
      <c r="H1270" s="10">
        <v>250</v>
      </c>
      <c r="I1270" s="9">
        <v>0</v>
      </c>
      <c r="J1270" s="10">
        <v>0</v>
      </c>
      <c r="K1270" s="9">
        <v>2</v>
      </c>
      <c r="L1270" s="10">
        <v>250</v>
      </c>
      <c r="M1270" s="10">
        <v>184.89</v>
      </c>
      <c r="N1270" s="10">
        <v>65.11</v>
      </c>
      <c r="O1270" s="11">
        <f t="shared" si="72"/>
        <v>0.26044</v>
      </c>
      <c r="P1270" s="10">
        <v>22.88</v>
      </c>
      <c r="Q1270" s="10">
        <v>42.23</v>
      </c>
      <c r="R1270" s="11">
        <f t="shared" si="73"/>
        <v>0.16891999999999999</v>
      </c>
      <c r="S1270" t="s">
        <v>75</v>
      </c>
      <c r="T1270" t="s">
        <v>66</v>
      </c>
      <c r="U1270" t="s">
        <v>67</v>
      </c>
    </row>
    <row r="1271" spans="1:21" x14ac:dyDescent="0.35">
      <c r="A1271" t="s">
        <v>1399</v>
      </c>
      <c r="B1271" s="5">
        <v>45951</v>
      </c>
      <c r="C1271" t="s">
        <v>109</v>
      </c>
      <c r="D1271" t="s">
        <v>85</v>
      </c>
      <c r="E1271" s="9">
        <v>2</v>
      </c>
      <c r="F1271" s="10">
        <v>180</v>
      </c>
      <c r="G1271" s="11">
        <v>0.1</v>
      </c>
      <c r="H1271" s="10">
        <v>324</v>
      </c>
      <c r="I1271" s="9">
        <v>0</v>
      </c>
      <c r="J1271" s="10">
        <v>0</v>
      </c>
      <c r="K1271" s="9">
        <v>2</v>
      </c>
      <c r="L1271" s="10">
        <v>324</v>
      </c>
      <c r="M1271" s="10">
        <v>243.04</v>
      </c>
      <c r="N1271" s="10">
        <v>80.959999999999994</v>
      </c>
      <c r="O1271" s="11">
        <f t="shared" si="72"/>
        <v>0.24987654320987651</v>
      </c>
      <c r="P1271" s="10">
        <v>28.36</v>
      </c>
      <c r="Q1271" s="10">
        <v>52.6</v>
      </c>
      <c r="R1271" s="11">
        <f t="shared" si="73"/>
        <v>0.16234567901234567</v>
      </c>
      <c r="S1271" t="s">
        <v>65</v>
      </c>
      <c r="T1271" t="s">
        <v>82</v>
      </c>
      <c r="U1271" t="s">
        <v>76</v>
      </c>
    </row>
    <row r="1272" spans="1:21" x14ac:dyDescent="0.35">
      <c r="A1272" t="s">
        <v>1400</v>
      </c>
      <c r="B1272" s="5">
        <v>45964</v>
      </c>
      <c r="C1272" t="s">
        <v>117</v>
      </c>
      <c r="D1272" t="s">
        <v>74</v>
      </c>
      <c r="E1272" s="9">
        <v>3</v>
      </c>
      <c r="F1272" s="10">
        <v>95</v>
      </c>
      <c r="G1272" s="11">
        <v>0</v>
      </c>
      <c r="H1272" s="10">
        <v>285</v>
      </c>
      <c r="I1272" s="9">
        <v>0</v>
      </c>
      <c r="J1272" s="10">
        <v>0</v>
      </c>
      <c r="K1272" s="9">
        <v>3</v>
      </c>
      <c r="L1272" s="10">
        <v>285</v>
      </c>
      <c r="M1272" s="10">
        <v>202.42</v>
      </c>
      <c r="N1272" s="10">
        <v>82.58</v>
      </c>
      <c r="O1272" s="11">
        <f t="shared" si="72"/>
        <v>0.28975438596491226</v>
      </c>
      <c r="P1272" s="10">
        <v>25.53</v>
      </c>
      <c r="Q1272" s="10">
        <v>57.05</v>
      </c>
      <c r="R1272" s="11">
        <f t="shared" si="73"/>
        <v>0.20017543859649123</v>
      </c>
      <c r="S1272" t="s">
        <v>59</v>
      </c>
      <c r="T1272" t="s">
        <v>86</v>
      </c>
      <c r="U1272" t="s">
        <v>61</v>
      </c>
    </row>
    <row r="1273" spans="1:21" x14ac:dyDescent="0.35">
      <c r="A1273" t="s">
        <v>1401</v>
      </c>
      <c r="B1273" s="5">
        <v>45998</v>
      </c>
      <c r="C1273" t="s">
        <v>97</v>
      </c>
      <c r="D1273" t="s">
        <v>57</v>
      </c>
      <c r="E1273" s="9">
        <v>1</v>
      </c>
      <c r="F1273" s="10">
        <v>55</v>
      </c>
      <c r="G1273" s="11">
        <v>0</v>
      </c>
      <c r="H1273" s="10">
        <v>55</v>
      </c>
      <c r="I1273" s="9">
        <v>0</v>
      </c>
      <c r="J1273" s="10">
        <v>0</v>
      </c>
      <c r="K1273" s="9">
        <v>1</v>
      </c>
      <c r="L1273" s="10">
        <v>55</v>
      </c>
      <c r="M1273" s="10">
        <v>40.96</v>
      </c>
      <c r="N1273" s="10">
        <v>14.04</v>
      </c>
      <c r="O1273" s="11">
        <f t="shared" si="72"/>
        <v>0.25527272727272726</v>
      </c>
      <c r="P1273" s="10">
        <v>3.13</v>
      </c>
      <c r="Q1273" s="10">
        <v>10.91</v>
      </c>
      <c r="R1273" s="11">
        <f t="shared" si="73"/>
        <v>0.19836363636363635</v>
      </c>
      <c r="S1273" t="s">
        <v>59</v>
      </c>
      <c r="T1273" t="s">
        <v>86</v>
      </c>
      <c r="U1273" t="s">
        <v>67</v>
      </c>
    </row>
    <row r="1274" spans="1:21" x14ac:dyDescent="0.35">
      <c r="A1274" t="s">
        <v>1402</v>
      </c>
      <c r="B1274" s="5">
        <v>45769</v>
      </c>
      <c r="C1274" t="s">
        <v>92</v>
      </c>
      <c r="D1274" t="s">
        <v>79</v>
      </c>
      <c r="E1274" s="9">
        <v>2</v>
      </c>
      <c r="F1274" s="10">
        <v>85</v>
      </c>
      <c r="G1274" s="11">
        <v>0.05</v>
      </c>
      <c r="H1274" s="10">
        <v>161.5</v>
      </c>
      <c r="I1274" s="9">
        <v>0</v>
      </c>
      <c r="J1274" s="10">
        <v>0</v>
      </c>
      <c r="K1274" s="9">
        <v>2</v>
      </c>
      <c r="L1274" s="10">
        <v>161.5</v>
      </c>
      <c r="M1274" s="10">
        <v>123.31</v>
      </c>
      <c r="N1274" s="10">
        <v>38.19</v>
      </c>
      <c r="O1274" s="11">
        <f t="shared" si="72"/>
        <v>0.2364705882352941</v>
      </c>
      <c r="P1274" s="10">
        <v>19.07</v>
      </c>
      <c r="Q1274" s="10">
        <v>19.12</v>
      </c>
      <c r="R1274" s="11">
        <f t="shared" si="73"/>
        <v>0.11839009287925698</v>
      </c>
      <c r="S1274" t="s">
        <v>75</v>
      </c>
      <c r="T1274" t="s">
        <v>86</v>
      </c>
      <c r="U1274" t="s">
        <v>67</v>
      </c>
    </row>
    <row r="1275" spans="1:21" x14ac:dyDescent="0.35">
      <c r="A1275" t="s">
        <v>1403</v>
      </c>
      <c r="B1275" s="5">
        <v>45960</v>
      </c>
      <c r="C1275" t="s">
        <v>88</v>
      </c>
      <c r="D1275" t="s">
        <v>57</v>
      </c>
      <c r="E1275" s="9">
        <v>5</v>
      </c>
      <c r="F1275" s="10">
        <v>30</v>
      </c>
      <c r="G1275" s="11">
        <v>0</v>
      </c>
      <c r="H1275" s="10">
        <v>150</v>
      </c>
      <c r="I1275" s="9">
        <v>0</v>
      </c>
      <c r="J1275" s="10">
        <v>0</v>
      </c>
      <c r="K1275" s="9">
        <v>5</v>
      </c>
      <c r="L1275" s="10">
        <v>150</v>
      </c>
      <c r="M1275" s="10">
        <v>94.02</v>
      </c>
      <c r="N1275" s="10">
        <v>55.98</v>
      </c>
      <c r="O1275" s="11">
        <f t="shared" si="72"/>
        <v>0.37319999999999998</v>
      </c>
      <c r="P1275" s="10">
        <v>19.21</v>
      </c>
      <c r="Q1275" s="10">
        <v>36.770000000000003</v>
      </c>
      <c r="R1275" s="11">
        <f t="shared" si="73"/>
        <v>0.24513333333333334</v>
      </c>
      <c r="S1275" t="s">
        <v>65</v>
      </c>
      <c r="T1275" t="s">
        <v>60</v>
      </c>
      <c r="U1275" t="s">
        <v>71</v>
      </c>
    </row>
    <row r="1276" spans="1:21" x14ac:dyDescent="0.35">
      <c r="A1276" t="s">
        <v>1404</v>
      </c>
      <c r="B1276" s="5">
        <v>45736</v>
      </c>
      <c r="C1276" t="s">
        <v>90</v>
      </c>
      <c r="D1276" t="s">
        <v>70</v>
      </c>
      <c r="E1276" s="9">
        <v>10</v>
      </c>
      <c r="F1276" s="10">
        <v>38</v>
      </c>
      <c r="G1276" s="11">
        <v>0.05</v>
      </c>
      <c r="H1276" s="10">
        <v>361</v>
      </c>
      <c r="I1276" s="9">
        <v>0</v>
      </c>
      <c r="J1276" s="10">
        <v>0</v>
      </c>
      <c r="K1276" s="9">
        <v>10</v>
      </c>
      <c r="L1276" s="10">
        <v>361</v>
      </c>
      <c r="M1276" s="10">
        <v>267.33999999999997</v>
      </c>
      <c r="N1276" s="10">
        <v>93.66</v>
      </c>
      <c r="O1276" s="11">
        <f t="shared" si="72"/>
        <v>0.25944598337950137</v>
      </c>
      <c r="P1276" s="10">
        <v>38.42</v>
      </c>
      <c r="Q1276" s="10">
        <v>55.24</v>
      </c>
      <c r="R1276" s="11">
        <f t="shared" si="73"/>
        <v>0.15301939058171746</v>
      </c>
      <c r="S1276" t="s">
        <v>59</v>
      </c>
      <c r="T1276" t="s">
        <v>82</v>
      </c>
      <c r="U1276" t="s">
        <v>76</v>
      </c>
    </row>
    <row r="1277" spans="1:21" x14ac:dyDescent="0.35">
      <c r="A1277" t="s">
        <v>1405</v>
      </c>
      <c r="B1277" s="5">
        <v>45908</v>
      </c>
      <c r="C1277" t="s">
        <v>125</v>
      </c>
      <c r="D1277" t="s">
        <v>85</v>
      </c>
      <c r="E1277" s="9">
        <v>8</v>
      </c>
      <c r="F1277" s="10">
        <v>125</v>
      </c>
      <c r="G1277" s="11">
        <v>0</v>
      </c>
      <c r="H1277" s="10">
        <v>1000</v>
      </c>
      <c r="I1277" s="9">
        <v>0</v>
      </c>
      <c r="J1277" s="10">
        <v>0</v>
      </c>
      <c r="K1277" s="9">
        <v>8</v>
      </c>
      <c r="L1277" s="10">
        <v>1000</v>
      </c>
      <c r="M1277" s="10">
        <v>624.42999999999995</v>
      </c>
      <c r="N1277" s="10">
        <v>375.57</v>
      </c>
      <c r="O1277" s="11">
        <f t="shared" si="72"/>
        <v>0.37557000000000001</v>
      </c>
      <c r="P1277" s="10">
        <v>106.54</v>
      </c>
      <c r="Q1277" s="10">
        <v>269.02999999999997</v>
      </c>
      <c r="R1277" s="11">
        <f t="shared" si="73"/>
        <v>0.26902999999999999</v>
      </c>
      <c r="S1277" t="s">
        <v>81</v>
      </c>
      <c r="T1277" t="s">
        <v>66</v>
      </c>
      <c r="U1277" t="s">
        <v>67</v>
      </c>
    </row>
    <row r="1278" spans="1:21" x14ac:dyDescent="0.35">
      <c r="A1278" t="s">
        <v>1406</v>
      </c>
      <c r="B1278" s="5">
        <v>45958</v>
      </c>
      <c r="C1278" t="s">
        <v>69</v>
      </c>
      <c r="D1278" t="s">
        <v>70</v>
      </c>
      <c r="E1278" s="9">
        <v>2</v>
      </c>
      <c r="F1278" s="10">
        <v>210</v>
      </c>
      <c r="G1278" s="11">
        <v>0</v>
      </c>
      <c r="H1278" s="10">
        <v>420</v>
      </c>
      <c r="I1278" s="9">
        <v>0</v>
      </c>
      <c r="J1278" s="10">
        <v>0</v>
      </c>
      <c r="K1278" s="9">
        <v>2</v>
      </c>
      <c r="L1278" s="10">
        <v>420</v>
      </c>
      <c r="M1278" s="10">
        <v>319.77999999999997</v>
      </c>
      <c r="N1278" s="10">
        <v>100.22</v>
      </c>
      <c r="O1278" s="11">
        <f t="shared" si="72"/>
        <v>0.23861904761904762</v>
      </c>
      <c r="P1278" s="10">
        <v>36.18</v>
      </c>
      <c r="Q1278" s="10">
        <v>64.040000000000006</v>
      </c>
      <c r="R1278" s="11">
        <f t="shared" si="73"/>
        <v>0.15247619047619049</v>
      </c>
      <c r="S1278" t="s">
        <v>65</v>
      </c>
      <c r="T1278" t="s">
        <v>60</v>
      </c>
      <c r="U1278" t="s">
        <v>67</v>
      </c>
    </row>
    <row r="1279" spans="1:21" x14ac:dyDescent="0.35">
      <c r="A1279" t="s">
        <v>1407</v>
      </c>
      <c r="B1279" s="5">
        <v>45764</v>
      </c>
      <c r="C1279" t="s">
        <v>78</v>
      </c>
      <c r="D1279" t="s">
        <v>79</v>
      </c>
      <c r="E1279" s="9">
        <v>2</v>
      </c>
      <c r="F1279" s="10">
        <v>120</v>
      </c>
      <c r="G1279" s="11">
        <v>0</v>
      </c>
      <c r="H1279" s="10">
        <v>240</v>
      </c>
      <c r="I1279" s="9">
        <v>0</v>
      </c>
      <c r="J1279" s="10">
        <v>0</v>
      </c>
      <c r="K1279" s="9">
        <v>2</v>
      </c>
      <c r="L1279" s="10">
        <v>240</v>
      </c>
      <c r="M1279" s="10">
        <v>169.82</v>
      </c>
      <c r="N1279" s="10">
        <v>70.180000000000007</v>
      </c>
      <c r="O1279" s="11">
        <f t="shared" si="72"/>
        <v>0.29241666666666671</v>
      </c>
      <c r="P1279" s="10">
        <v>21.72</v>
      </c>
      <c r="Q1279" s="10">
        <v>48.46</v>
      </c>
      <c r="R1279" s="11">
        <f t="shared" si="73"/>
        <v>0.20191666666666666</v>
      </c>
      <c r="S1279" t="s">
        <v>65</v>
      </c>
      <c r="T1279" t="s">
        <v>60</v>
      </c>
      <c r="U1279" t="s">
        <v>71</v>
      </c>
    </row>
    <row r="1280" spans="1:21" x14ac:dyDescent="0.35">
      <c r="A1280" t="s">
        <v>1408</v>
      </c>
      <c r="B1280" s="5">
        <v>45937</v>
      </c>
      <c r="C1280" t="s">
        <v>97</v>
      </c>
      <c r="D1280" t="s">
        <v>57</v>
      </c>
      <c r="E1280" s="9">
        <v>1</v>
      </c>
      <c r="F1280" s="10">
        <v>55</v>
      </c>
      <c r="G1280" s="11">
        <v>0.05</v>
      </c>
      <c r="H1280" s="10">
        <v>52.25</v>
      </c>
      <c r="I1280" s="9">
        <v>1</v>
      </c>
      <c r="J1280" s="10">
        <v>52.25</v>
      </c>
      <c r="K1280" s="9">
        <v>0</v>
      </c>
      <c r="L1280" s="10">
        <v>0</v>
      </c>
      <c r="M1280" s="10">
        <v>0</v>
      </c>
      <c r="N1280" s="10">
        <v>0</v>
      </c>
      <c r="O1280" s="11">
        <v>0</v>
      </c>
      <c r="P1280" s="10">
        <v>0</v>
      </c>
      <c r="Q1280" s="10">
        <v>0</v>
      </c>
      <c r="R1280" s="11">
        <v>0</v>
      </c>
      <c r="S1280" t="s">
        <v>75</v>
      </c>
      <c r="T1280" t="s">
        <v>86</v>
      </c>
      <c r="U1280" t="s">
        <v>71</v>
      </c>
    </row>
    <row r="1281" spans="1:21" x14ac:dyDescent="0.35">
      <c r="A1281" t="s">
        <v>1409</v>
      </c>
      <c r="B1281" s="5">
        <v>45892</v>
      </c>
      <c r="C1281" t="s">
        <v>100</v>
      </c>
      <c r="D1281" t="s">
        <v>64</v>
      </c>
      <c r="E1281" s="9">
        <v>8</v>
      </c>
      <c r="F1281" s="10">
        <v>310</v>
      </c>
      <c r="G1281" s="11">
        <v>0</v>
      </c>
      <c r="H1281" s="10">
        <v>2480</v>
      </c>
      <c r="I1281" s="9">
        <v>0</v>
      </c>
      <c r="J1281" s="10">
        <v>0</v>
      </c>
      <c r="K1281" s="9">
        <v>8</v>
      </c>
      <c r="L1281" s="10">
        <v>2480</v>
      </c>
      <c r="M1281" s="10">
        <v>1887.51</v>
      </c>
      <c r="N1281" s="10">
        <v>592.49</v>
      </c>
      <c r="O1281" s="11">
        <f t="shared" ref="O1281:O1326" si="74">N1281/L1281</f>
        <v>0.23890725806451613</v>
      </c>
      <c r="P1281" s="10">
        <v>297.27999999999997</v>
      </c>
      <c r="Q1281" s="10">
        <v>295.20999999999998</v>
      </c>
      <c r="R1281" s="11">
        <f t="shared" ref="R1281:R1326" si="75">Q1281/L1281</f>
        <v>0.11903629032258063</v>
      </c>
      <c r="S1281" t="s">
        <v>75</v>
      </c>
      <c r="T1281" t="s">
        <v>86</v>
      </c>
      <c r="U1281" t="s">
        <v>67</v>
      </c>
    </row>
    <row r="1282" spans="1:21" x14ac:dyDescent="0.35">
      <c r="A1282" t="s">
        <v>1410</v>
      </c>
      <c r="B1282" s="5">
        <v>45758</v>
      </c>
      <c r="C1282" t="s">
        <v>56</v>
      </c>
      <c r="D1282" t="s">
        <v>57</v>
      </c>
      <c r="E1282" s="9">
        <v>3</v>
      </c>
      <c r="F1282" s="10">
        <v>40</v>
      </c>
      <c r="G1282" s="11">
        <v>0.05</v>
      </c>
      <c r="H1282" s="10">
        <v>114</v>
      </c>
      <c r="I1282" s="9">
        <v>0</v>
      </c>
      <c r="J1282" s="10">
        <v>0</v>
      </c>
      <c r="K1282" s="9">
        <v>3</v>
      </c>
      <c r="L1282" s="10">
        <v>114</v>
      </c>
      <c r="M1282" s="10">
        <v>96.02</v>
      </c>
      <c r="N1282" s="10">
        <v>17.98</v>
      </c>
      <c r="O1282" s="11">
        <f t="shared" si="74"/>
        <v>0.15771929824561404</v>
      </c>
      <c r="P1282" s="10">
        <v>14.4</v>
      </c>
      <c r="Q1282" s="10">
        <v>3.58</v>
      </c>
      <c r="R1282" s="11">
        <f t="shared" si="75"/>
        <v>3.1403508771929822E-2</v>
      </c>
      <c r="S1282" t="s">
        <v>75</v>
      </c>
      <c r="T1282" t="s">
        <v>82</v>
      </c>
      <c r="U1282" t="s">
        <v>71</v>
      </c>
    </row>
    <row r="1283" spans="1:21" x14ac:dyDescent="0.35">
      <c r="A1283" t="s">
        <v>1411</v>
      </c>
      <c r="B1283" s="5">
        <v>45812</v>
      </c>
      <c r="C1283" t="s">
        <v>69</v>
      </c>
      <c r="D1283" t="s">
        <v>70</v>
      </c>
      <c r="E1283" s="9">
        <v>3</v>
      </c>
      <c r="F1283" s="10">
        <v>210</v>
      </c>
      <c r="G1283" s="11">
        <v>0</v>
      </c>
      <c r="H1283" s="10">
        <v>630</v>
      </c>
      <c r="I1283" s="9">
        <v>0</v>
      </c>
      <c r="J1283" s="10">
        <v>0</v>
      </c>
      <c r="K1283" s="9">
        <v>3</v>
      </c>
      <c r="L1283" s="10">
        <v>630</v>
      </c>
      <c r="M1283" s="10">
        <v>455.97</v>
      </c>
      <c r="N1283" s="10">
        <v>174.03</v>
      </c>
      <c r="O1283" s="11">
        <f t="shared" si="74"/>
        <v>0.27623809523809523</v>
      </c>
      <c r="P1283" s="10">
        <v>35.97</v>
      </c>
      <c r="Q1283" s="10">
        <v>138.06</v>
      </c>
      <c r="R1283" s="11">
        <f t="shared" si="75"/>
        <v>0.21914285714285714</v>
      </c>
      <c r="S1283" t="s">
        <v>65</v>
      </c>
      <c r="T1283" t="s">
        <v>82</v>
      </c>
      <c r="U1283" t="s">
        <v>76</v>
      </c>
    </row>
    <row r="1284" spans="1:21" x14ac:dyDescent="0.35">
      <c r="A1284" t="s">
        <v>1412</v>
      </c>
      <c r="B1284" s="5">
        <v>45840</v>
      </c>
      <c r="C1284" t="s">
        <v>104</v>
      </c>
      <c r="D1284" t="s">
        <v>105</v>
      </c>
      <c r="E1284" s="9">
        <v>1</v>
      </c>
      <c r="F1284" s="10">
        <v>65</v>
      </c>
      <c r="G1284" s="11">
        <v>0.02</v>
      </c>
      <c r="H1284" s="10">
        <v>63.7</v>
      </c>
      <c r="I1284" s="9">
        <v>0</v>
      </c>
      <c r="J1284" s="10">
        <v>0</v>
      </c>
      <c r="K1284" s="9">
        <v>1</v>
      </c>
      <c r="L1284" s="10">
        <v>63.7</v>
      </c>
      <c r="M1284" s="10">
        <v>51.73</v>
      </c>
      <c r="N1284" s="10">
        <v>11.97</v>
      </c>
      <c r="O1284" s="11">
        <f t="shared" si="74"/>
        <v>0.18791208791208791</v>
      </c>
      <c r="P1284" s="10">
        <v>8.27</v>
      </c>
      <c r="Q1284" s="10">
        <v>3.7</v>
      </c>
      <c r="R1284" s="11">
        <f t="shared" si="75"/>
        <v>5.8084772370486655E-2</v>
      </c>
      <c r="S1284" t="s">
        <v>75</v>
      </c>
      <c r="T1284" t="s">
        <v>82</v>
      </c>
      <c r="U1284" t="s">
        <v>61</v>
      </c>
    </row>
    <row r="1285" spans="1:21" x14ac:dyDescent="0.35">
      <c r="A1285" t="s">
        <v>1413</v>
      </c>
      <c r="B1285" s="5">
        <v>45744</v>
      </c>
      <c r="C1285" t="s">
        <v>90</v>
      </c>
      <c r="D1285" t="s">
        <v>70</v>
      </c>
      <c r="E1285" s="9">
        <v>10</v>
      </c>
      <c r="F1285" s="10">
        <v>38</v>
      </c>
      <c r="G1285" s="11">
        <v>0.05</v>
      </c>
      <c r="H1285" s="10">
        <v>361</v>
      </c>
      <c r="I1285" s="9">
        <v>0</v>
      </c>
      <c r="J1285" s="10">
        <v>0</v>
      </c>
      <c r="K1285" s="9">
        <v>10</v>
      </c>
      <c r="L1285" s="10">
        <v>361</v>
      </c>
      <c r="M1285" s="10">
        <v>238.03</v>
      </c>
      <c r="N1285" s="10">
        <v>122.97</v>
      </c>
      <c r="O1285" s="11">
        <f t="shared" si="74"/>
        <v>0.34063711911357342</v>
      </c>
      <c r="P1285" s="10">
        <v>37.340000000000003</v>
      </c>
      <c r="Q1285" s="10">
        <v>85.63</v>
      </c>
      <c r="R1285" s="11">
        <f t="shared" si="75"/>
        <v>0.23720221606648198</v>
      </c>
      <c r="S1285" t="s">
        <v>59</v>
      </c>
      <c r="T1285" t="s">
        <v>60</v>
      </c>
      <c r="U1285" t="s">
        <v>71</v>
      </c>
    </row>
    <row r="1286" spans="1:21" x14ac:dyDescent="0.35">
      <c r="A1286" t="s">
        <v>1415</v>
      </c>
      <c r="B1286" s="5">
        <v>45685</v>
      </c>
      <c r="C1286" t="s">
        <v>264</v>
      </c>
      <c r="D1286" t="s">
        <v>85</v>
      </c>
      <c r="E1286" s="9">
        <v>2</v>
      </c>
      <c r="F1286" s="10">
        <v>20</v>
      </c>
      <c r="G1286" s="11">
        <v>0.02</v>
      </c>
      <c r="H1286" s="10">
        <v>39.200000000000003</v>
      </c>
      <c r="I1286" s="9">
        <v>0</v>
      </c>
      <c r="J1286" s="10">
        <v>0</v>
      </c>
      <c r="K1286" s="9">
        <v>2</v>
      </c>
      <c r="L1286" s="10">
        <v>39.200000000000003</v>
      </c>
      <c r="M1286" s="10">
        <v>28.86</v>
      </c>
      <c r="N1286" s="10">
        <v>10.34</v>
      </c>
      <c r="O1286" s="11">
        <f t="shared" si="74"/>
        <v>0.26377551020408163</v>
      </c>
      <c r="P1286" s="10">
        <v>4.7</v>
      </c>
      <c r="Q1286" s="10">
        <v>5.64</v>
      </c>
      <c r="R1286" s="11">
        <f t="shared" si="75"/>
        <v>0.14387755102040814</v>
      </c>
      <c r="S1286" t="s">
        <v>65</v>
      </c>
      <c r="T1286" t="s">
        <v>82</v>
      </c>
      <c r="U1286" t="s">
        <v>71</v>
      </c>
    </row>
    <row r="1287" spans="1:21" x14ac:dyDescent="0.35">
      <c r="A1287" t="s">
        <v>1416</v>
      </c>
      <c r="B1287" s="5">
        <v>45974</v>
      </c>
      <c r="C1287" t="s">
        <v>56</v>
      </c>
      <c r="D1287" t="s">
        <v>57</v>
      </c>
      <c r="E1287" s="9">
        <v>4</v>
      </c>
      <c r="F1287" s="10">
        <v>40</v>
      </c>
      <c r="G1287" s="11">
        <v>0.05</v>
      </c>
      <c r="H1287" s="10">
        <v>152</v>
      </c>
      <c r="I1287" s="9">
        <v>0</v>
      </c>
      <c r="J1287" s="10">
        <v>0</v>
      </c>
      <c r="K1287" s="9">
        <v>4</v>
      </c>
      <c r="L1287" s="10">
        <v>152</v>
      </c>
      <c r="M1287" s="10">
        <v>104.43</v>
      </c>
      <c r="N1287" s="10">
        <v>47.57</v>
      </c>
      <c r="O1287" s="11">
        <f t="shared" si="74"/>
        <v>0.31296052631578947</v>
      </c>
      <c r="P1287" s="10">
        <v>8.5399999999999991</v>
      </c>
      <c r="Q1287" s="10">
        <v>39.03</v>
      </c>
      <c r="R1287" s="11">
        <f t="shared" si="75"/>
        <v>0.25677631578947369</v>
      </c>
      <c r="S1287" t="s">
        <v>81</v>
      </c>
      <c r="T1287" t="s">
        <v>66</v>
      </c>
      <c r="U1287" t="s">
        <v>71</v>
      </c>
    </row>
    <row r="1288" spans="1:21" x14ac:dyDescent="0.35">
      <c r="A1288" t="s">
        <v>1417</v>
      </c>
      <c r="B1288" s="5">
        <v>45870</v>
      </c>
      <c r="C1288" t="s">
        <v>92</v>
      </c>
      <c r="D1288" t="s">
        <v>79</v>
      </c>
      <c r="E1288" s="9">
        <v>2</v>
      </c>
      <c r="F1288" s="10">
        <v>85</v>
      </c>
      <c r="G1288" s="11">
        <v>0.1</v>
      </c>
      <c r="H1288" s="10">
        <v>153</v>
      </c>
      <c r="I1288" s="9">
        <v>0</v>
      </c>
      <c r="J1288" s="10">
        <v>0</v>
      </c>
      <c r="K1288" s="9">
        <v>2</v>
      </c>
      <c r="L1288" s="10">
        <v>153</v>
      </c>
      <c r="M1288" s="10">
        <v>106.22</v>
      </c>
      <c r="N1288" s="10">
        <v>46.78</v>
      </c>
      <c r="O1288" s="11">
        <f t="shared" si="74"/>
        <v>0.30575163398692812</v>
      </c>
      <c r="P1288" s="10">
        <v>11.09</v>
      </c>
      <c r="Q1288" s="10">
        <v>35.69</v>
      </c>
      <c r="R1288" s="11">
        <f t="shared" si="75"/>
        <v>0.23326797385620915</v>
      </c>
      <c r="S1288" t="s">
        <v>65</v>
      </c>
      <c r="T1288" t="s">
        <v>66</v>
      </c>
      <c r="U1288" t="s">
        <v>67</v>
      </c>
    </row>
    <row r="1289" spans="1:21" x14ac:dyDescent="0.35">
      <c r="A1289" t="s">
        <v>1418</v>
      </c>
      <c r="B1289" s="5">
        <v>45711</v>
      </c>
      <c r="C1289" t="s">
        <v>88</v>
      </c>
      <c r="D1289" t="s">
        <v>57</v>
      </c>
      <c r="E1289" s="9">
        <v>3</v>
      </c>
      <c r="F1289" s="10">
        <v>30</v>
      </c>
      <c r="G1289" s="11">
        <v>0</v>
      </c>
      <c r="H1289" s="10">
        <v>90</v>
      </c>
      <c r="I1289" s="9">
        <v>0</v>
      </c>
      <c r="J1289" s="10">
        <v>0</v>
      </c>
      <c r="K1289" s="9">
        <v>3</v>
      </c>
      <c r="L1289" s="10">
        <v>90</v>
      </c>
      <c r="M1289" s="10">
        <v>60.63</v>
      </c>
      <c r="N1289" s="10">
        <v>29.37</v>
      </c>
      <c r="O1289" s="11">
        <f t="shared" si="74"/>
        <v>0.32633333333333336</v>
      </c>
      <c r="P1289" s="10">
        <v>5.87</v>
      </c>
      <c r="Q1289" s="10">
        <v>23.5</v>
      </c>
      <c r="R1289" s="11">
        <f t="shared" si="75"/>
        <v>0.26111111111111113</v>
      </c>
      <c r="S1289" t="s">
        <v>75</v>
      </c>
      <c r="T1289" t="s">
        <v>66</v>
      </c>
      <c r="U1289" t="s">
        <v>71</v>
      </c>
    </row>
    <row r="1290" spans="1:21" x14ac:dyDescent="0.35">
      <c r="A1290" t="s">
        <v>1419</v>
      </c>
      <c r="B1290" s="5">
        <v>45901</v>
      </c>
      <c r="C1290" t="s">
        <v>121</v>
      </c>
      <c r="D1290" t="s">
        <v>70</v>
      </c>
      <c r="E1290" s="9">
        <v>2</v>
      </c>
      <c r="F1290" s="10">
        <v>110</v>
      </c>
      <c r="G1290" s="11">
        <v>0.05</v>
      </c>
      <c r="H1290" s="10">
        <v>209</v>
      </c>
      <c r="I1290" s="9">
        <v>0</v>
      </c>
      <c r="J1290" s="10">
        <v>0</v>
      </c>
      <c r="K1290" s="9">
        <v>2</v>
      </c>
      <c r="L1290" s="10">
        <v>209</v>
      </c>
      <c r="M1290" s="10">
        <v>178.43</v>
      </c>
      <c r="N1290" s="10">
        <v>30.57</v>
      </c>
      <c r="O1290" s="11">
        <f t="shared" si="74"/>
        <v>0.14626794258373205</v>
      </c>
      <c r="P1290" s="10">
        <v>24.03</v>
      </c>
      <c r="Q1290" s="10">
        <v>6.54</v>
      </c>
      <c r="R1290" s="11">
        <f t="shared" si="75"/>
        <v>3.1291866028708135E-2</v>
      </c>
      <c r="S1290" t="s">
        <v>75</v>
      </c>
      <c r="T1290" t="s">
        <v>82</v>
      </c>
      <c r="U1290" t="s">
        <v>71</v>
      </c>
    </row>
    <row r="1291" spans="1:21" x14ac:dyDescent="0.35">
      <c r="A1291" t="s">
        <v>1420</v>
      </c>
      <c r="B1291" s="5">
        <v>45791</v>
      </c>
      <c r="C1291" t="s">
        <v>90</v>
      </c>
      <c r="D1291" t="s">
        <v>70</v>
      </c>
      <c r="E1291" s="9">
        <v>1</v>
      </c>
      <c r="F1291" s="10">
        <v>38</v>
      </c>
      <c r="G1291" s="11">
        <v>0.02</v>
      </c>
      <c r="H1291" s="10">
        <v>37.24</v>
      </c>
      <c r="I1291" s="9">
        <v>0</v>
      </c>
      <c r="J1291" s="10">
        <v>0</v>
      </c>
      <c r="K1291" s="9">
        <v>1</v>
      </c>
      <c r="L1291" s="10">
        <v>37.24</v>
      </c>
      <c r="M1291" s="10">
        <v>24.58</v>
      </c>
      <c r="N1291" s="10">
        <v>12.66</v>
      </c>
      <c r="O1291" s="11">
        <f t="shared" si="74"/>
        <v>0.33995703544575723</v>
      </c>
      <c r="P1291" s="10">
        <v>2.61</v>
      </c>
      <c r="Q1291" s="10">
        <v>10.050000000000001</v>
      </c>
      <c r="R1291" s="11">
        <f t="shared" si="75"/>
        <v>0.26987110633727174</v>
      </c>
      <c r="S1291" t="s">
        <v>65</v>
      </c>
      <c r="T1291" t="s">
        <v>86</v>
      </c>
      <c r="U1291" t="s">
        <v>76</v>
      </c>
    </row>
    <row r="1292" spans="1:21" x14ac:dyDescent="0.35">
      <c r="A1292" t="s">
        <v>1421</v>
      </c>
      <c r="B1292" s="5">
        <v>45673</v>
      </c>
      <c r="C1292" t="s">
        <v>109</v>
      </c>
      <c r="D1292" t="s">
        <v>85</v>
      </c>
      <c r="E1292" s="9">
        <v>4</v>
      </c>
      <c r="F1292" s="10">
        <v>180</v>
      </c>
      <c r="G1292" s="11">
        <v>0.15</v>
      </c>
      <c r="H1292" s="10">
        <v>612</v>
      </c>
      <c r="I1292" s="9">
        <v>0</v>
      </c>
      <c r="J1292" s="10">
        <v>0</v>
      </c>
      <c r="K1292" s="9">
        <v>4</v>
      </c>
      <c r="L1292" s="10">
        <v>612</v>
      </c>
      <c r="M1292" s="10">
        <v>446.34</v>
      </c>
      <c r="N1292" s="10">
        <v>165.66</v>
      </c>
      <c r="O1292" s="11">
        <f t="shared" si="74"/>
        <v>0.27068627450980393</v>
      </c>
      <c r="P1292" s="10">
        <v>78.34</v>
      </c>
      <c r="Q1292" s="10">
        <v>87.32</v>
      </c>
      <c r="R1292" s="11">
        <f t="shared" si="75"/>
        <v>0.14267973856209148</v>
      </c>
      <c r="S1292" t="s">
        <v>65</v>
      </c>
      <c r="T1292" t="s">
        <v>82</v>
      </c>
      <c r="U1292" t="s">
        <v>71</v>
      </c>
    </row>
    <row r="1293" spans="1:21" x14ac:dyDescent="0.35">
      <c r="A1293" t="s">
        <v>1422</v>
      </c>
      <c r="B1293" s="5">
        <v>45825</v>
      </c>
      <c r="C1293" t="s">
        <v>88</v>
      </c>
      <c r="D1293" t="s">
        <v>57</v>
      </c>
      <c r="E1293" s="9">
        <v>3</v>
      </c>
      <c r="F1293" s="10">
        <v>30</v>
      </c>
      <c r="G1293" s="11">
        <v>0</v>
      </c>
      <c r="H1293" s="10">
        <v>90</v>
      </c>
      <c r="I1293" s="9">
        <v>0</v>
      </c>
      <c r="J1293" s="10">
        <v>0</v>
      </c>
      <c r="K1293" s="9">
        <v>3</v>
      </c>
      <c r="L1293" s="10">
        <v>90</v>
      </c>
      <c r="M1293" s="10">
        <v>68.290000000000006</v>
      </c>
      <c r="N1293" s="10">
        <v>21.71</v>
      </c>
      <c r="O1293" s="11">
        <f t="shared" si="74"/>
        <v>0.24122222222222223</v>
      </c>
      <c r="P1293" s="10">
        <v>5.27</v>
      </c>
      <c r="Q1293" s="10">
        <v>16.440000000000001</v>
      </c>
      <c r="R1293" s="11">
        <f t="shared" si="75"/>
        <v>0.18266666666666667</v>
      </c>
      <c r="S1293" t="s">
        <v>75</v>
      </c>
      <c r="T1293" t="s">
        <v>86</v>
      </c>
      <c r="U1293" t="s">
        <v>67</v>
      </c>
    </row>
    <row r="1294" spans="1:21" x14ac:dyDescent="0.35">
      <c r="A1294" t="s">
        <v>1423</v>
      </c>
      <c r="B1294" s="5">
        <v>45777</v>
      </c>
      <c r="C1294" t="s">
        <v>95</v>
      </c>
      <c r="D1294" t="s">
        <v>64</v>
      </c>
      <c r="E1294" s="9">
        <v>4</v>
      </c>
      <c r="F1294" s="10">
        <v>52</v>
      </c>
      <c r="G1294" s="11">
        <v>0.02</v>
      </c>
      <c r="H1294" s="10">
        <v>203.84</v>
      </c>
      <c r="I1294" s="9">
        <v>0</v>
      </c>
      <c r="J1294" s="10">
        <v>0</v>
      </c>
      <c r="K1294" s="9">
        <v>4</v>
      </c>
      <c r="L1294" s="10">
        <v>203.84</v>
      </c>
      <c r="M1294" s="10">
        <v>164.02</v>
      </c>
      <c r="N1294" s="10">
        <v>39.82</v>
      </c>
      <c r="O1294" s="11">
        <f t="shared" si="74"/>
        <v>0.19534929356357927</v>
      </c>
      <c r="P1294" s="10">
        <v>22.28</v>
      </c>
      <c r="Q1294" s="10">
        <v>17.54</v>
      </c>
      <c r="R1294" s="11">
        <f t="shared" si="75"/>
        <v>8.6047880690737821E-2</v>
      </c>
      <c r="S1294" t="s">
        <v>59</v>
      </c>
      <c r="T1294" t="s">
        <v>60</v>
      </c>
      <c r="U1294" t="s">
        <v>76</v>
      </c>
    </row>
    <row r="1295" spans="1:21" x14ac:dyDescent="0.35">
      <c r="A1295" t="s">
        <v>1424</v>
      </c>
      <c r="B1295" s="5">
        <v>45781</v>
      </c>
      <c r="C1295" t="s">
        <v>88</v>
      </c>
      <c r="D1295" t="s">
        <v>57</v>
      </c>
      <c r="E1295" s="9">
        <v>2</v>
      </c>
      <c r="F1295" s="10">
        <v>30</v>
      </c>
      <c r="G1295" s="11">
        <v>0</v>
      </c>
      <c r="H1295" s="10">
        <v>60</v>
      </c>
      <c r="I1295" s="9">
        <v>0</v>
      </c>
      <c r="J1295" s="10">
        <v>0</v>
      </c>
      <c r="K1295" s="9">
        <v>2</v>
      </c>
      <c r="L1295" s="10">
        <v>60</v>
      </c>
      <c r="M1295" s="10">
        <v>43.65</v>
      </c>
      <c r="N1295" s="10">
        <v>16.350000000000001</v>
      </c>
      <c r="O1295" s="11">
        <f t="shared" si="74"/>
        <v>0.27250000000000002</v>
      </c>
      <c r="P1295" s="10">
        <v>4.62</v>
      </c>
      <c r="Q1295" s="10">
        <v>11.73</v>
      </c>
      <c r="R1295" s="11">
        <f t="shared" si="75"/>
        <v>0.19550000000000001</v>
      </c>
      <c r="S1295" t="s">
        <v>75</v>
      </c>
      <c r="T1295" t="s">
        <v>86</v>
      </c>
      <c r="U1295" t="s">
        <v>76</v>
      </c>
    </row>
    <row r="1296" spans="1:21" x14ac:dyDescent="0.35">
      <c r="A1296" t="s">
        <v>1425</v>
      </c>
      <c r="B1296" s="5">
        <v>45851</v>
      </c>
      <c r="C1296" t="s">
        <v>114</v>
      </c>
      <c r="D1296" t="s">
        <v>64</v>
      </c>
      <c r="E1296" s="9">
        <v>3</v>
      </c>
      <c r="F1296" s="10">
        <v>420</v>
      </c>
      <c r="G1296" s="11">
        <v>0</v>
      </c>
      <c r="H1296" s="10">
        <v>1260</v>
      </c>
      <c r="I1296" s="9">
        <v>0</v>
      </c>
      <c r="J1296" s="10">
        <v>0</v>
      </c>
      <c r="K1296" s="9">
        <v>3</v>
      </c>
      <c r="L1296" s="10">
        <v>1260</v>
      </c>
      <c r="M1296" s="10">
        <v>820.88</v>
      </c>
      <c r="N1296" s="10">
        <v>439.12</v>
      </c>
      <c r="O1296" s="11">
        <f t="shared" si="74"/>
        <v>0.34850793650793649</v>
      </c>
      <c r="P1296" s="10">
        <v>126.81</v>
      </c>
      <c r="Q1296" s="10">
        <v>312.31</v>
      </c>
      <c r="R1296" s="11">
        <f t="shared" si="75"/>
        <v>0.24786507936507937</v>
      </c>
      <c r="S1296" t="s">
        <v>75</v>
      </c>
      <c r="T1296" t="s">
        <v>86</v>
      </c>
      <c r="U1296" t="s">
        <v>71</v>
      </c>
    </row>
    <row r="1297" spans="1:21" x14ac:dyDescent="0.35">
      <c r="A1297" t="s">
        <v>1426</v>
      </c>
      <c r="B1297" s="5">
        <v>45678</v>
      </c>
      <c r="C1297" t="s">
        <v>92</v>
      </c>
      <c r="D1297" t="s">
        <v>79</v>
      </c>
      <c r="E1297" s="9">
        <v>5</v>
      </c>
      <c r="F1297" s="10">
        <v>85</v>
      </c>
      <c r="G1297" s="11">
        <v>0.05</v>
      </c>
      <c r="H1297" s="10">
        <v>403.75</v>
      </c>
      <c r="I1297" s="9">
        <v>0</v>
      </c>
      <c r="J1297" s="10">
        <v>0</v>
      </c>
      <c r="K1297" s="9">
        <v>5</v>
      </c>
      <c r="L1297" s="10">
        <v>403.75</v>
      </c>
      <c r="M1297" s="10">
        <v>318.93</v>
      </c>
      <c r="N1297" s="10">
        <v>84.82</v>
      </c>
      <c r="O1297" s="11">
        <f t="shared" si="74"/>
        <v>0.21008049535603712</v>
      </c>
      <c r="P1297" s="10">
        <v>48.03</v>
      </c>
      <c r="Q1297" s="10">
        <v>36.79</v>
      </c>
      <c r="R1297" s="11">
        <f t="shared" si="75"/>
        <v>9.1120743034055721E-2</v>
      </c>
      <c r="S1297" t="s">
        <v>59</v>
      </c>
      <c r="T1297" t="s">
        <v>60</v>
      </c>
      <c r="U1297" t="s">
        <v>61</v>
      </c>
    </row>
    <row r="1298" spans="1:21" x14ac:dyDescent="0.35">
      <c r="A1298" t="s">
        <v>1427</v>
      </c>
      <c r="B1298" s="5">
        <v>45883</v>
      </c>
      <c r="C1298" t="s">
        <v>69</v>
      </c>
      <c r="D1298" t="s">
        <v>70</v>
      </c>
      <c r="E1298" s="9">
        <v>6</v>
      </c>
      <c r="F1298" s="10">
        <v>210</v>
      </c>
      <c r="G1298" s="11">
        <v>0.1</v>
      </c>
      <c r="H1298" s="10">
        <v>1134</v>
      </c>
      <c r="I1298" s="9">
        <v>0</v>
      </c>
      <c r="J1298" s="10">
        <v>0</v>
      </c>
      <c r="K1298" s="9">
        <v>6</v>
      </c>
      <c r="L1298" s="10">
        <v>1134</v>
      </c>
      <c r="M1298" s="10">
        <v>850.51</v>
      </c>
      <c r="N1298" s="10">
        <v>283.49</v>
      </c>
      <c r="O1298" s="11">
        <f t="shared" si="74"/>
        <v>0.24999118165784834</v>
      </c>
      <c r="P1298" s="10">
        <v>106.18</v>
      </c>
      <c r="Q1298" s="10">
        <v>177.31</v>
      </c>
      <c r="R1298" s="11">
        <f t="shared" si="75"/>
        <v>0.15635802469135804</v>
      </c>
      <c r="S1298" t="s">
        <v>81</v>
      </c>
      <c r="T1298" t="s">
        <v>60</v>
      </c>
      <c r="U1298" t="s">
        <v>67</v>
      </c>
    </row>
    <row r="1299" spans="1:21" x14ac:dyDescent="0.35">
      <c r="A1299" t="s">
        <v>1428</v>
      </c>
      <c r="B1299" s="5">
        <v>45898</v>
      </c>
      <c r="C1299" t="s">
        <v>88</v>
      </c>
      <c r="D1299" t="s">
        <v>57</v>
      </c>
      <c r="E1299" s="9">
        <v>3</v>
      </c>
      <c r="F1299" s="10">
        <v>30</v>
      </c>
      <c r="G1299" s="11">
        <v>0</v>
      </c>
      <c r="H1299" s="10">
        <v>90</v>
      </c>
      <c r="I1299" s="9">
        <v>0</v>
      </c>
      <c r="J1299" s="10">
        <v>0</v>
      </c>
      <c r="K1299" s="9">
        <v>3</v>
      </c>
      <c r="L1299" s="10">
        <v>90</v>
      </c>
      <c r="M1299" s="10">
        <v>59.51</v>
      </c>
      <c r="N1299" s="10">
        <v>30.49</v>
      </c>
      <c r="O1299" s="11">
        <f t="shared" si="74"/>
        <v>0.33877777777777773</v>
      </c>
      <c r="P1299" s="10">
        <v>5.64</v>
      </c>
      <c r="Q1299" s="10">
        <v>24.85</v>
      </c>
      <c r="R1299" s="11">
        <f t="shared" si="75"/>
        <v>0.27611111111111114</v>
      </c>
      <c r="S1299" t="s">
        <v>81</v>
      </c>
      <c r="T1299" t="s">
        <v>60</v>
      </c>
      <c r="U1299" t="s">
        <v>76</v>
      </c>
    </row>
    <row r="1300" spans="1:21" x14ac:dyDescent="0.35">
      <c r="A1300" t="s">
        <v>1429</v>
      </c>
      <c r="B1300" s="5">
        <v>45677</v>
      </c>
      <c r="C1300" t="s">
        <v>78</v>
      </c>
      <c r="D1300" t="s">
        <v>79</v>
      </c>
      <c r="E1300" s="9">
        <v>2</v>
      </c>
      <c r="F1300" s="10">
        <v>120</v>
      </c>
      <c r="G1300" s="11">
        <v>0.02</v>
      </c>
      <c r="H1300" s="10">
        <v>235.2</v>
      </c>
      <c r="I1300" s="9">
        <v>0</v>
      </c>
      <c r="J1300" s="10">
        <v>0</v>
      </c>
      <c r="K1300" s="9">
        <v>2</v>
      </c>
      <c r="L1300" s="10">
        <v>235.2</v>
      </c>
      <c r="M1300" s="10">
        <v>180.27</v>
      </c>
      <c r="N1300" s="10">
        <v>54.93</v>
      </c>
      <c r="O1300" s="11">
        <f t="shared" si="74"/>
        <v>0.23354591836734695</v>
      </c>
      <c r="P1300" s="10">
        <v>26.69</v>
      </c>
      <c r="Q1300" s="10">
        <v>28.24</v>
      </c>
      <c r="R1300" s="11">
        <f t="shared" si="75"/>
        <v>0.12006802721088436</v>
      </c>
      <c r="S1300" t="s">
        <v>75</v>
      </c>
      <c r="T1300" t="s">
        <v>66</v>
      </c>
      <c r="U1300" t="s">
        <v>67</v>
      </c>
    </row>
    <row r="1301" spans="1:21" x14ac:dyDescent="0.35">
      <c r="A1301" t="s">
        <v>1430</v>
      </c>
      <c r="B1301" s="5">
        <v>45748</v>
      </c>
      <c r="C1301" t="s">
        <v>104</v>
      </c>
      <c r="D1301" t="s">
        <v>105</v>
      </c>
      <c r="E1301" s="9">
        <v>2</v>
      </c>
      <c r="F1301" s="10">
        <v>65</v>
      </c>
      <c r="G1301" s="11">
        <v>0</v>
      </c>
      <c r="H1301" s="10">
        <v>130</v>
      </c>
      <c r="I1301" s="9">
        <v>0</v>
      </c>
      <c r="J1301" s="10">
        <v>0</v>
      </c>
      <c r="K1301" s="9">
        <v>2</v>
      </c>
      <c r="L1301" s="10">
        <v>130</v>
      </c>
      <c r="M1301" s="10">
        <v>97.88</v>
      </c>
      <c r="N1301" s="10">
        <v>32.119999999999997</v>
      </c>
      <c r="O1301" s="11">
        <f t="shared" si="74"/>
        <v>0.24707692307692306</v>
      </c>
      <c r="P1301" s="10">
        <v>8.14</v>
      </c>
      <c r="Q1301" s="10">
        <v>23.98</v>
      </c>
      <c r="R1301" s="11">
        <f t="shared" si="75"/>
        <v>0.18446153846153845</v>
      </c>
      <c r="S1301" t="s">
        <v>81</v>
      </c>
      <c r="T1301" t="s">
        <v>60</v>
      </c>
      <c r="U1301" t="s">
        <v>76</v>
      </c>
    </row>
    <row r="1302" spans="1:21" x14ac:dyDescent="0.35">
      <c r="A1302" t="s">
        <v>1431</v>
      </c>
      <c r="B1302" s="5">
        <v>45844</v>
      </c>
      <c r="C1302" t="s">
        <v>109</v>
      </c>
      <c r="D1302" t="s">
        <v>85</v>
      </c>
      <c r="E1302" s="9">
        <v>3</v>
      </c>
      <c r="F1302" s="10">
        <v>180</v>
      </c>
      <c r="G1302" s="11">
        <v>0.05</v>
      </c>
      <c r="H1302" s="10">
        <v>513</v>
      </c>
      <c r="I1302" s="9">
        <v>0</v>
      </c>
      <c r="J1302" s="10">
        <v>0</v>
      </c>
      <c r="K1302" s="9">
        <v>3</v>
      </c>
      <c r="L1302" s="10">
        <v>513</v>
      </c>
      <c r="M1302" s="10">
        <v>343.33</v>
      </c>
      <c r="N1302" s="10">
        <v>169.67</v>
      </c>
      <c r="O1302" s="11">
        <f t="shared" si="74"/>
        <v>0.33074074074074072</v>
      </c>
      <c r="P1302" s="10">
        <v>39.85</v>
      </c>
      <c r="Q1302" s="10">
        <v>129.82</v>
      </c>
      <c r="R1302" s="11">
        <f t="shared" si="75"/>
        <v>0.25306042884990254</v>
      </c>
      <c r="S1302" t="s">
        <v>59</v>
      </c>
      <c r="T1302" t="s">
        <v>2133</v>
      </c>
      <c r="U1302" t="s">
        <v>71</v>
      </c>
    </row>
    <row r="1303" spans="1:21" x14ac:dyDescent="0.35">
      <c r="A1303" t="s">
        <v>1432</v>
      </c>
      <c r="B1303" s="5">
        <v>45819</v>
      </c>
      <c r="C1303" t="s">
        <v>63</v>
      </c>
      <c r="D1303" t="s">
        <v>64</v>
      </c>
      <c r="E1303" s="9">
        <v>5</v>
      </c>
      <c r="F1303" s="10">
        <v>145</v>
      </c>
      <c r="G1303" s="11">
        <v>0</v>
      </c>
      <c r="H1303" s="10">
        <v>725</v>
      </c>
      <c r="I1303" s="9">
        <v>0</v>
      </c>
      <c r="J1303" s="10">
        <v>0</v>
      </c>
      <c r="K1303" s="9">
        <v>5</v>
      </c>
      <c r="L1303" s="10">
        <v>725</v>
      </c>
      <c r="M1303" s="10">
        <v>463.93</v>
      </c>
      <c r="N1303" s="10">
        <v>261.07</v>
      </c>
      <c r="O1303" s="11">
        <f t="shared" si="74"/>
        <v>0.3600965517241379</v>
      </c>
      <c r="P1303" s="10">
        <v>63.62</v>
      </c>
      <c r="Q1303" s="10">
        <v>197.45</v>
      </c>
      <c r="R1303" s="11">
        <f t="shared" si="75"/>
        <v>0.27234482758620687</v>
      </c>
      <c r="S1303" t="s">
        <v>81</v>
      </c>
      <c r="T1303" t="s">
        <v>82</v>
      </c>
      <c r="U1303" t="s">
        <v>2133</v>
      </c>
    </row>
    <row r="1304" spans="1:21" x14ac:dyDescent="0.35">
      <c r="A1304" t="s">
        <v>1433</v>
      </c>
      <c r="B1304" s="5">
        <v>45919</v>
      </c>
      <c r="C1304" t="s">
        <v>56</v>
      </c>
      <c r="D1304" t="s">
        <v>57</v>
      </c>
      <c r="E1304" s="9">
        <v>2</v>
      </c>
      <c r="F1304" s="10">
        <v>40</v>
      </c>
      <c r="G1304" s="11">
        <v>0</v>
      </c>
      <c r="H1304" s="10">
        <v>80</v>
      </c>
      <c r="I1304" s="9">
        <v>0</v>
      </c>
      <c r="J1304" s="10">
        <v>0</v>
      </c>
      <c r="K1304" s="9">
        <v>2</v>
      </c>
      <c r="L1304" s="10">
        <v>80</v>
      </c>
      <c r="M1304" s="10">
        <v>65.400000000000006</v>
      </c>
      <c r="N1304" s="10">
        <v>14.6</v>
      </c>
      <c r="O1304" s="11">
        <f t="shared" si="74"/>
        <v>0.1825</v>
      </c>
      <c r="P1304" s="10">
        <v>7.99</v>
      </c>
      <c r="Q1304" s="10">
        <v>6.61</v>
      </c>
      <c r="R1304" s="11">
        <f t="shared" si="75"/>
        <v>8.2625000000000004E-2</v>
      </c>
      <c r="S1304" t="s">
        <v>81</v>
      </c>
      <c r="T1304" t="s">
        <v>86</v>
      </c>
      <c r="U1304" t="s">
        <v>61</v>
      </c>
    </row>
    <row r="1305" spans="1:21" x14ac:dyDescent="0.35">
      <c r="A1305" t="s">
        <v>1434</v>
      </c>
      <c r="B1305" s="5">
        <v>45744</v>
      </c>
      <c r="C1305" t="s">
        <v>56</v>
      </c>
      <c r="D1305" t="s">
        <v>57</v>
      </c>
      <c r="E1305" s="9">
        <v>2</v>
      </c>
      <c r="F1305" s="10">
        <v>40</v>
      </c>
      <c r="G1305" s="11">
        <v>0.02</v>
      </c>
      <c r="H1305" s="10">
        <v>78.400000000000006</v>
      </c>
      <c r="I1305" s="9">
        <v>0</v>
      </c>
      <c r="J1305" s="10">
        <v>0</v>
      </c>
      <c r="K1305" s="9">
        <v>2</v>
      </c>
      <c r="L1305" s="10">
        <v>78.400000000000006</v>
      </c>
      <c r="M1305" s="10">
        <v>57.56</v>
      </c>
      <c r="N1305" s="10">
        <v>20.84</v>
      </c>
      <c r="O1305" s="11">
        <f t="shared" si="74"/>
        <v>0.26581632653061221</v>
      </c>
      <c r="P1305" s="10">
        <v>8.49</v>
      </c>
      <c r="Q1305" s="10">
        <v>12.35</v>
      </c>
      <c r="R1305" s="11">
        <f t="shared" si="75"/>
        <v>0.15752551020408162</v>
      </c>
      <c r="S1305" t="s">
        <v>59</v>
      </c>
      <c r="T1305" t="s">
        <v>66</v>
      </c>
      <c r="U1305" t="s">
        <v>76</v>
      </c>
    </row>
    <row r="1306" spans="1:21" x14ac:dyDescent="0.35">
      <c r="A1306" t="s">
        <v>1435</v>
      </c>
      <c r="B1306" s="5">
        <v>45794</v>
      </c>
      <c r="C1306" t="s">
        <v>84</v>
      </c>
      <c r="D1306" t="s">
        <v>85</v>
      </c>
      <c r="E1306" s="9">
        <v>5</v>
      </c>
      <c r="F1306" s="10">
        <v>48</v>
      </c>
      <c r="G1306" s="11">
        <v>0</v>
      </c>
      <c r="H1306" s="10">
        <v>240</v>
      </c>
      <c r="I1306" s="9">
        <v>0</v>
      </c>
      <c r="J1306" s="10">
        <v>0</v>
      </c>
      <c r="K1306" s="9">
        <v>5</v>
      </c>
      <c r="L1306" s="10">
        <v>240</v>
      </c>
      <c r="M1306" s="10">
        <v>163.30000000000001</v>
      </c>
      <c r="N1306" s="10">
        <v>76.7</v>
      </c>
      <c r="O1306" s="11">
        <f t="shared" si="74"/>
        <v>0.31958333333333333</v>
      </c>
      <c r="P1306" s="10">
        <v>12.39</v>
      </c>
      <c r="Q1306" s="10">
        <v>64.31</v>
      </c>
      <c r="R1306" s="11">
        <f t="shared" si="75"/>
        <v>0.26795833333333335</v>
      </c>
      <c r="S1306" t="s">
        <v>59</v>
      </c>
      <c r="T1306" t="s">
        <v>66</v>
      </c>
      <c r="U1306" t="s">
        <v>67</v>
      </c>
    </row>
    <row r="1307" spans="1:21" x14ac:dyDescent="0.35">
      <c r="A1307" t="s">
        <v>1436</v>
      </c>
      <c r="B1307" s="5">
        <v>45889</v>
      </c>
      <c r="C1307" t="s">
        <v>121</v>
      </c>
      <c r="D1307" t="s">
        <v>70</v>
      </c>
      <c r="E1307" s="9">
        <v>1</v>
      </c>
      <c r="F1307" s="10">
        <v>110</v>
      </c>
      <c r="G1307" s="11">
        <v>0</v>
      </c>
      <c r="H1307" s="10">
        <v>110</v>
      </c>
      <c r="I1307" s="9">
        <v>0</v>
      </c>
      <c r="J1307" s="10">
        <v>0</v>
      </c>
      <c r="K1307" s="9">
        <v>1</v>
      </c>
      <c r="L1307" s="10">
        <v>110</v>
      </c>
      <c r="M1307" s="10">
        <v>81.93</v>
      </c>
      <c r="N1307" s="10">
        <v>28.07</v>
      </c>
      <c r="O1307" s="11">
        <f t="shared" si="74"/>
        <v>0.25518181818181818</v>
      </c>
      <c r="P1307" s="10">
        <v>13.79</v>
      </c>
      <c r="Q1307" s="10">
        <v>14.28</v>
      </c>
      <c r="R1307" s="11">
        <f t="shared" si="75"/>
        <v>0.1298181818181818</v>
      </c>
      <c r="S1307" t="s">
        <v>75</v>
      </c>
      <c r="T1307" t="s">
        <v>86</v>
      </c>
      <c r="U1307" t="s">
        <v>76</v>
      </c>
    </row>
    <row r="1308" spans="1:21" x14ac:dyDescent="0.35">
      <c r="A1308" t="s">
        <v>1437</v>
      </c>
      <c r="B1308" s="5">
        <v>45964</v>
      </c>
      <c r="C1308" t="s">
        <v>92</v>
      </c>
      <c r="D1308" t="s">
        <v>79</v>
      </c>
      <c r="E1308" s="9">
        <v>3</v>
      </c>
      <c r="F1308" s="10">
        <v>85</v>
      </c>
      <c r="G1308" s="11">
        <v>0.02</v>
      </c>
      <c r="H1308" s="10">
        <v>249.9</v>
      </c>
      <c r="I1308" s="9">
        <v>0</v>
      </c>
      <c r="J1308" s="10">
        <v>0</v>
      </c>
      <c r="K1308" s="9">
        <v>3</v>
      </c>
      <c r="L1308" s="10">
        <v>249.9</v>
      </c>
      <c r="M1308" s="10">
        <v>206.1</v>
      </c>
      <c r="N1308" s="10">
        <v>43.8</v>
      </c>
      <c r="O1308" s="11">
        <f t="shared" si="74"/>
        <v>0.17527010804321727</v>
      </c>
      <c r="P1308" s="10">
        <v>15.14</v>
      </c>
      <c r="Q1308" s="10">
        <v>28.66</v>
      </c>
      <c r="R1308" s="11">
        <f t="shared" si="75"/>
        <v>0.1146858743497399</v>
      </c>
      <c r="S1308" t="s">
        <v>81</v>
      </c>
      <c r="T1308" t="s">
        <v>60</v>
      </c>
      <c r="U1308" t="s">
        <v>71</v>
      </c>
    </row>
    <row r="1309" spans="1:21" x14ac:dyDescent="0.35">
      <c r="A1309" t="s">
        <v>1438</v>
      </c>
      <c r="B1309" s="5">
        <v>45664</v>
      </c>
      <c r="C1309" t="s">
        <v>107</v>
      </c>
      <c r="D1309" t="s">
        <v>74</v>
      </c>
      <c r="E1309" s="9">
        <v>2</v>
      </c>
      <c r="F1309" s="10">
        <v>125</v>
      </c>
      <c r="G1309" s="11">
        <v>0</v>
      </c>
      <c r="H1309" s="10">
        <v>250</v>
      </c>
      <c r="I1309" s="9">
        <v>0</v>
      </c>
      <c r="J1309" s="10">
        <v>0</v>
      </c>
      <c r="K1309" s="9">
        <v>2</v>
      </c>
      <c r="L1309" s="10">
        <v>250</v>
      </c>
      <c r="M1309" s="10">
        <v>212.51</v>
      </c>
      <c r="N1309" s="10">
        <v>37.49</v>
      </c>
      <c r="O1309" s="11">
        <f t="shared" si="74"/>
        <v>0.14996000000000001</v>
      </c>
      <c r="P1309" s="10">
        <v>27.45</v>
      </c>
      <c r="Q1309" s="10">
        <v>10.039999999999999</v>
      </c>
      <c r="R1309" s="11">
        <f t="shared" si="75"/>
        <v>4.0159999999999994E-2</v>
      </c>
      <c r="S1309" t="s">
        <v>75</v>
      </c>
      <c r="T1309" t="s">
        <v>60</v>
      </c>
      <c r="U1309" t="s">
        <v>76</v>
      </c>
    </row>
    <row r="1310" spans="1:21" x14ac:dyDescent="0.35">
      <c r="A1310" t="s">
        <v>1439</v>
      </c>
      <c r="B1310" s="5">
        <v>45811</v>
      </c>
      <c r="C1310" t="s">
        <v>125</v>
      </c>
      <c r="D1310" t="s">
        <v>85</v>
      </c>
      <c r="E1310" s="9">
        <v>1</v>
      </c>
      <c r="F1310" s="10">
        <v>125</v>
      </c>
      <c r="G1310" s="11">
        <v>0.05</v>
      </c>
      <c r="H1310" s="10">
        <v>118.75</v>
      </c>
      <c r="I1310" s="9">
        <v>0</v>
      </c>
      <c r="J1310" s="10">
        <v>0</v>
      </c>
      <c r="K1310" s="9">
        <v>1</v>
      </c>
      <c r="L1310" s="10">
        <v>118.75</v>
      </c>
      <c r="M1310" s="10">
        <v>73.91</v>
      </c>
      <c r="N1310" s="10">
        <v>44.84</v>
      </c>
      <c r="O1310" s="11">
        <f t="shared" si="74"/>
        <v>0.37760000000000005</v>
      </c>
      <c r="P1310" s="10">
        <v>11.9</v>
      </c>
      <c r="Q1310" s="10">
        <v>32.94</v>
      </c>
      <c r="R1310" s="11">
        <f t="shared" si="75"/>
        <v>0.27738947368421052</v>
      </c>
      <c r="S1310" t="s">
        <v>81</v>
      </c>
      <c r="T1310" t="s">
        <v>82</v>
      </c>
      <c r="U1310" t="s">
        <v>76</v>
      </c>
    </row>
    <row r="1311" spans="1:21" x14ac:dyDescent="0.35">
      <c r="A1311" t="s">
        <v>1440</v>
      </c>
      <c r="B1311" s="5">
        <v>45755</v>
      </c>
      <c r="C1311" t="s">
        <v>104</v>
      </c>
      <c r="D1311" t="s">
        <v>105</v>
      </c>
      <c r="E1311" s="9">
        <v>5</v>
      </c>
      <c r="F1311" s="10">
        <v>65</v>
      </c>
      <c r="G1311" s="11">
        <v>0.02</v>
      </c>
      <c r="H1311" s="10">
        <v>318.5</v>
      </c>
      <c r="I1311" s="9">
        <v>0</v>
      </c>
      <c r="J1311" s="10">
        <v>0</v>
      </c>
      <c r="K1311" s="9">
        <v>5</v>
      </c>
      <c r="L1311" s="10">
        <v>318.5</v>
      </c>
      <c r="M1311" s="10">
        <v>251.81</v>
      </c>
      <c r="N1311" s="10">
        <v>66.69</v>
      </c>
      <c r="O1311" s="11">
        <f t="shared" si="74"/>
        <v>0.2093877551020408</v>
      </c>
      <c r="P1311" s="10">
        <v>28.91</v>
      </c>
      <c r="Q1311" s="10">
        <v>37.78</v>
      </c>
      <c r="R1311" s="11">
        <f t="shared" si="75"/>
        <v>0.11861852433281005</v>
      </c>
      <c r="S1311" t="s">
        <v>75</v>
      </c>
      <c r="T1311" t="s">
        <v>82</v>
      </c>
      <c r="U1311" t="s">
        <v>61</v>
      </c>
    </row>
    <row r="1312" spans="1:21" x14ac:dyDescent="0.35">
      <c r="A1312" t="s">
        <v>1441</v>
      </c>
      <c r="B1312" s="5">
        <v>45890</v>
      </c>
      <c r="C1312" t="s">
        <v>107</v>
      </c>
      <c r="D1312" t="s">
        <v>74</v>
      </c>
      <c r="E1312" s="9">
        <v>1</v>
      </c>
      <c r="F1312" s="10">
        <v>125</v>
      </c>
      <c r="G1312" s="11">
        <v>0</v>
      </c>
      <c r="H1312" s="10">
        <v>125</v>
      </c>
      <c r="I1312" s="9">
        <v>0</v>
      </c>
      <c r="J1312" s="10">
        <v>0</v>
      </c>
      <c r="K1312" s="9">
        <v>1</v>
      </c>
      <c r="L1312" s="10">
        <v>125</v>
      </c>
      <c r="M1312" s="10">
        <v>93.45</v>
      </c>
      <c r="N1312" s="10">
        <v>31.55</v>
      </c>
      <c r="O1312" s="11">
        <f t="shared" si="74"/>
        <v>0.25240000000000001</v>
      </c>
      <c r="P1312" s="10">
        <v>13.92</v>
      </c>
      <c r="Q1312" s="10">
        <v>17.63</v>
      </c>
      <c r="R1312" s="11">
        <f t="shared" si="75"/>
        <v>0.14104</v>
      </c>
      <c r="S1312" t="s">
        <v>81</v>
      </c>
      <c r="T1312" t="s">
        <v>60</v>
      </c>
      <c r="U1312" t="s">
        <v>67</v>
      </c>
    </row>
    <row r="1313" spans="1:21" x14ac:dyDescent="0.35">
      <c r="A1313" t="s">
        <v>1442</v>
      </c>
      <c r="B1313" s="5">
        <v>45992</v>
      </c>
      <c r="C1313" t="s">
        <v>117</v>
      </c>
      <c r="D1313" t="s">
        <v>74</v>
      </c>
      <c r="E1313" s="9">
        <v>1</v>
      </c>
      <c r="F1313" s="10">
        <v>95</v>
      </c>
      <c r="G1313" s="11">
        <v>0</v>
      </c>
      <c r="H1313" s="10">
        <v>95</v>
      </c>
      <c r="I1313" s="9">
        <v>0</v>
      </c>
      <c r="J1313" s="10">
        <v>0</v>
      </c>
      <c r="K1313" s="9">
        <v>1</v>
      </c>
      <c r="L1313" s="10">
        <v>95</v>
      </c>
      <c r="M1313" s="10">
        <v>77.319999999999993</v>
      </c>
      <c r="N1313" s="10">
        <v>17.68</v>
      </c>
      <c r="O1313" s="11">
        <f t="shared" si="74"/>
        <v>0.18610526315789475</v>
      </c>
      <c r="P1313" s="10">
        <v>10.06</v>
      </c>
      <c r="Q1313" s="10">
        <v>7.62</v>
      </c>
      <c r="R1313" s="11">
        <f t="shared" si="75"/>
        <v>8.0210526315789468E-2</v>
      </c>
      <c r="S1313" t="s">
        <v>59</v>
      </c>
      <c r="T1313" t="s">
        <v>66</v>
      </c>
      <c r="U1313" t="s">
        <v>67</v>
      </c>
    </row>
    <row r="1314" spans="1:21" x14ac:dyDescent="0.35">
      <c r="A1314" t="s">
        <v>1443</v>
      </c>
      <c r="B1314" s="5">
        <v>45791</v>
      </c>
      <c r="C1314" t="s">
        <v>125</v>
      </c>
      <c r="D1314" t="s">
        <v>85</v>
      </c>
      <c r="E1314" s="9">
        <v>4</v>
      </c>
      <c r="F1314" s="10">
        <v>125</v>
      </c>
      <c r="G1314" s="11">
        <v>0</v>
      </c>
      <c r="H1314" s="10">
        <v>500</v>
      </c>
      <c r="I1314" s="9">
        <v>0</v>
      </c>
      <c r="J1314" s="10">
        <v>0</v>
      </c>
      <c r="K1314" s="9">
        <v>4</v>
      </c>
      <c r="L1314" s="10">
        <v>500</v>
      </c>
      <c r="M1314" s="10">
        <v>398.78</v>
      </c>
      <c r="N1314" s="10">
        <v>101.22</v>
      </c>
      <c r="O1314" s="11">
        <f t="shared" si="74"/>
        <v>0.20244000000000001</v>
      </c>
      <c r="P1314" s="10">
        <v>46.37</v>
      </c>
      <c r="Q1314" s="10">
        <v>54.85</v>
      </c>
      <c r="R1314" s="11">
        <f t="shared" si="75"/>
        <v>0.10970000000000001</v>
      </c>
      <c r="S1314" t="s">
        <v>59</v>
      </c>
      <c r="T1314" t="s">
        <v>82</v>
      </c>
      <c r="U1314" t="s">
        <v>61</v>
      </c>
    </row>
    <row r="1315" spans="1:21" x14ac:dyDescent="0.35">
      <c r="A1315" t="s">
        <v>1444</v>
      </c>
      <c r="B1315" s="5">
        <v>45687</v>
      </c>
      <c r="C1315" t="s">
        <v>264</v>
      </c>
      <c r="D1315" t="s">
        <v>85</v>
      </c>
      <c r="E1315" s="9">
        <v>1</v>
      </c>
      <c r="F1315" s="10">
        <v>20</v>
      </c>
      <c r="G1315" s="11">
        <v>0.05</v>
      </c>
      <c r="H1315" s="10">
        <v>19</v>
      </c>
      <c r="I1315" s="9">
        <v>0</v>
      </c>
      <c r="J1315" s="10">
        <v>0</v>
      </c>
      <c r="K1315" s="9">
        <v>1</v>
      </c>
      <c r="L1315" s="10">
        <v>19</v>
      </c>
      <c r="M1315" s="10">
        <v>15.72</v>
      </c>
      <c r="N1315" s="10">
        <v>3.28</v>
      </c>
      <c r="O1315" s="11">
        <f t="shared" si="74"/>
        <v>0.17263157894736841</v>
      </c>
      <c r="P1315" s="10">
        <v>2.04</v>
      </c>
      <c r="Q1315" s="10">
        <v>1.24</v>
      </c>
      <c r="R1315" s="11">
        <f t="shared" si="75"/>
        <v>6.5263157894736842E-2</v>
      </c>
      <c r="S1315" t="s">
        <v>75</v>
      </c>
      <c r="T1315" t="s">
        <v>82</v>
      </c>
      <c r="U1315" t="s">
        <v>67</v>
      </c>
    </row>
    <row r="1316" spans="1:21" x14ac:dyDescent="0.35">
      <c r="A1316" t="s">
        <v>1445</v>
      </c>
      <c r="B1316" s="5">
        <v>45803</v>
      </c>
      <c r="C1316" t="s">
        <v>109</v>
      </c>
      <c r="D1316" t="s">
        <v>85</v>
      </c>
      <c r="E1316" s="9">
        <v>6</v>
      </c>
      <c r="F1316" s="10">
        <v>180</v>
      </c>
      <c r="G1316" s="11">
        <v>0</v>
      </c>
      <c r="H1316" s="10">
        <v>1080</v>
      </c>
      <c r="I1316" s="9">
        <v>0</v>
      </c>
      <c r="J1316" s="10">
        <v>0</v>
      </c>
      <c r="K1316" s="9">
        <v>6</v>
      </c>
      <c r="L1316" s="10">
        <v>1080</v>
      </c>
      <c r="M1316" s="10">
        <v>747.98</v>
      </c>
      <c r="N1316" s="10">
        <v>332.02</v>
      </c>
      <c r="O1316" s="11">
        <f t="shared" si="74"/>
        <v>0.30742592592592594</v>
      </c>
      <c r="P1316" s="10">
        <v>83.01</v>
      </c>
      <c r="Q1316" s="10">
        <v>249.01</v>
      </c>
      <c r="R1316" s="11">
        <f t="shared" si="75"/>
        <v>0.23056481481481481</v>
      </c>
      <c r="S1316" t="s">
        <v>75</v>
      </c>
      <c r="T1316" t="s">
        <v>60</v>
      </c>
      <c r="U1316" t="s">
        <v>67</v>
      </c>
    </row>
    <row r="1317" spans="1:21" x14ac:dyDescent="0.35">
      <c r="A1317" t="s">
        <v>1446</v>
      </c>
      <c r="B1317" s="5">
        <v>45912</v>
      </c>
      <c r="C1317" t="s">
        <v>109</v>
      </c>
      <c r="D1317" t="s">
        <v>85</v>
      </c>
      <c r="E1317" s="9">
        <v>5</v>
      </c>
      <c r="F1317" s="10">
        <v>180</v>
      </c>
      <c r="G1317" s="11">
        <v>0</v>
      </c>
      <c r="H1317" s="10">
        <v>900</v>
      </c>
      <c r="I1317" s="9">
        <v>0</v>
      </c>
      <c r="J1317" s="10">
        <v>0</v>
      </c>
      <c r="K1317" s="9">
        <v>5</v>
      </c>
      <c r="L1317" s="10">
        <v>900</v>
      </c>
      <c r="M1317" s="10">
        <v>594.91</v>
      </c>
      <c r="N1317" s="10">
        <v>305.08999999999997</v>
      </c>
      <c r="O1317" s="11">
        <f t="shared" si="74"/>
        <v>0.33898888888888884</v>
      </c>
      <c r="P1317" s="10">
        <v>68.09</v>
      </c>
      <c r="Q1317" s="10">
        <v>237</v>
      </c>
      <c r="R1317" s="11">
        <f t="shared" si="75"/>
        <v>0.26333333333333331</v>
      </c>
      <c r="S1317" t="s">
        <v>59</v>
      </c>
      <c r="T1317" t="s">
        <v>66</v>
      </c>
      <c r="U1317" t="s">
        <v>76</v>
      </c>
    </row>
    <row r="1318" spans="1:21" x14ac:dyDescent="0.35">
      <c r="A1318" t="s">
        <v>1447</v>
      </c>
      <c r="B1318" s="5">
        <v>45876</v>
      </c>
      <c r="C1318" t="s">
        <v>97</v>
      </c>
      <c r="D1318" t="s">
        <v>57</v>
      </c>
      <c r="E1318" s="9">
        <v>2</v>
      </c>
      <c r="F1318" s="10">
        <v>55</v>
      </c>
      <c r="G1318" s="11">
        <v>0</v>
      </c>
      <c r="H1318" s="10">
        <v>110</v>
      </c>
      <c r="I1318" s="9">
        <v>0</v>
      </c>
      <c r="J1318" s="10">
        <v>0</v>
      </c>
      <c r="K1318" s="9">
        <v>2</v>
      </c>
      <c r="L1318" s="10">
        <v>110</v>
      </c>
      <c r="M1318" s="10">
        <v>79.69</v>
      </c>
      <c r="N1318" s="10">
        <v>30.31</v>
      </c>
      <c r="O1318" s="11">
        <f t="shared" si="74"/>
        <v>0.27554545454545454</v>
      </c>
      <c r="P1318" s="10">
        <v>10.57</v>
      </c>
      <c r="Q1318" s="10">
        <v>19.739999999999998</v>
      </c>
      <c r="R1318" s="11">
        <f t="shared" si="75"/>
        <v>0.17945454545454545</v>
      </c>
      <c r="S1318" t="s">
        <v>59</v>
      </c>
      <c r="T1318" t="s">
        <v>60</v>
      </c>
      <c r="U1318" t="s">
        <v>61</v>
      </c>
    </row>
    <row r="1319" spans="1:21" x14ac:dyDescent="0.35">
      <c r="A1319" t="s">
        <v>1448</v>
      </c>
      <c r="B1319" s="5">
        <v>45884</v>
      </c>
      <c r="C1319" t="s">
        <v>69</v>
      </c>
      <c r="D1319" t="s">
        <v>70</v>
      </c>
      <c r="E1319" s="9">
        <v>2</v>
      </c>
      <c r="F1319" s="10">
        <v>210</v>
      </c>
      <c r="G1319" s="11">
        <v>0.05</v>
      </c>
      <c r="H1319" s="10">
        <v>399</v>
      </c>
      <c r="I1319" s="9">
        <v>0</v>
      </c>
      <c r="J1319" s="10">
        <v>0</v>
      </c>
      <c r="K1319" s="9">
        <v>2</v>
      </c>
      <c r="L1319" s="10">
        <v>399</v>
      </c>
      <c r="M1319" s="10">
        <v>249.3</v>
      </c>
      <c r="N1319" s="10">
        <v>149.69999999999999</v>
      </c>
      <c r="O1319" s="11">
        <f t="shared" si="74"/>
        <v>0.37518796992481201</v>
      </c>
      <c r="P1319" s="10">
        <v>30.63</v>
      </c>
      <c r="Q1319" s="10">
        <v>119.07</v>
      </c>
      <c r="R1319" s="11">
        <f t="shared" si="75"/>
        <v>0.29842105263157892</v>
      </c>
      <c r="S1319" t="s">
        <v>59</v>
      </c>
      <c r="T1319" t="s">
        <v>82</v>
      </c>
      <c r="U1319" t="s">
        <v>76</v>
      </c>
    </row>
    <row r="1320" spans="1:21" x14ac:dyDescent="0.35">
      <c r="A1320" t="s">
        <v>1449</v>
      </c>
      <c r="B1320" s="5">
        <v>45935</v>
      </c>
      <c r="C1320" t="s">
        <v>109</v>
      </c>
      <c r="D1320" t="s">
        <v>85</v>
      </c>
      <c r="E1320" s="9">
        <v>3</v>
      </c>
      <c r="F1320" s="10">
        <v>180</v>
      </c>
      <c r="G1320" s="11">
        <v>0.15</v>
      </c>
      <c r="H1320" s="10">
        <v>459</v>
      </c>
      <c r="I1320" s="9">
        <v>0</v>
      </c>
      <c r="J1320" s="10">
        <v>0</v>
      </c>
      <c r="K1320" s="9">
        <v>3</v>
      </c>
      <c r="L1320" s="10">
        <v>459</v>
      </c>
      <c r="M1320" s="10">
        <v>342.39</v>
      </c>
      <c r="N1320" s="10">
        <v>116.61</v>
      </c>
      <c r="O1320" s="11">
        <f t="shared" si="74"/>
        <v>0.25405228758169934</v>
      </c>
      <c r="P1320" s="10">
        <v>37.340000000000003</v>
      </c>
      <c r="Q1320" s="10">
        <v>79.27</v>
      </c>
      <c r="R1320" s="11">
        <f t="shared" si="75"/>
        <v>0.17270152505446623</v>
      </c>
      <c r="S1320" t="s">
        <v>65</v>
      </c>
      <c r="T1320" t="s">
        <v>86</v>
      </c>
      <c r="U1320" t="s">
        <v>71</v>
      </c>
    </row>
    <row r="1321" spans="1:21" x14ac:dyDescent="0.35">
      <c r="A1321" t="s">
        <v>1450</v>
      </c>
      <c r="B1321" s="5">
        <v>45877</v>
      </c>
      <c r="C1321" t="s">
        <v>121</v>
      </c>
      <c r="D1321" t="s">
        <v>70</v>
      </c>
      <c r="E1321" s="9">
        <v>3</v>
      </c>
      <c r="F1321" s="10">
        <v>110</v>
      </c>
      <c r="G1321" s="11">
        <v>0</v>
      </c>
      <c r="H1321" s="10">
        <v>330</v>
      </c>
      <c r="I1321" s="9">
        <v>0</v>
      </c>
      <c r="J1321" s="10">
        <v>0</v>
      </c>
      <c r="K1321" s="9">
        <v>3</v>
      </c>
      <c r="L1321" s="10">
        <v>330</v>
      </c>
      <c r="M1321" s="10">
        <v>222.41</v>
      </c>
      <c r="N1321" s="10">
        <v>107.59</v>
      </c>
      <c r="O1321" s="11">
        <f t="shared" si="74"/>
        <v>0.32603030303030306</v>
      </c>
      <c r="P1321" s="10">
        <v>28.36</v>
      </c>
      <c r="Q1321" s="10">
        <v>79.23</v>
      </c>
      <c r="R1321" s="11">
        <f t="shared" si="75"/>
        <v>0.2400909090909091</v>
      </c>
      <c r="S1321" t="s">
        <v>81</v>
      </c>
      <c r="T1321" t="s">
        <v>86</v>
      </c>
      <c r="U1321" t="s">
        <v>61</v>
      </c>
    </row>
    <row r="1322" spans="1:21" x14ac:dyDescent="0.35">
      <c r="A1322" t="s">
        <v>1451</v>
      </c>
      <c r="B1322" s="5">
        <v>45702</v>
      </c>
      <c r="C1322" t="s">
        <v>109</v>
      </c>
      <c r="D1322" t="s">
        <v>85</v>
      </c>
      <c r="E1322" s="9">
        <v>5</v>
      </c>
      <c r="F1322" s="10">
        <v>180</v>
      </c>
      <c r="G1322" s="11">
        <v>0</v>
      </c>
      <c r="H1322" s="10">
        <v>900</v>
      </c>
      <c r="I1322" s="9">
        <v>0</v>
      </c>
      <c r="J1322" s="10">
        <v>0</v>
      </c>
      <c r="K1322" s="9">
        <v>5</v>
      </c>
      <c r="L1322" s="10">
        <v>900</v>
      </c>
      <c r="M1322" s="10">
        <v>772.01</v>
      </c>
      <c r="N1322" s="10">
        <v>127.99</v>
      </c>
      <c r="O1322" s="11">
        <f t="shared" si="74"/>
        <v>0.14221111111111109</v>
      </c>
      <c r="P1322" s="10">
        <v>84.88</v>
      </c>
      <c r="Q1322" s="10">
        <v>43.11</v>
      </c>
      <c r="R1322" s="11">
        <f t="shared" si="75"/>
        <v>4.7899999999999998E-2</v>
      </c>
      <c r="S1322" t="s">
        <v>75</v>
      </c>
      <c r="T1322" t="s">
        <v>82</v>
      </c>
      <c r="U1322" t="s">
        <v>61</v>
      </c>
    </row>
    <row r="1323" spans="1:21" x14ac:dyDescent="0.35">
      <c r="A1323" t="s">
        <v>1452</v>
      </c>
      <c r="B1323" s="5">
        <v>46014</v>
      </c>
      <c r="C1323" t="s">
        <v>107</v>
      </c>
      <c r="D1323" t="s">
        <v>74</v>
      </c>
      <c r="E1323" s="9">
        <v>2</v>
      </c>
      <c r="F1323" s="10">
        <v>125</v>
      </c>
      <c r="G1323" s="11">
        <v>0</v>
      </c>
      <c r="H1323" s="10">
        <v>250</v>
      </c>
      <c r="I1323" s="9">
        <v>0</v>
      </c>
      <c r="J1323" s="10">
        <v>0</v>
      </c>
      <c r="K1323" s="9">
        <v>2</v>
      </c>
      <c r="L1323" s="10">
        <v>250</v>
      </c>
      <c r="M1323" s="10">
        <v>207.67</v>
      </c>
      <c r="N1323" s="10">
        <v>42.33</v>
      </c>
      <c r="O1323" s="11">
        <f t="shared" si="74"/>
        <v>0.16932</v>
      </c>
      <c r="P1323" s="10">
        <v>23.76</v>
      </c>
      <c r="Q1323" s="10">
        <v>18.57</v>
      </c>
      <c r="R1323" s="11">
        <f t="shared" si="75"/>
        <v>7.4279999999999999E-2</v>
      </c>
      <c r="S1323" t="s">
        <v>59</v>
      </c>
      <c r="T1323" t="s">
        <v>82</v>
      </c>
      <c r="U1323" t="s">
        <v>67</v>
      </c>
    </row>
    <row r="1324" spans="1:21" x14ac:dyDescent="0.35">
      <c r="A1324" t="s">
        <v>1453</v>
      </c>
      <c r="B1324" s="5">
        <v>45693</v>
      </c>
      <c r="C1324" t="s">
        <v>97</v>
      </c>
      <c r="D1324" t="s">
        <v>57</v>
      </c>
      <c r="E1324" s="9">
        <v>6</v>
      </c>
      <c r="F1324" s="10">
        <v>55</v>
      </c>
      <c r="G1324" s="11">
        <v>0.05</v>
      </c>
      <c r="H1324" s="10">
        <v>313.5</v>
      </c>
      <c r="I1324" s="9">
        <v>0</v>
      </c>
      <c r="J1324" s="10">
        <v>0</v>
      </c>
      <c r="K1324" s="9">
        <v>6</v>
      </c>
      <c r="L1324" s="10">
        <v>313.5</v>
      </c>
      <c r="M1324" s="10">
        <v>235.58</v>
      </c>
      <c r="N1324" s="10">
        <v>77.92</v>
      </c>
      <c r="O1324" s="11">
        <f t="shared" si="74"/>
        <v>0.24854864433811802</v>
      </c>
      <c r="P1324" s="10">
        <v>17.96</v>
      </c>
      <c r="Q1324" s="10">
        <v>59.96</v>
      </c>
      <c r="R1324" s="11">
        <f t="shared" si="75"/>
        <v>0.19125996810207338</v>
      </c>
      <c r="S1324" t="s">
        <v>65</v>
      </c>
      <c r="T1324" t="s">
        <v>66</v>
      </c>
      <c r="U1324" t="s">
        <v>71</v>
      </c>
    </row>
    <row r="1325" spans="1:21" x14ac:dyDescent="0.35">
      <c r="A1325" t="s">
        <v>1454</v>
      </c>
      <c r="B1325" s="5">
        <v>46008</v>
      </c>
      <c r="C1325" t="s">
        <v>78</v>
      </c>
      <c r="D1325" t="s">
        <v>79</v>
      </c>
      <c r="E1325" s="9">
        <v>8</v>
      </c>
      <c r="F1325" s="10">
        <v>120</v>
      </c>
      <c r="G1325" s="11">
        <v>0</v>
      </c>
      <c r="H1325" s="10">
        <v>960</v>
      </c>
      <c r="I1325" s="9">
        <v>0</v>
      </c>
      <c r="J1325" s="10">
        <v>0</v>
      </c>
      <c r="K1325" s="9">
        <v>8</v>
      </c>
      <c r="L1325" s="10">
        <v>960</v>
      </c>
      <c r="M1325" s="10">
        <v>670.13</v>
      </c>
      <c r="N1325" s="10">
        <v>289.87</v>
      </c>
      <c r="O1325" s="11">
        <f t="shared" si="74"/>
        <v>0.30194791666666665</v>
      </c>
      <c r="P1325" s="10">
        <v>80.05</v>
      </c>
      <c r="Q1325" s="10">
        <v>209.82</v>
      </c>
      <c r="R1325" s="11">
        <f t="shared" si="75"/>
        <v>0.21856249999999999</v>
      </c>
      <c r="S1325" t="s">
        <v>81</v>
      </c>
      <c r="T1325" t="s">
        <v>82</v>
      </c>
      <c r="U1325" t="s">
        <v>76</v>
      </c>
    </row>
    <row r="1326" spans="1:21" x14ac:dyDescent="0.35">
      <c r="A1326" t="s">
        <v>1455</v>
      </c>
      <c r="B1326" s="5">
        <v>45764</v>
      </c>
      <c r="C1326" t="s">
        <v>121</v>
      </c>
      <c r="D1326" t="s">
        <v>70</v>
      </c>
      <c r="E1326" s="9">
        <v>6</v>
      </c>
      <c r="F1326" s="10">
        <v>110</v>
      </c>
      <c r="G1326" s="11">
        <v>0</v>
      </c>
      <c r="H1326" s="10">
        <v>660</v>
      </c>
      <c r="I1326" s="9">
        <v>0</v>
      </c>
      <c r="J1326" s="10">
        <v>0</v>
      </c>
      <c r="K1326" s="9">
        <v>6</v>
      </c>
      <c r="L1326" s="10">
        <v>660</v>
      </c>
      <c r="M1326" s="10">
        <v>528.29999999999995</v>
      </c>
      <c r="N1326" s="10">
        <v>131.69999999999999</v>
      </c>
      <c r="O1326" s="11">
        <f t="shared" si="74"/>
        <v>0.19954545454545453</v>
      </c>
      <c r="P1326" s="10">
        <v>51.39</v>
      </c>
      <c r="Q1326" s="10">
        <v>80.31</v>
      </c>
      <c r="R1326" s="11">
        <f t="shared" si="75"/>
        <v>0.12168181818181818</v>
      </c>
      <c r="S1326" t="s">
        <v>65</v>
      </c>
      <c r="T1326" t="s">
        <v>86</v>
      </c>
      <c r="U1326" t="s">
        <v>67</v>
      </c>
    </row>
    <row r="1327" spans="1:21" x14ac:dyDescent="0.35">
      <c r="A1327" t="s">
        <v>1456</v>
      </c>
      <c r="B1327" s="5">
        <v>45865</v>
      </c>
      <c r="C1327" t="s">
        <v>63</v>
      </c>
      <c r="D1327" t="s">
        <v>64</v>
      </c>
      <c r="E1327" s="9">
        <v>6</v>
      </c>
      <c r="F1327" s="10">
        <v>145</v>
      </c>
      <c r="G1327" s="11">
        <v>0.1</v>
      </c>
      <c r="H1327" s="10">
        <v>783</v>
      </c>
      <c r="I1327" s="9">
        <v>6</v>
      </c>
      <c r="J1327" s="10">
        <v>783</v>
      </c>
      <c r="K1327" s="9">
        <v>0</v>
      </c>
      <c r="L1327" s="10">
        <v>0</v>
      </c>
      <c r="M1327" s="10">
        <v>0</v>
      </c>
      <c r="N1327" s="10">
        <v>0</v>
      </c>
      <c r="O1327" s="11">
        <v>0</v>
      </c>
      <c r="P1327" s="10">
        <v>0</v>
      </c>
      <c r="Q1327" s="10">
        <v>0</v>
      </c>
      <c r="R1327" s="11">
        <v>0</v>
      </c>
      <c r="S1327" t="s">
        <v>65</v>
      </c>
      <c r="T1327" t="s">
        <v>60</v>
      </c>
      <c r="U1327" t="s">
        <v>76</v>
      </c>
    </row>
    <row r="1328" spans="1:21" x14ac:dyDescent="0.35">
      <c r="A1328" t="s">
        <v>1457</v>
      </c>
      <c r="B1328" s="5">
        <v>45913</v>
      </c>
      <c r="C1328" t="s">
        <v>107</v>
      </c>
      <c r="D1328" t="s">
        <v>74</v>
      </c>
      <c r="E1328" s="9">
        <v>5</v>
      </c>
      <c r="F1328" s="10">
        <v>125</v>
      </c>
      <c r="G1328" s="11">
        <v>0</v>
      </c>
      <c r="H1328" s="10">
        <v>625</v>
      </c>
      <c r="I1328" s="9">
        <v>0</v>
      </c>
      <c r="J1328" s="10">
        <v>0</v>
      </c>
      <c r="K1328" s="9">
        <v>5</v>
      </c>
      <c r="L1328" s="10">
        <v>625</v>
      </c>
      <c r="M1328" s="10">
        <v>418.75</v>
      </c>
      <c r="N1328" s="10">
        <v>206.25</v>
      </c>
      <c r="O1328" s="11">
        <f t="shared" ref="O1328:O1359" si="76">N1328/L1328</f>
        <v>0.33</v>
      </c>
      <c r="P1328" s="10">
        <v>59</v>
      </c>
      <c r="Q1328" s="10">
        <v>147.25</v>
      </c>
      <c r="R1328" s="11">
        <f t="shared" ref="R1328:R1359" si="77">Q1328/L1328</f>
        <v>0.2356</v>
      </c>
      <c r="S1328" t="s">
        <v>59</v>
      </c>
      <c r="T1328" t="s">
        <v>66</v>
      </c>
      <c r="U1328" t="s">
        <v>61</v>
      </c>
    </row>
    <row r="1329" spans="1:21" x14ac:dyDescent="0.35">
      <c r="A1329" t="s">
        <v>1458</v>
      </c>
      <c r="B1329" s="5">
        <v>45704</v>
      </c>
      <c r="C1329" t="s">
        <v>125</v>
      </c>
      <c r="D1329" t="s">
        <v>85</v>
      </c>
      <c r="E1329" s="9">
        <v>4</v>
      </c>
      <c r="F1329" s="10">
        <v>125</v>
      </c>
      <c r="G1329" s="11">
        <v>0.05</v>
      </c>
      <c r="H1329" s="10">
        <v>475</v>
      </c>
      <c r="I1329" s="9">
        <v>0</v>
      </c>
      <c r="J1329" s="10">
        <v>0</v>
      </c>
      <c r="K1329" s="9">
        <v>4</v>
      </c>
      <c r="L1329" s="10">
        <v>475</v>
      </c>
      <c r="M1329" s="10">
        <v>373.57</v>
      </c>
      <c r="N1329" s="10">
        <v>101.43</v>
      </c>
      <c r="O1329" s="11">
        <f t="shared" si="76"/>
        <v>0.21353684210526316</v>
      </c>
      <c r="P1329" s="10">
        <v>51.01</v>
      </c>
      <c r="Q1329" s="10">
        <v>50.42</v>
      </c>
      <c r="R1329" s="11">
        <f t="shared" si="77"/>
        <v>0.10614736842105263</v>
      </c>
      <c r="S1329" t="s">
        <v>59</v>
      </c>
      <c r="T1329" t="s">
        <v>66</v>
      </c>
      <c r="U1329" t="s">
        <v>71</v>
      </c>
    </row>
    <row r="1330" spans="1:21" x14ac:dyDescent="0.35">
      <c r="A1330" t="s">
        <v>1459</v>
      </c>
      <c r="B1330" s="5">
        <v>45804</v>
      </c>
      <c r="C1330" t="s">
        <v>114</v>
      </c>
      <c r="D1330" t="s">
        <v>64</v>
      </c>
      <c r="E1330" s="9">
        <v>3</v>
      </c>
      <c r="F1330" s="10">
        <v>420</v>
      </c>
      <c r="G1330" s="11">
        <v>0.1</v>
      </c>
      <c r="H1330" s="10">
        <v>1134</v>
      </c>
      <c r="I1330" s="9">
        <v>0</v>
      </c>
      <c r="J1330" s="10">
        <v>0</v>
      </c>
      <c r="K1330" s="9">
        <v>3</v>
      </c>
      <c r="L1330" s="10">
        <v>1134</v>
      </c>
      <c r="M1330" s="10">
        <v>761.45</v>
      </c>
      <c r="N1330" s="10">
        <v>372.55</v>
      </c>
      <c r="O1330" s="11">
        <f t="shared" si="76"/>
        <v>0.3285273368606702</v>
      </c>
      <c r="P1330" s="10">
        <v>137.57</v>
      </c>
      <c r="Q1330" s="10">
        <v>234.98</v>
      </c>
      <c r="R1330" s="11">
        <f t="shared" si="77"/>
        <v>0.20721340388007053</v>
      </c>
      <c r="S1330" t="s">
        <v>75</v>
      </c>
      <c r="T1330" t="s">
        <v>82</v>
      </c>
      <c r="U1330" t="s">
        <v>2133</v>
      </c>
    </row>
    <row r="1331" spans="1:21" x14ac:dyDescent="0.35">
      <c r="A1331" t="s">
        <v>1460</v>
      </c>
      <c r="B1331" s="5">
        <v>45768</v>
      </c>
      <c r="C1331" t="s">
        <v>125</v>
      </c>
      <c r="D1331" t="s">
        <v>85</v>
      </c>
      <c r="E1331" s="9">
        <v>2</v>
      </c>
      <c r="F1331" s="10">
        <v>125</v>
      </c>
      <c r="G1331" s="11">
        <v>0</v>
      </c>
      <c r="H1331" s="10">
        <v>250</v>
      </c>
      <c r="I1331" s="9">
        <v>0</v>
      </c>
      <c r="J1331" s="10">
        <v>0</v>
      </c>
      <c r="K1331" s="9">
        <v>2</v>
      </c>
      <c r="L1331" s="10">
        <v>250</v>
      </c>
      <c r="M1331" s="10">
        <v>174.12</v>
      </c>
      <c r="N1331" s="10">
        <v>75.88</v>
      </c>
      <c r="O1331" s="11">
        <f t="shared" si="76"/>
        <v>0.30351999999999996</v>
      </c>
      <c r="P1331" s="10">
        <v>22.43</v>
      </c>
      <c r="Q1331" s="10">
        <v>53.45</v>
      </c>
      <c r="R1331" s="11">
        <f t="shared" si="77"/>
        <v>0.21380000000000002</v>
      </c>
      <c r="S1331" t="s">
        <v>65</v>
      </c>
      <c r="T1331" t="s">
        <v>86</v>
      </c>
      <c r="U1331" t="s">
        <v>61</v>
      </c>
    </row>
    <row r="1332" spans="1:21" x14ac:dyDescent="0.35">
      <c r="A1332" t="s">
        <v>1461</v>
      </c>
      <c r="B1332" s="5">
        <v>45902</v>
      </c>
      <c r="C1332" t="s">
        <v>73</v>
      </c>
      <c r="D1332" t="s">
        <v>74</v>
      </c>
      <c r="E1332" s="9">
        <v>3</v>
      </c>
      <c r="F1332" s="10">
        <v>280</v>
      </c>
      <c r="G1332" s="11">
        <v>0</v>
      </c>
      <c r="H1332" s="10">
        <v>840</v>
      </c>
      <c r="I1332" s="9">
        <v>0</v>
      </c>
      <c r="J1332" s="10">
        <v>0</v>
      </c>
      <c r="K1332" s="9">
        <v>3</v>
      </c>
      <c r="L1332" s="10">
        <v>840</v>
      </c>
      <c r="M1332" s="10">
        <v>634.66999999999996</v>
      </c>
      <c r="N1332" s="10">
        <v>205.33</v>
      </c>
      <c r="O1332" s="11">
        <f t="shared" si="76"/>
        <v>0.24444047619047621</v>
      </c>
      <c r="P1332" s="10">
        <v>45.22</v>
      </c>
      <c r="Q1332" s="10">
        <v>160.11000000000001</v>
      </c>
      <c r="R1332" s="11">
        <f t="shared" si="77"/>
        <v>0.19060714285714286</v>
      </c>
      <c r="S1332" t="s">
        <v>81</v>
      </c>
      <c r="T1332" t="s">
        <v>82</v>
      </c>
      <c r="U1332" t="s">
        <v>61</v>
      </c>
    </row>
    <row r="1333" spans="1:21" x14ac:dyDescent="0.35">
      <c r="A1333" t="s">
        <v>1462</v>
      </c>
      <c r="B1333" s="5">
        <v>45897</v>
      </c>
      <c r="C1333" t="s">
        <v>90</v>
      </c>
      <c r="D1333" t="s">
        <v>70</v>
      </c>
      <c r="E1333" s="9">
        <v>2</v>
      </c>
      <c r="F1333" s="10">
        <v>38</v>
      </c>
      <c r="G1333" s="11">
        <v>0.02</v>
      </c>
      <c r="H1333" s="10">
        <v>74.48</v>
      </c>
      <c r="I1333" s="9">
        <v>0</v>
      </c>
      <c r="J1333" s="10">
        <v>0</v>
      </c>
      <c r="K1333" s="9">
        <v>2</v>
      </c>
      <c r="L1333" s="10">
        <v>74.48</v>
      </c>
      <c r="M1333" s="10">
        <v>50.81</v>
      </c>
      <c r="N1333" s="10">
        <v>23.67</v>
      </c>
      <c r="O1333" s="11">
        <f t="shared" si="76"/>
        <v>0.31780343716433945</v>
      </c>
      <c r="P1333" s="10">
        <v>6.19</v>
      </c>
      <c r="Q1333" s="10">
        <v>17.48</v>
      </c>
      <c r="R1333" s="11">
        <f t="shared" si="77"/>
        <v>0.23469387755102039</v>
      </c>
      <c r="S1333" t="s">
        <v>75</v>
      </c>
      <c r="T1333" t="s">
        <v>60</v>
      </c>
      <c r="U1333" t="s">
        <v>61</v>
      </c>
    </row>
    <row r="1334" spans="1:21" x14ac:dyDescent="0.35">
      <c r="A1334" t="s">
        <v>1463</v>
      </c>
      <c r="B1334" s="5">
        <v>45953</v>
      </c>
      <c r="C1334" t="s">
        <v>107</v>
      </c>
      <c r="D1334" t="s">
        <v>74</v>
      </c>
      <c r="E1334" s="9">
        <v>1</v>
      </c>
      <c r="F1334" s="10">
        <v>125</v>
      </c>
      <c r="G1334" s="11">
        <v>0</v>
      </c>
      <c r="H1334" s="10">
        <v>125</v>
      </c>
      <c r="I1334" s="9">
        <v>0</v>
      </c>
      <c r="J1334" s="10">
        <v>0</v>
      </c>
      <c r="K1334" s="9">
        <v>1</v>
      </c>
      <c r="L1334" s="10">
        <v>125</v>
      </c>
      <c r="M1334" s="10">
        <v>100.65</v>
      </c>
      <c r="N1334" s="10">
        <v>24.35</v>
      </c>
      <c r="O1334" s="11">
        <f t="shared" si="76"/>
        <v>0.1948</v>
      </c>
      <c r="P1334" s="10">
        <v>12.39</v>
      </c>
      <c r="Q1334" s="10">
        <v>11.96</v>
      </c>
      <c r="R1334" s="11">
        <f t="shared" si="77"/>
        <v>9.5680000000000001E-2</v>
      </c>
      <c r="S1334" t="s">
        <v>59</v>
      </c>
      <c r="T1334" t="s">
        <v>82</v>
      </c>
      <c r="U1334" t="s">
        <v>67</v>
      </c>
    </row>
    <row r="1335" spans="1:21" x14ac:dyDescent="0.35">
      <c r="A1335" t="s">
        <v>1464</v>
      </c>
      <c r="B1335" s="5">
        <v>45719</v>
      </c>
      <c r="C1335" t="s">
        <v>97</v>
      </c>
      <c r="D1335" t="s">
        <v>57</v>
      </c>
      <c r="E1335" s="9">
        <v>8</v>
      </c>
      <c r="F1335" s="10">
        <v>55</v>
      </c>
      <c r="G1335" s="11">
        <v>0</v>
      </c>
      <c r="H1335" s="10">
        <v>440</v>
      </c>
      <c r="I1335" s="9">
        <v>0</v>
      </c>
      <c r="J1335" s="10">
        <v>0</v>
      </c>
      <c r="K1335" s="9">
        <v>8</v>
      </c>
      <c r="L1335" s="10">
        <v>440</v>
      </c>
      <c r="M1335" s="10">
        <v>350.06</v>
      </c>
      <c r="N1335" s="10">
        <v>89.94</v>
      </c>
      <c r="O1335" s="11">
        <f t="shared" si="76"/>
        <v>0.2044090909090909</v>
      </c>
      <c r="P1335" s="10">
        <v>32.479999999999997</v>
      </c>
      <c r="Q1335" s="10">
        <v>57.46</v>
      </c>
      <c r="R1335" s="11">
        <f t="shared" si="77"/>
        <v>0.13059090909090909</v>
      </c>
      <c r="S1335" t="s">
        <v>65</v>
      </c>
      <c r="T1335" t="s">
        <v>66</v>
      </c>
      <c r="U1335" t="s">
        <v>67</v>
      </c>
    </row>
    <row r="1336" spans="1:21" x14ac:dyDescent="0.35">
      <c r="A1336" t="s">
        <v>1465</v>
      </c>
      <c r="B1336" s="5">
        <v>45961</v>
      </c>
      <c r="C1336" t="s">
        <v>78</v>
      </c>
      <c r="D1336" t="s">
        <v>79</v>
      </c>
      <c r="E1336" s="9">
        <v>2</v>
      </c>
      <c r="F1336" s="10">
        <v>120</v>
      </c>
      <c r="G1336" s="11">
        <v>0.15</v>
      </c>
      <c r="H1336" s="10">
        <v>204</v>
      </c>
      <c r="I1336" s="9">
        <v>0</v>
      </c>
      <c r="J1336" s="10">
        <v>0</v>
      </c>
      <c r="K1336" s="9">
        <v>2</v>
      </c>
      <c r="L1336" s="10">
        <v>204</v>
      </c>
      <c r="M1336" s="10">
        <v>128.37</v>
      </c>
      <c r="N1336" s="10">
        <v>75.63</v>
      </c>
      <c r="O1336" s="11">
        <f t="shared" si="76"/>
        <v>0.37073529411764705</v>
      </c>
      <c r="P1336" s="10">
        <v>13.87</v>
      </c>
      <c r="Q1336" s="10">
        <v>61.76</v>
      </c>
      <c r="R1336" s="11">
        <f t="shared" si="77"/>
        <v>0.30274509803921568</v>
      </c>
      <c r="S1336" t="s">
        <v>59</v>
      </c>
      <c r="T1336" t="s">
        <v>66</v>
      </c>
      <c r="U1336" t="s">
        <v>67</v>
      </c>
    </row>
    <row r="1337" spans="1:21" x14ac:dyDescent="0.35">
      <c r="A1337" t="s">
        <v>1466</v>
      </c>
      <c r="B1337" s="5">
        <v>45914</v>
      </c>
      <c r="C1337" t="s">
        <v>69</v>
      </c>
      <c r="D1337" t="s">
        <v>70</v>
      </c>
      <c r="E1337" s="9">
        <v>1</v>
      </c>
      <c r="F1337" s="10">
        <v>210</v>
      </c>
      <c r="G1337" s="11">
        <v>0.05</v>
      </c>
      <c r="H1337" s="10">
        <v>199.5</v>
      </c>
      <c r="I1337" s="9">
        <v>0</v>
      </c>
      <c r="J1337" s="10">
        <v>0</v>
      </c>
      <c r="K1337" s="9">
        <v>1</v>
      </c>
      <c r="L1337" s="10">
        <v>199.5</v>
      </c>
      <c r="M1337" s="10">
        <v>130.07</v>
      </c>
      <c r="N1337" s="10">
        <v>69.430000000000007</v>
      </c>
      <c r="O1337" s="11">
        <f t="shared" si="76"/>
        <v>0.34802005012531334</v>
      </c>
      <c r="P1337" s="10">
        <v>10.33</v>
      </c>
      <c r="Q1337" s="10">
        <v>59.1</v>
      </c>
      <c r="R1337" s="11">
        <f t="shared" si="77"/>
        <v>0.29624060150375942</v>
      </c>
      <c r="S1337" t="s">
        <v>75</v>
      </c>
      <c r="T1337" t="s">
        <v>60</v>
      </c>
      <c r="U1337" t="s">
        <v>71</v>
      </c>
    </row>
    <row r="1338" spans="1:21" x14ac:dyDescent="0.35">
      <c r="A1338" t="s">
        <v>1467</v>
      </c>
      <c r="B1338" s="5">
        <v>46004</v>
      </c>
      <c r="C1338" t="s">
        <v>117</v>
      </c>
      <c r="D1338" t="s">
        <v>74</v>
      </c>
      <c r="E1338" s="9">
        <v>2</v>
      </c>
      <c r="F1338" s="10">
        <v>95</v>
      </c>
      <c r="G1338" s="11">
        <v>0.05</v>
      </c>
      <c r="H1338" s="10">
        <v>180.5</v>
      </c>
      <c r="I1338" s="9">
        <v>0</v>
      </c>
      <c r="J1338" s="10">
        <v>0</v>
      </c>
      <c r="K1338" s="9">
        <v>2</v>
      </c>
      <c r="L1338" s="10">
        <v>180.5</v>
      </c>
      <c r="M1338" s="10">
        <v>126.05</v>
      </c>
      <c r="N1338" s="10">
        <v>54.45</v>
      </c>
      <c r="O1338" s="11">
        <f t="shared" si="76"/>
        <v>0.30166204986149586</v>
      </c>
      <c r="P1338" s="10">
        <v>10.38</v>
      </c>
      <c r="Q1338" s="10">
        <v>44.07</v>
      </c>
      <c r="R1338" s="11">
        <f t="shared" si="77"/>
        <v>0.24415512465373962</v>
      </c>
      <c r="S1338" t="s">
        <v>75</v>
      </c>
      <c r="T1338" t="s">
        <v>82</v>
      </c>
      <c r="U1338" t="s">
        <v>71</v>
      </c>
    </row>
    <row r="1339" spans="1:21" x14ac:dyDescent="0.35">
      <c r="A1339" t="s">
        <v>1468</v>
      </c>
      <c r="B1339" s="5">
        <v>45945</v>
      </c>
      <c r="C1339" t="s">
        <v>78</v>
      </c>
      <c r="D1339" t="s">
        <v>79</v>
      </c>
      <c r="E1339" s="9">
        <v>6</v>
      </c>
      <c r="F1339" s="10">
        <v>120</v>
      </c>
      <c r="G1339" s="11">
        <v>0</v>
      </c>
      <c r="H1339" s="10">
        <v>720</v>
      </c>
      <c r="I1339" s="9">
        <v>0</v>
      </c>
      <c r="J1339" s="10">
        <v>0</v>
      </c>
      <c r="K1339" s="9">
        <v>6</v>
      </c>
      <c r="L1339" s="10">
        <v>720</v>
      </c>
      <c r="M1339" s="10">
        <v>507.42</v>
      </c>
      <c r="N1339" s="10">
        <v>212.58</v>
      </c>
      <c r="O1339" s="11">
        <f t="shared" si="76"/>
        <v>0.29525000000000001</v>
      </c>
      <c r="P1339" s="10">
        <v>69.319999999999993</v>
      </c>
      <c r="Q1339" s="10">
        <v>143.26</v>
      </c>
      <c r="R1339" s="11">
        <f t="shared" si="77"/>
        <v>0.19897222222222222</v>
      </c>
      <c r="S1339" t="s">
        <v>81</v>
      </c>
      <c r="T1339" t="s">
        <v>82</v>
      </c>
      <c r="U1339" t="s">
        <v>71</v>
      </c>
    </row>
    <row r="1340" spans="1:21" x14ac:dyDescent="0.35">
      <c r="A1340" t="s">
        <v>1469</v>
      </c>
      <c r="B1340" s="5">
        <v>45697</v>
      </c>
      <c r="C1340" t="s">
        <v>114</v>
      </c>
      <c r="D1340" t="s">
        <v>64</v>
      </c>
      <c r="E1340" s="9">
        <v>1</v>
      </c>
      <c r="F1340" s="10">
        <v>420</v>
      </c>
      <c r="G1340" s="11">
        <v>0.15</v>
      </c>
      <c r="H1340" s="10">
        <v>357</v>
      </c>
      <c r="I1340" s="9">
        <v>0</v>
      </c>
      <c r="J1340" s="10">
        <v>0</v>
      </c>
      <c r="K1340" s="9">
        <v>1</v>
      </c>
      <c r="L1340" s="10">
        <v>357</v>
      </c>
      <c r="M1340" s="10">
        <v>244.29</v>
      </c>
      <c r="N1340" s="10">
        <v>112.71</v>
      </c>
      <c r="O1340" s="11">
        <f t="shared" si="76"/>
        <v>0.31571428571428567</v>
      </c>
      <c r="P1340" s="10">
        <v>22.58</v>
      </c>
      <c r="Q1340" s="10">
        <v>90.13</v>
      </c>
      <c r="R1340" s="11">
        <f t="shared" si="77"/>
        <v>0.25246498599439776</v>
      </c>
      <c r="S1340" t="s">
        <v>75</v>
      </c>
      <c r="T1340" t="s">
        <v>60</v>
      </c>
      <c r="U1340" t="s">
        <v>67</v>
      </c>
    </row>
    <row r="1341" spans="1:21" x14ac:dyDescent="0.35">
      <c r="A1341" t="s">
        <v>1470</v>
      </c>
      <c r="B1341" s="5">
        <v>45926</v>
      </c>
      <c r="C1341" t="s">
        <v>63</v>
      </c>
      <c r="D1341" t="s">
        <v>64</v>
      </c>
      <c r="E1341" s="9">
        <v>3</v>
      </c>
      <c r="F1341" s="10">
        <v>145</v>
      </c>
      <c r="G1341" s="11">
        <v>0</v>
      </c>
      <c r="H1341" s="10">
        <v>435</v>
      </c>
      <c r="I1341" s="9">
        <v>0</v>
      </c>
      <c r="J1341" s="10">
        <v>0</v>
      </c>
      <c r="K1341" s="9">
        <v>3</v>
      </c>
      <c r="L1341" s="10">
        <v>435</v>
      </c>
      <c r="M1341" s="10">
        <v>332.74</v>
      </c>
      <c r="N1341" s="10">
        <v>102.26</v>
      </c>
      <c r="O1341" s="11">
        <f t="shared" si="76"/>
        <v>0.23508045977011496</v>
      </c>
      <c r="P1341" s="10">
        <v>49.54</v>
      </c>
      <c r="Q1341" s="10">
        <v>52.72</v>
      </c>
      <c r="R1341" s="11">
        <f t="shared" si="77"/>
        <v>0.12119540229885058</v>
      </c>
      <c r="S1341" t="s">
        <v>65</v>
      </c>
      <c r="T1341" t="s">
        <v>86</v>
      </c>
      <c r="U1341" t="s">
        <v>76</v>
      </c>
    </row>
    <row r="1342" spans="1:21" x14ac:dyDescent="0.35">
      <c r="A1342" t="s">
        <v>1471</v>
      </c>
      <c r="B1342" s="5">
        <v>45921</v>
      </c>
      <c r="C1342" t="s">
        <v>104</v>
      </c>
      <c r="D1342" t="s">
        <v>105</v>
      </c>
      <c r="E1342" s="9">
        <v>2</v>
      </c>
      <c r="F1342" s="10">
        <v>65</v>
      </c>
      <c r="G1342" s="11">
        <v>0</v>
      </c>
      <c r="H1342" s="10">
        <v>130</v>
      </c>
      <c r="I1342" s="9">
        <v>0</v>
      </c>
      <c r="J1342" s="10">
        <v>0</v>
      </c>
      <c r="K1342" s="9">
        <v>2</v>
      </c>
      <c r="L1342" s="10">
        <v>130</v>
      </c>
      <c r="M1342" s="10">
        <v>85.76</v>
      </c>
      <c r="N1342" s="10">
        <v>44.24</v>
      </c>
      <c r="O1342" s="11">
        <f t="shared" si="76"/>
        <v>0.34030769230769231</v>
      </c>
      <c r="P1342" s="10">
        <v>8.8800000000000008</v>
      </c>
      <c r="Q1342" s="10">
        <v>35.36</v>
      </c>
      <c r="R1342" s="11">
        <f t="shared" si="77"/>
        <v>0.27200000000000002</v>
      </c>
      <c r="S1342" t="s">
        <v>65</v>
      </c>
      <c r="T1342" t="s">
        <v>66</v>
      </c>
      <c r="U1342" t="s">
        <v>61</v>
      </c>
    </row>
    <row r="1343" spans="1:21" x14ac:dyDescent="0.35">
      <c r="A1343" t="s">
        <v>1472</v>
      </c>
      <c r="B1343" s="5">
        <v>45699</v>
      </c>
      <c r="C1343" t="s">
        <v>92</v>
      </c>
      <c r="D1343" t="s">
        <v>79</v>
      </c>
      <c r="E1343" s="9">
        <v>1</v>
      </c>
      <c r="F1343" s="10">
        <v>85</v>
      </c>
      <c r="G1343" s="11">
        <v>0.05</v>
      </c>
      <c r="H1343" s="10">
        <v>80.75</v>
      </c>
      <c r="I1343" s="9">
        <v>0</v>
      </c>
      <c r="J1343" s="10">
        <v>0</v>
      </c>
      <c r="K1343" s="9">
        <v>1</v>
      </c>
      <c r="L1343" s="10">
        <v>80.75</v>
      </c>
      <c r="M1343" s="10">
        <v>53.45</v>
      </c>
      <c r="N1343" s="10">
        <v>27.3</v>
      </c>
      <c r="O1343" s="11">
        <f t="shared" si="76"/>
        <v>0.33808049535603718</v>
      </c>
      <c r="P1343" s="10">
        <v>5.73</v>
      </c>
      <c r="Q1343" s="10">
        <v>21.57</v>
      </c>
      <c r="R1343" s="11">
        <f t="shared" si="77"/>
        <v>0.26712074303405575</v>
      </c>
      <c r="S1343" t="s">
        <v>65</v>
      </c>
      <c r="T1343" t="s">
        <v>82</v>
      </c>
      <c r="U1343" t="s">
        <v>71</v>
      </c>
    </row>
    <row r="1344" spans="1:21" x14ac:dyDescent="0.35">
      <c r="A1344" t="s">
        <v>1473</v>
      </c>
      <c r="B1344" s="5">
        <v>45710</v>
      </c>
      <c r="C1344" t="s">
        <v>104</v>
      </c>
      <c r="D1344" t="s">
        <v>105</v>
      </c>
      <c r="E1344" s="9">
        <v>4</v>
      </c>
      <c r="F1344" s="10">
        <v>65</v>
      </c>
      <c r="G1344" s="11">
        <v>0</v>
      </c>
      <c r="H1344" s="10">
        <v>260</v>
      </c>
      <c r="I1344" s="9">
        <v>0</v>
      </c>
      <c r="J1344" s="10">
        <v>0</v>
      </c>
      <c r="K1344" s="9">
        <v>4</v>
      </c>
      <c r="L1344" s="10">
        <v>260</v>
      </c>
      <c r="M1344" s="10">
        <v>201.54</v>
      </c>
      <c r="N1344" s="10">
        <v>58.46</v>
      </c>
      <c r="O1344" s="11">
        <f t="shared" si="76"/>
        <v>0.22484615384615386</v>
      </c>
      <c r="P1344" s="10">
        <v>28.61</v>
      </c>
      <c r="Q1344" s="10">
        <v>29.85</v>
      </c>
      <c r="R1344" s="11">
        <f t="shared" si="77"/>
        <v>0.11480769230769232</v>
      </c>
      <c r="S1344" t="s">
        <v>75</v>
      </c>
      <c r="T1344" t="s">
        <v>66</v>
      </c>
      <c r="U1344" t="s">
        <v>71</v>
      </c>
    </row>
    <row r="1345" spans="1:21" x14ac:dyDescent="0.35">
      <c r="A1345" t="s">
        <v>1474</v>
      </c>
      <c r="B1345" s="5">
        <v>45738</v>
      </c>
      <c r="C1345" t="s">
        <v>88</v>
      </c>
      <c r="D1345" t="s">
        <v>57</v>
      </c>
      <c r="E1345" s="9">
        <v>8</v>
      </c>
      <c r="F1345" s="10">
        <v>30</v>
      </c>
      <c r="G1345" s="11">
        <v>0.15</v>
      </c>
      <c r="H1345" s="10">
        <v>204</v>
      </c>
      <c r="I1345" s="9">
        <v>0</v>
      </c>
      <c r="J1345" s="10">
        <v>0</v>
      </c>
      <c r="K1345" s="9">
        <v>8</v>
      </c>
      <c r="L1345" s="10">
        <v>204</v>
      </c>
      <c r="M1345" s="10">
        <v>162.69999999999999</v>
      </c>
      <c r="N1345" s="10">
        <v>41.3</v>
      </c>
      <c r="O1345" s="11">
        <f t="shared" si="76"/>
        <v>0.20245098039215684</v>
      </c>
      <c r="P1345" s="10">
        <v>14.45</v>
      </c>
      <c r="Q1345" s="10">
        <v>26.85</v>
      </c>
      <c r="R1345" s="11">
        <f t="shared" si="77"/>
        <v>0.13161764705882353</v>
      </c>
      <c r="S1345" t="s">
        <v>75</v>
      </c>
      <c r="T1345" t="s">
        <v>66</v>
      </c>
      <c r="U1345" t="s">
        <v>67</v>
      </c>
    </row>
    <row r="1346" spans="1:21" x14ac:dyDescent="0.35">
      <c r="A1346" t="s">
        <v>1475</v>
      </c>
      <c r="B1346" s="5">
        <v>45861</v>
      </c>
      <c r="C1346" t="s">
        <v>109</v>
      </c>
      <c r="D1346" t="s">
        <v>85</v>
      </c>
      <c r="E1346" s="9">
        <v>3</v>
      </c>
      <c r="F1346" s="10">
        <v>180</v>
      </c>
      <c r="G1346" s="11">
        <v>0.02</v>
      </c>
      <c r="H1346" s="10">
        <v>529.20000000000005</v>
      </c>
      <c r="I1346" s="9">
        <v>0</v>
      </c>
      <c r="J1346" s="10">
        <v>0</v>
      </c>
      <c r="K1346" s="9">
        <v>3</v>
      </c>
      <c r="L1346" s="10">
        <v>529.20000000000005</v>
      </c>
      <c r="M1346" s="10">
        <v>388.11</v>
      </c>
      <c r="N1346" s="10">
        <v>141.09</v>
      </c>
      <c r="O1346" s="11">
        <f t="shared" si="76"/>
        <v>0.266609977324263</v>
      </c>
      <c r="P1346" s="10">
        <v>44.82</v>
      </c>
      <c r="Q1346" s="10">
        <v>96.27</v>
      </c>
      <c r="R1346" s="11">
        <f t="shared" si="77"/>
        <v>0.18191609977324261</v>
      </c>
      <c r="S1346" t="s">
        <v>59</v>
      </c>
      <c r="T1346" t="s">
        <v>82</v>
      </c>
      <c r="U1346" t="s">
        <v>61</v>
      </c>
    </row>
    <row r="1347" spans="1:21" x14ac:dyDescent="0.35">
      <c r="A1347" t="s">
        <v>1476</v>
      </c>
      <c r="B1347" s="5">
        <v>45721</v>
      </c>
      <c r="C1347" t="s">
        <v>109</v>
      </c>
      <c r="D1347" t="s">
        <v>85</v>
      </c>
      <c r="E1347" s="9">
        <v>4</v>
      </c>
      <c r="F1347" s="10">
        <v>180</v>
      </c>
      <c r="G1347" s="11">
        <v>0.05</v>
      </c>
      <c r="H1347" s="10">
        <v>684</v>
      </c>
      <c r="I1347" s="9">
        <v>0</v>
      </c>
      <c r="J1347" s="10">
        <v>0</v>
      </c>
      <c r="K1347" s="9">
        <v>4</v>
      </c>
      <c r="L1347" s="10">
        <v>684</v>
      </c>
      <c r="M1347" s="10">
        <v>451.03</v>
      </c>
      <c r="N1347" s="10">
        <v>232.97</v>
      </c>
      <c r="O1347" s="11">
        <f t="shared" si="76"/>
        <v>0.34059941520467835</v>
      </c>
      <c r="P1347" s="10">
        <v>61.22</v>
      </c>
      <c r="Q1347" s="10">
        <v>171.75</v>
      </c>
      <c r="R1347" s="11">
        <f t="shared" si="77"/>
        <v>0.25109649122807015</v>
      </c>
      <c r="S1347" t="s">
        <v>75</v>
      </c>
      <c r="T1347" t="s">
        <v>60</v>
      </c>
      <c r="U1347" t="s">
        <v>67</v>
      </c>
    </row>
    <row r="1348" spans="1:21" x14ac:dyDescent="0.35">
      <c r="A1348" t="s">
        <v>1477</v>
      </c>
      <c r="B1348" s="5">
        <v>45814</v>
      </c>
      <c r="C1348" t="s">
        <v>264</v>
      </c>
      <c r="D1348" t="s">
        <v>85</v>
      </c>
      <c r="E1348" s="9">
        <v>2</v>
      </c>
      <c r="F1348" s="10">
        <v>20</v>
      </c>
      <c r="G1348" s="11">
        <v>0.02</v>
      </c>
      <c r="H1348" s="10">
        <v>39.200000000000003</v>
      </c>
      <c r="I1348" s="9">
        <v>0</v>
      </c>
      <c r="J1348" s="10">
        <v>0</v>
      </c>
      <c r="K1348" s="9">
        <v>2</v>
      </c>
      <c r="L1348" s="10">
        <v>39.200000000000003</v>
      </c>
      <c r="M1348" s="10">
        <v>30.26</v>
      </c>
      <c r="N1348" s="10">
        <v>8.94</v>
      </c>
      <c r="O1348" s="11">
        <f t="shared" si="76"/>
        <v>0.22806122448979588</v>
      </c>
      <c r="P1348" s="10">
        <v>4.7699999999999996</v>
      </c>
      <c r="Q1348" s="10">
        <v>4.17</v>
      </c>
      <c r="R1348" s="11">
        <f t="shared" si="77"/>
        <v>0.10637755102040815</v>
      </c>
      <c r="S1348" t="s">
        <v>59</v>
      </c>
      <c r="T1348" t="s">
        <v>66</v>
      </c>
      <c r="U1348" t="s">
        <v>67</v>
      </c>
    </row>
    <row r="1349" spans="1:21" x14ac:dyDescent="0.35">
      <c r="A1349" t="s">
        <v>1478</v>
      </c>
      <c r="B1349" s="5">
        <v>45973</v>
      </c>
      <c r="C1349" t="s">
        <v>125</v>
      </c>
      <c r="D1349" t="s">
        <v>85</v>
      </c>
      <c r="E1349" s="9">
        <v>4</v>
      </c>
      <c r="F1349" s="10">
        <v>125</v>
      </c>
      <c r="G1349" s="11">
        <v>0.02</v>
      </c>
      <c r="H1349" s="10">
        <v>490</v>
      </c>
      <c r="I1349" s="9">
        <v>0</v>
      </c>
      <c r="J1349" s="10">
        <v>0</v>
      </c>
      <c r="K1349" s="9">
        <v>4</v>
      </c>
      <c r="L1349" s="10">
        <v>490</v>
      </c>
      <c r="M1349" s="10">
        <v>326.87</v>
      </c>
      <c r="N1349" s="10">
        <v>163.13</v>
      </c>
      <c r="O1349" s="11">
        <f t="shared" si="76"/>
        <v>0.33291836734693875</v>
      </c>
      <c r="P1349" s="10">
        <v>34.4</v>
      </c>
      <c r="Q1349" s="10">
        <v>128.72999999999999</v>
      </c>
      <c r="R1349" s="11">
        <f t="shared" si="77"/>
        <v>0.26271428571428568</v>
      </c>
      <c r="S1349" t="s">
        <v>81</v>
      </c>
      <c r="T1349" t="s">
        <v>66</v>
      </c>
      <c r="U1349" t="s">
        <v>67</v>
      </c>
    </row>
    <row r="1350" spans="1:21" x14ac:dyDescent="0.35">
      <c r="A1350" t="s">
        <v>1479</v>
      </c>
      <c r="B1350" s="5">
        <v>45900</v>
      </c>
      <c r="C1350" t="s">
        <v>109</v>
      </c>
      <c r="D1350" t="s">
        <v>85</v>
      </c>
      <c r="E1350" s="9">
        <v>3</v>
      </c>
      <c r="F1350" s="10">
        <v>180</v>
      </c>
      <c r="G1350" s="11">
        <v>0.1</v>
      </c>
      <c r="H1350" s="10">
        <v>486</v>
      </c>
      <c r="I1350" s="9">
        <v>0</v>
      </c>
      <c r="J1350" s="10">
        <v>0</v>
      </c>
      <c r="K1350" s="9">
        <v>3</v>
      </c>
      <c r="L1350" s="10">
        <v>486</v>
      </c>
      <c r="M1350" s="10">
        <v>370.74</v>
      </c>
      <c r="N1350" s="10">
        <v>115.26</v>
      </c>
      <c r="O1350" s="11">
        <f t="shared" si="76"/>
        <v>0.23716049382716051</v>
      </c>
      <c r="P1350" s="10">
        <v>26.78</v>
      </c>
      <c r="Q1350" s="10">
        <v>88.48</v>
      </c>
      <c r="R1350" s="11">
        <f t="shared" si="77"/>
        <v>0.18205761316872429</v>
      </c>
      <c r="S1350" t="s">
        <v>65</v>
      </c>
      <c r="T1350" t="s">
        <v>86</v>
      </c>
      <c r="U1350" t="s">
        <v>71</v>
      </c>
    </row>
    <row r="1351" spans="1:21" x14ac:dyDescent="0.35">
      <c r="A1351" t="s">
        <v>1480</v>
      </c>
      <c r="B1351" s="5">
        <v>45860</v>
      </c>
      <c r="C1351" t="s">
        <v>95</v>
      </c>
      <c r="D1351" t="s">
        <v>64</v>
      </c>
      <c r="E1351" s="9">
        <v>3</v>
      </c>
      <c r="F1351" s="10">
        <v>52</v>
      </c>
      <c r="G1351" s="11">
        <v>0.02</v>
      </c>
      <c r="H1351" s="10">
        <v>152.88</v>
      </c>
      <c r="I1351" s="9">
        <v>0</v>
      </c>
      <c r="J1351" s="10">
        <v>0</v>
      </c>
      <c r="K1351" s="9">
        <v>3</v>
      </c>
      <c r="L1351" s="10">
        <v>152.88</v>
      </c>
      <c r="M1351" s="10">
        <v>122.58</v>
      </c>
      <c r="N1351" s="10">
        <v>30.3</v>
      </c>
      <c r="O1351" s="11">
        <f t="shared" si="76"/>
        <v>0.19819466248037679</v>
      </c>
      <c r="P1351" s="10">
        <v>17.829999999999998</v>
      </c>
      <c r="Q1351" s="10">
        <v>12.47</v>
      </c>
      <c r="R1351" s="11">
        <f t="shared" si="77"/>
        <v>8.1567242281528007E-2</v>
      </c>
      <c r="S1351" t="s">
        <v>65</v>
      </c>
      <c r="T1351" t="s">
        <v>60</v>
      </c>
      <c r="U1351" t="s">
        <v>76</v>
      </c>
    </row>
    <row r="1352" spans="1:21" x14ac:dyDescent="0.35">
      <c r="A1352" t="s">
        <v>1481</v>
      </c>
      <c r="B1352" s="5">
        <v>45677</v>
      </c>
      <c r="C1352" t="s">
        <v>90</v>
      </c>
      <c r="D1352" t="s">
        <v>70</v>
      </c>
      <c r="E1352" s="9">
        <v>4</v>
      </c>
      <c r="F1352" s="10">
        <v>38</v>
      </c>
      <c r="G1352" s="11">
        <v>0.05</v>
      </c>
      <c r="H1352" s="10">
        <v>144.4</v>
      </c>
      <c r="I1352" s="9">
        <v>0</v>
      </c>
      <c r="J1352" s="10">
        <v>0</v>
      </c>
      <c r="K1352" s="9">
        <v>4</v>
      </c>
      <c r="L1352" s="10">
        <v>144.4</v>
      </c>
      <c r="M1352" s="10">
        <v>112.63</v>
      </c>
      <c r="N1352" s="10">
        <v>31.77</v>
      </c>
      <c r="O1352" s="11">
        <f t="shared" si="76"/>
        <v>0.22001385041551244</v>
      </c>
      <c r="P1352" s="10">
        <v>11.93</v>
      </c>
      <c r="Q1352" s="10">
        <v>19.84</v>
      </c>
      <c r="R1352" s="11">
        <f t="shared" si="77"/>
        <v>0.13739612188365649</v>
      </c>
      <c r="S1352" t="s">
        <v>81</v>
      </c>
      <c r="T1352" t="s">
        <v>66</v>
      </c>
      <c r="U1352" t="s">
        <v>61</v>
      </c>
    </row>
    <row r="1353" spans="1:21" x14ac:dyDescent="0.35">
      <c r="A1353" t="s">
        <v>1482</v>
      </c>
      <c r="B1353" s="5">
        <v>45784</v>
      </c>
      <c r="C1353" t="s">
        <v>109</v>
      </c>
      <c r="D1353" t="s">
        <v>85</v>
      </c>
      <c r="E1353" s="9">
        <v>3</v>
      </c>
      <c r="F1353" s="10">
        <v>180</v>
      </c>
      <c r="G1353" s="11">
        <v>0</v>
      </c>
      <c r="H1353" s="10">
        <v>540</v>
      </c>
      <c r="I1353" s="9">
        <v>0</v>
      </c>
      <c r="J1353" s="10">
        <v>0</v>
      </c>
      <c r="K1353" s="9">
        <v>3</v>
      </c>
      <c r="L1353" s="10">
        <v>540</v>
      </c>
      <c r="M1353" s="10">
        <v>358.68</v>
      </c>
      <c r="N1353" s="10">
        <v>181.32</v>
      </c>
      <c r="O1353" s="11">
        <f t="shared" si="76"/>
        <v>0.33577777777777779</v>
      </c>
      <c r="P1353" s="10">
        <v>68.87</v>
      </c>
      <c r="Q1353" s="10">
        <v>112.45</v>
      </c>
      <c r="R1353" s="11">
        <f t="shared" si="77"/>
        <v>0.20824074074074075</v>
      </c>
      <c r="S1353" t="s">
        <v>75</v>
      </c>
      <c r="T1353" t="s">
        <v>60</v>
      </c>
      <c r="U1353" t="s">
        <v>76</v>
      </c>
    </row>
    <row r="1354" spans="1:21" x14ac:dyDescent="0.35">
      <c r="A1354" t="s">
        <v>1483</v>
      </c>
      <c r="B1354" s="5">
        <v>45870</v>
      </c>
      <c r="C1354" t="s">
        <v>125</v>
      </c>
      <c r="D1354" t="s">
        <v>85</v>
      </c>
      <c r="E1354" s="9">
        <v>2</v>
      </c>
      <c r="F1354" s="10">
        <v>125</v>
      </c>
      <c r="G1354" s="11">
        <v>0</v>
      </c>
      <c r="H1354" s="10">
        <v>250</v>
      </c>
      <c r="I1354" s="9">
        <v>0</v>
      </c>
      <c r="J1354" s="10">
        <v>0</v>
      </c>
      <c r="K1354" s="9">
        <v>2</v>
      </c>
      <c r="L1354" s="10">
        <v>250</v>
      </c>
      <c r="M1354" s="10">
        <v>212.98</v>
      </c>
      <c r="N1354" s="10">
        <v>37.020000000000003</v>
      </c>
      <c r="O1354" s="11">
        <f t="shared" si="76"/>
        <v>0.14808000000000002</v>
      </c>
      <c r="P1354" s="10">
        <v>30.3</v>
      </c>
      <c r="Q1354" s="10">
        <v>6.72</v>
      </c>
      <c r="R1354" s="11">
        <f t="shared" si="77"/>
        <v>2.6879999999999998E-2</v>
      </c>
      <c r="S1354" t="s">
        <v>59</v>
      </c>
      <c r="T1354" t="s">
        <v>86</v>
      </c>
      <c r="U1354" t="s">
        <v>61</v>
      </c>
    </row>
    <row r="1355" spans="1:21" x14ac:dyDescent="0.35">
      <c r="A1355" t="s">
        <v>1484</v>
      </c>
      <c r="B1355" s="5">
        <v>45737</v>
      </c>
      <c r="C1355" t="s">
        <v>100</v>
      </c>
      <c r="D1355" t="s">
        <v>64</v>
      </c>
      <c r="E1355" s="9">
        <v>2</v>
      </c>
      <c r="F1355" s="10">
        <v>310</v>
      </c>
      <c r="G1355" s="11">
        <v>0.05</v>
      </c>
      <c r="H1355" s="10">
        <v>589</v>
      </c>
      <c r="I1355" s="9">
        <v>0</v>
      </c>
      <c r="J1355" s="10">
        <v>0</v>
      </c>
      <c r="K1355" s="9">
        <v>2</v>
      </c>
      <c r="L1355" s="10">
        <v>589</v>
      </c>
      <c r="M1355" s="10">
        <v>439.07</v>
      </c>
      <c r="N1355" s="10">
        <v>149.93</v>
      </c>
      <c r="O1355" s="11">
        <f t="shared" si="76"/>
        <v>0.25455008488964348</v>
      </c>
      <c r="P1355" s="10">
        <v>34.03</v>
      </c>
      <c r="Q1355" s="10">
        <v>115.9</v>
      </c>
      <c r="R1355" s="11">
        <f t="shared" si="77"/>
        <v>0.1967741935483871</v>
      </c>
      <c r="S1355" t="s">
        <v>59</v>
      </c>
      <c r="T1355" t="s">
        <v>60</v>
      </c>
      <c r="U1355" t="s">
        <v>71</v>
      </c>
    </row>
    <row r="1356" spans="1:21" x14ac:dyDescent="0.35">
      <c r="A1356" t="s">
        <v>1485</v>
      </c>
      <c r="B1356" s="5">
        <v>45889</v>
      </c>
      <c r="C1356" t="s">
        <v>78</v>
      </c>
      <c r="D1356" t="s">
        <v>79</v>
      </c>
      <c r="E1356" s="9">
        <v>8</v>
      </c>
      <c r="F1356" s="10">
        <v>120</v>
      </c>
      <c r="G1356" s="11">
        <v>0</v>
      </c>
      <c r="H1356" s="10">
        <v>960</v>
      </c>
      <c r="I1356" s="9">
        <v>0</v>
      </c>
      <c r="J1356" s="10">
        <v>0</v>
      </c>
      <c r="K1356" s="9">
        <v>8</v>
      </c>
      <c r="L1356" s="10">
        <v>960</v>
      </c>
      <c r="M1356" s="10">
        <v>710.62</v>
      </c>
      <c r="N1356" s="10">
        <v>249.38</v>
      </c>
      <c r="O1356" s="11">
        <f t="shared" si="76"/>
        <v>0.25977083333333334</v>
      </c>
      <c r="P1356" s="10">
        <v>96.07</v>
      </c>
      <c r="Q1356" s="10">
        <v>153.31</v>
      </c>
      <c r="R1356" s="11">
        <f t="shared" si="77"/>
        <v>0.15969791666666666</v>
      </c>
      <c r="S1356" t="s">
        <v>75</v>
      </c>
      <c r="T1356" t="s">
        <v>86</v>
      </c>
      <c r="U1356" t="s">
        <v>67</v>
      </c>
    </row>
    <row r="1357" spans="1:21" x14ac:dyDescent="0.35">
      <c r="A1357" t="s">
        <v>1486</v>
      </c>
      <c r="B1357" s="5">
        <v>45969</v>
      </c>
      <c r="C1357" t="s">
        <v>264</v>
      </c>
      <c r="D1357" t="s">
        <v>85</v>
      </c>
      <c r="E1357" s="9">
        <v>1</v>
      </c>
      <c r="F1357" s="10">
        <v>20</v>
      </c>
      <c r="G1357" s="11">
        <v>0.05</v>
      </c>
      <c r="H1357" s="10">
        <v>19</v>
      </c>
      <c r="I1357" s="9">
        <v>0</v>
      </c>
      <c r="J1357" s="10">
        <v>0</v>
      </c>
      <c r="K1357" s="9">
        <v>1</v>
      </c>
      <c r="L1357" s="10">
        <v>19</v>
      </c>
      <c r="M1357" s="10">
        <v>14.11</v>
      </c>
      <c r="N1357" s="10">
        <v>4.8899999999999997</v>
      </c>
      <c r="O1357" s="11">
        <f t="shared" si="76"/>
        <v>0.25736842105263158</v>
      </c>
      <c r="P1357" s="10">
        <v>1.58</v>
      </c>
      <c r="Q1357" s="10">
        <v>3.31</v>
      </c>
      <c r="R1357" s="11">
        <f t="shared" si="77"/>
        <v>0.17421052631578948</v>
      </c>
      <c r="S1357" t="s">
        <v>75</v>
      </c>
      <c r="T1357" t="s">
        <v>86</v>
      </c>
      <c r="U1357" t="s">
        <v>67</v>
      </c>
    </row>
    <row r="1358" spans="1:21" x14ac:dyDescent="0.35">
      <c r="A1358" t="s">
        <v>1487</v>
      </c>
      <c r="B1358" s="5">
        <v>45713</v>
      </c>
      <c r="C1358" t="s">
        <v>107</v>
      </c>
      <c r="D1358" t="s">
        <v>74</v>
      </c>
      <c r="E1358" s="9">
        <v>2</v>
      </c>
      <c r="F1358" s="10">
        <v>125</v>
      </c>
      <c r="G1358" s="11">
        <v>0.05</v>
      </c>
      <c r="H1358" s="10">
        <v>237.5</v>
      </c>
      <c r="I1358" s="9">
        <v>0</v>
      </c>
      <c r="J1358" s="10">
        <v>0</v>
      </c>
      <c r="K1358" s="9">
        <v>2</v>
      </c>
      <c r="L1358" s="10">
        <v>237.5</v>
      </c>
      <c r="M1358" s="10">
        <v>158.44</v>
      </c>
      <c r="N1358" s="10">
        <v>79.06</v>
      </c>
      <c r="O1358" s="11">
        <f t="shared" si="76"/>
        <v>0.33288421052631578</v>
      </c>
      <c r="P1358" s="10">
        <v>24.14</v>
      </c>
      <c r="Q1358" s="10">
        <v>54.92</v>
      </c>
      <c r="R1358" s="11">
        <f t="shared" si="77"/>
        <v>0.23124210526315792</v>
      </c>
      <c r="S1358" t="s">
        <v>65</v>
      </c>
      <c r="T1358" t="s">
        <v>82</v>
      </c>
      <c r="U1358" t="s">
        <v>71</v>
      </c>
    </row>
    <row r="1359" spans="1:21" x14ac:dyDescent="0.35">
      <c r="A1359" t="s">
        <v>1488</v>
      </c>
      <c r="B1359" s="5">
        <v>45740</v>
      </c>
      <c r="C1359" t="s">
        <v>78</v>
      </c>
      <c r="D1359" t="s">
        <v>79</v>
      </c>
      <c r="E1359" s="9">
        <v>4</v>
      </c>
      <c r="F1359" s="10">
        <v>120</v>
      </c>
      <c r="G1359" s="11">
        <v>0.02</v>
      </c>
      <c r="H1359" s="10">
        <v>470.4</v>
      </c>
      <c r="I1359" s="9">
        <v>0</v>
      </c>
      <c r="J1359" s="10">
        <v>0</v>
      </c>
      <c r="K1359" s="9">
        <v>4</v>
      </c>
      <c r="L1359" s="10">
        <v>470.4</v>
      </c>
      <c r="M1359" s="10">
        <v>323.36</v>
      </c>
      <c r="N1359" s="10">
        <v>147.04</v>
      </c>
      <c r="O1359" s="11">
        <f t="shared" si="76"/>
        <v>0.31258503401360543</v>
      </c>
      <c r="P1359" s="10">
        <v>34.96</v>
      </c>
      <c r="Q1359" s="10">
        <v>112.08</v>
      </c>
      <c r="R1359" s="11">
        <f t="shared" si="77"/>
        <v>0.23826530612244898</v>
      </c>
      <c r="S1359" t="s">
        <v>75</v>
      </c>
      <c r="T1359" t="s">
        <v>86</v>
      </c>
      <c r="U1359" t="s">
        <v>76</v>
      </c>
    </row>
    <row r="1360" spans="1:21" x14ac:dyDescent="0.35">
      <c r="A1360" t="s">
        <v>1489</v>
      </c>
      <c r="B1360" s="5">
        <v>45805</v>
      </c>
      <c r="C1360" t="s">
        <v>109</v>
      </c>
      <c r="D1360" t="s">
        <v>85</v>
      </c>
      <c r="E1360" s="9">
        <v>8</v>
      </c>
      <c r="F1360" s="10">
        <v>180</v>
      </c>
      <c r="G1360" s="11">
        <v>0</v>
      </c>
      <c r="H1360" s="10">
        <v>1440</v>
      </c>
      <c r="I1360" s="9">
        <v>0</v>
      </c>
      <c r="J1360" s="10">
        <v>0</v>
      </c>
      <c r="K1360" s="9">
        <v>8</v>
      </c>
      <c r="L1360" s="10">
        <v>1440</v>
      </c>
      <c r="M1360" s="10">
        <v>1043.43</v>
      </c>
      <c r="N1360" s="10">
        <v>396.57</v>
      </c>
      <c r="O1360" s="11">
        <f t="shared" ref="O1360:O1391" si="78">N1360/L1360</f>
        <v>0.27539583333333334</v>
      </c>
      <c r="P1360" s="10">
        <v>118.67</v>
      </c>
      <c r="Q1360" s="10">
        <v>277.89999999999998</v>
      </c>
      <c r="R1360" s="11">
        <f t="shared" ref="R1360:R1391" si="79">Q1360/L1360</f>
        <v>0.19298611111111111</v>
      </c>
      <c r="S1360" t="s">
        <v>65</v>
      </c>
      <c r="T1360" t="s">
        <v>60</v>
      </c>
      <c r="U1360" t="s">
        <v>61</v>
      </c>
    </row>
    <row r="1361" spans="1:21" x14ac:dyDescent="0.35">
      <c r="A1361" t="s">
        <v>1490</v>
      </c>
      <c r="B1361" s="5">
        <v>45815</v>
      </c>
      <c r="C1361" t="s">
        <v>92</v>
      </c>
      <c r="D1361" t="s">
        <v>79</v>
      </c>
      <c r="E1361" s="9">
        <v>1</v>
      </c>
      <c r="F1361" s="10">
        <v>85</v>
      </c>
      <c r="G1361" s="11">
        <v>0</v>
      </c>
      <c r="H1361" s="10">
        <v>85</v>
      </c>
      <c r="I1361" s="9">
        <v>0</v>
      </c>
      <c r="J1361" s="10">
        <v>0</v>
      </c>
      <c r="K1361" s="9">
        <v>1</v>
      </c>
      <c r="L1361" s="10">
        <v>85</v>
      </c>
      <c r="M1361" s="10">
        <v>69.41</v>
      </c>
      <c r="N1361" s="10">
        <v>15.59</v>
      </c>
      <c r="O1361" s="11">
        <f t="shared" si="78"/>
        <v>0.18341176470588236</v>
      </c>
      <c r="P1361" s="10">
        <v>10.07</v>
      </c>
      <c r="Q1361" s="10">
        <v>5.52</v>
      </c>
      <c r="R1361" s="11">
        <f t="shared" si="79"/>
        <v>6.4941176470588224E-2</v>
      </c>
      <c r="S1361" t="s">
        <v>81</v>
      </c>
      <c r="T1361" t="s">
        <v>82</v>
      </c>
      <c r="U1361" t="s">
        <v>76</v>
      </c>
    </row>
    <row r="1362" spans="1:21" x14ac:dyDescent="0.35">
      <c r="A1362" t="s">
        <v>1491</v>
      </c>
      <c r="B1362" s="5">
        <v>45873</v>
      </c>
      <c r="C1362" t="s">
        <v>117</v>
      </c>
      <c r="D1362" t="s">
        <v>74</v>
      </c>
      <c r="E1362" s="9">
        <v>3</v>
      </c>
      <c r="F1362" s="10">
        <v>95</v>
      </c>
      <c r="G1362" s="11">
        <v>0</v>
      </c>
      <c r="H1362" s="10">
        <v>285</v>
      </c>
      <c r="I1362" s="9">
        <v>0</v>
      </c>
      <c r="J1362" s="10">
        <v>0</v>
      </c>
      <c r="K1362" s="9">
        <v>3</v>
      </c>
      <c r="L1362" s="10">
        <v>285</v>
      </c>
      <c r="M1362" s="10">
        <v>210.53</v>
      </c>
      <c r="N1362" s="10">
        <v>74.47</v>
      </c>
      <c r="O1362" s="11">
        <f t="shared" si="78"/>
        <v>0.26129824561403509</v>
      </c>
      <c r="P1362" s="10">
        <v>36.04</v>
      </c>
      <c r="Q1362" s="10">
        <v>38.43</v>
      </c>
      <c r="R1362" s="11">
        <f t="shared" si="79"/>
        <v>0.1348421052631579</v>
      </c>
      <c r="S1362" t="s">
        <v>59</v>
      </c>
      <c r="T1362" t="s">
        <v>66</v>
      </c>
      <c r="U1362" t="s">
        <v>71</v>
      </c>
    </row>
    <row r="1363" spans="1:21" x14ac:dyDescent="0.35">
      <c r="A1363" t="s">
        <v>1492</v>
      </c>
      <c r="B1363" s="5">
        <v>46014</v>
      </c>
      <c r="C1363" t="s">
        <v>104</v>
      </c>
      <c r="D1363" t="s">
        <v>105</v>
      </c>
      <c r="E1363" s="9">
        <v>4</v>
      </c>
      <c r="F1363" s="10">
        <v>65</v>
      </c>
      <c r="G1363" s="11">
        <v>0.02</v>
      </c>
      <c r="H1363" s="10">
        <v>254.8</v>
      </c>
      <c r="I1363" s="9">
        <v>0</v>
      </c>
      <c r="J1363" s="10">
        <v>0</v>
      </c>
      <c r="K1363" s="9">
        <v>4</v>
      </c>
      <c r="L1363" s="10">
        <v>254.8</v>
      </c>
      <c r="M1363" s="10">
        <v>183.16</v>
      </c>
      <c r="N1363" s="10">
        <v>71.64</v>
      </c>
      <c r="O1363" s="11">
        <f t="shared" si="78"/>
        <v>0.28116169544740971</v>
      </c>
      <c r="P1363" s="10">
        <v>21.19</v>
      </c>
      <c r="Q1363" s="10">
        <v>50.45</v>
      </c>
      <c r="R1363" s="11">
        <f t="shared" si="79"/>
        <v>0.19799843014128729</v>
      </c>
      <c r="S1363" t="s">
        <v>75</v>
      </c>
      <c r="T1363" t="s">
        <v>60</v>
      </c>
      <c r="U1363" t="s">
        <v>76</v>
      </c>
    </row>
    <row r="1364" spans="1:21" x14ac:dyDescent="0.35">
      <c r="A1364" t="s">
        <v>1493</v>
      </c>
      <c r="B1364" s="5">
        <v>45893</v>
      </c>
      <c r="C1364" t="s">
        <v>264</v>
      </c>
      <c r="D1364" t="s">
        <v>85</v>
      </c>
      <c r="E1364" s="9">
        <v>2</v>
      </c>
      <c r="F1364" s="10">
        <v>20</v>
      </c>
      <c r="G1364" s="11">
        <v>0.05</v>
      </c>
      <c r="H1364" s="10">
        <v>38</v>
      </c>
      <c r="I1364" s="9">
        <v>0</v>
      </c>
      <c r="J1364" s="10">
        <v>0</v>
      </c>
      <c r="K1364" s="9">
        <v>2</v>
      </c>
      <c r="L1364" s="10">
        <v>38</v>
      </c>
      <c r="M1364" s="10">
        <v>26.24</v>
      </c>
      <c r="N1364" s="10">
        <v>11.76</v>
      </c>
      <c r="O1364" s="11">
        <f t="shared" si="78"/>
        <v>0.30947368421052629</v>
      </c>
      <c r="P1364" s="10">
        <v>3.78</v>
      </c>
      <c r="Q1364" s="10">
        <v>7.98</v>
      </c>
      <c r="R1364" s="11">
        <f t="shared" si="79"/>
        <v>0.21000000000000002</v>
      </c>
      <c r="S1364" t="s">
        <v>81</v>
      </c>
      <c r="T1364" t="s">
        <v>82</v>
      </c>
      <c r="U1364" t="s">
        <v>76</v>
      </c>
    </row>
    <row r="1365" spans="1:21" x14ac:dyDescent="0.35">
      <c r="A1365" t="s">
        <v>1494</v>
      </c>
      <c r="B1365" s="5">
        <v>45990</v>
      </c>
      <c r="C1365" t="s">
        <v>78</v>
      </c>
      <c r="D1365" t="s">
        <v>79</v>
      </c>
      <c r="E1365" s="9">
        <v>4</v>
      </c>
      <c r="F1365" s="10">
        <v>120</v>
      </c>
      <c r="G1365" s="11">
        <v>0</v>
      </c>
      <c r="H1365" s="10">
        <v>480</v>
      </c>
      <c r="I1365" s="9">
        <v>0</v>
      </c>
      <c r="J1365" s="10">
        <v>0</v>
      </c>
      <c r="K1365" s="9">
        <v>4</v>
      </c>
      <c r="L1365" s="10">
        <v>480</v>
      </c>
      <c r="M1365" s="10">
        <v>409.46</v>
      </c>
      <c r="N1365" s="10">
        <v>70.540000000000006</v>
      </c>
      <c r="O1365" s="11">
        <f t="shared" si="78"/>
        <v>0.14695833333333336</v>
      </c>
      <c r="P1365" s="10">
        <v>24.39</v>
      </c>
      <c r="Q1365" s="10">
        <v>46.15</v>
      </c>
      <c r="R1365" s="11">
        <f t="shared" si="79"/>
        <v>9.6145833333333333E-2</v>
      </c>
      <c r="S1365" t="s">
        <v>65</v>
      </c>
      <c r="T1365" t="s">
        <v>66</v>
      </c>
      <c r="U1365" t="s">
        <v>71</v>
      </c>
    </row>
    <row r="1366" spans="1:21" x14ac:dyDescent="0.35">
      <c r="A1366" t="s">
        <v>1495</v>
      </c>
      <c r="B1366" s="5">
        <v>45852</v>
      </c>
      <c r="C1366" t="s">
        <v>95</v>
      </c>
      <c r="D1366" t="s">
        <v>64</v>
      </c>
      <c r="E1366" s="9">
        <v>8</v>
      </c>
      <c r="F1366" s="10">
        <v>52</v>
      </c>
      <c r="G1366" s="11">
        <v>0.05</v>
      </c>
      <c r="H1366" s="10">
        <v>395.2</v>
      </c>
      <c r="I1366" s="9">
        <v>0</v>
      </c>
      <c r="J1366" s="10">
        <v>0</v>
      </c>
      <c r="K1366" s="9">
        <v>8</v>
      </c>
      <c r="L1366" s="10">
        <v>395.2</v>
      </c>
      <c r="M1366" s="10">
        <v>266.85000000000002</v>
      </c>
      <c r="N1366" s="10">
        <v>128.35</v>
      </c>
      <c r="O1366" s="11">
        <f t="shared" si="78"/>
        <v>0.32477226720647773</v>
      </c>
      <c r="P1366" s="10">
        <v>20.77</v>
      </c>
      <c r="Q1366" s="10">
        <v>107.58</v>
      </c>
      <c r="R1366" s="11">
        <f t="shared" si="79"/>
        <v>0.2722165991902834</v>
      </c>
      <c r="S1366" t="s">
        <v>65</v>
      </c>
      <c r="T1366" t="s">
        <v>86</v>
      </c>
      <c r="U1366" t="s">
        <v>76</v>
      </c>
    </row>
    <row r="1367" spans="1:21" x14ac:dyDescent="0.35">
      <c r="A1367" t="s">
        <v>1496</v>
      </c>
      <c r="B1367" s="5">
        <v>45966</v>
      </c>
      <c r="C1367" t="s">
        <v>56</v>
      </c>
      <c r="D1367" t="s">
        <v>57</v>
      </c>
      <c r="E1367" s="9">
        <v>1</v>
      </c>
      <c r="F1367" s="10">
        <v>40</v>
      </c>
      <c r="G1367" s="11">
        <v>0.02</v>
      </c>
      <c r="H1367" s="10">
        <v>39.200000000000003</v>
      </c>
      <c r="I1367" s="9">
        <v>0</v>
      </c>
      <c r="J1367" s="10">
        <v>0</v>
      </c>
      <c r="K1367" s="9">
        <v>1</v>
      </c>
      <c r="L1367" s="10">
        <v>39.200000000000003</v>
      </c>
      <c r="M1367" s="10">
        <v>32.380000000000003</v>
      </c>
      <c r="N1367" s="10">
        <v>6.82</v>
      </c>
      <c r="O1367" s="11">
        <f t="shared" si="78"/>
        <v>0.1739795918367347</v>
      </c>
      <c r="P1367" s="10">
        <v>1.97</v>
      </c>
      <c r="Q1367" s="10">
        <v>4.8499999999999996</v>
      </c>
      <c r="R1367" s="11">
        <f t="shared" si="79"/>
        <v>0.12372448979591835</v>
      </c>
      <c r="S1367" t="s">
        <v>81</v>
      </c>
      <c r="T1367" t="s">
        <v>66</v>
      </c>
      <c r="U1367" t="s">
        <v>76</v>
      </c>
    </row>
    <row r="1368" spans="1:21" x14ac:dyDescent="0.35">
      <c r="A1368" t="s">
        <v>1497</v>
      </c>
      <c r="B1368" s="5">
        <v>45892</v>
      </c>
      <c r="C1368" t="s">
        <v>78</v>
      </c>
      <c r="D1368" t="s">
        <v>79</v>
      </c>
      <c r="E1368" s="9">
        <v>6</v>
      </c>
      <c r="F1368" s="10">
        <v>120</v>
      </c>
      <c r="G1368" s="11">
        <v>0.1</v>
      </c>
      <c r="H1368" s="10">
        <v>648</v>
      </c>
      <c r="I1368" s="9">
        <v>0</v>
      </c>
      <c r="J1368" s="10">
        <v>0</v>
      </c>
      <c r="K1368" s="9">
        <v>6</v>
      </c>
      <c r="L1368" s="10">
        <v>648</v>
      </c>
      <c r="M1368" s="10">
        <v>530.17999999999995</v>
      </c>
      <c r="N1368" s="10">
        <v>117.82</v>
      </c>
      <c r="O1368" s="11">
        <f t="shared" si="78"/>
        <v>0.18182098765432098</v>
      </c>
      <c r="P1368" s="10">
        <v>79.36</v>
      </c>
      <c r="Q1368" s="10">
        <v>38.46</v>
      </c>
      <c r="R1368" s="11">
        <f t="shared" si="79"/>
        <v>5.935185185185185E-2</v>
      </c>
      <c r="S1368" t="s">
        <v>59</v>
      </c>
      <c r="T1368" t="s">
        <v>60</v>
      </c>
      <c r="U1368" t="s">
        <v>61</v>
      </c>
    </row>
    <row r="1369" spans="1:21" x14ac:dyDescent="0.35">
      <c r="A1369" t="s">
        <v>1498</v>
      </c>
      <c r="B1369" s="5">
        <v>45885</v>
      </c>
      <c r="C1369" t="s">
        <v>104</v>
      </c>
      <c r="D1369" t="s">
        <v>105</v>
      </c>
      <c r="E1369" s="9">
        <v>1</v>
      </c>
      <c r="F1369" s="10">
        <v>65</v>
      </c>
      <c r="G1369" s="11">
        <v>0.1</v>
      </c>
      <c r="H1369" s="10">
        <v>58.5</v>
      </c>
      <c r="I1369" s="9">
        <v>0</v>
      </c>
      <c r="J1369" s="10">
        <v>0</v>
      </c>
      <c r="K1369" s="9">
        <v>1</v>
      </c>
      <c r="L1369" s="10">
        <v>58.5</v>
      </c>
      <c r="M1369" s="10">
        <v>48.33</v>
      </c>
      <c r="N1369" s="10">
        <v>10.17</v>
      </c>
      <c r="O1369" s="11">
        <f t="shared" si="78"/>
        <v>0.17384615384615384</v>
      </c>
      <c r="P1369" s="10">
        <v>6.21</v>
      </c>
      <c r="Q1369" s="10">
        <v>3.96</v>
      </c>
      <c r="R1369" s="11">
        <f t="shared" si="79"/>
        <v>6.7692307692307691E-2</v>
      </c>
      <c r="S1369" t="s">
        <v>81</v>
      </c>
      <c r="T1369" t="s">
        <v>82</v>
      </c>
      <c r="U1369" t="s">
        <v>67</v>
      </c>
    </row>
    <row r="1370" spans="1:21" x14ac:dyDescent="0.35">
      <c r="A1370" t="s">
        <v>1499</v>
      </c>
      <c r="B1370" s="5">
        <v>45835</v>
      </c>
      <c r="C1370" t="s">
        <v>92</v>
      </c>
      <c r="D1370" t="s">
        <v>79</v>
      </c>
      <c r="E1370" s="9">
        <v>4</v>
      </c>
      <c r="F1370" s="10">
        <v>85</v>
      </c>
      <c r="G1370" s="11">
        <v>0.1</v>
      </c>
      <c r="H1370" s="10">
        <v>306</v>
      </c>
      <c r="I1370" s="9">
        <v>0</v>
      </c>
      <c r="J1370" s="10">
        <v>0</v>
      </c>
      <c r="K1370" s="9">
        <v>4</v>
      </c>
      <c r="L1370" s="10">
        <v>306</v>
      </c>
      <c r="M1370" s="10">
        <v>257.74</v>
      </c>
      <c r="N1370" s="10">
        <v>48.26</v>
      </c>
      <c r="O1370" s="11">
        <f t="shared" si="78"/>
        <v>0.15771241830065358</v>
      </c>
      <c r="P1370" s="10">
        <v>19.55</v>
      </c>
      <c r="Q1370" s="10">
        <v>28.71</v>
      </c>
      <c r="R1370" s="11">
        <f t="shared" si="79"/>
        <v>9.3823529411764708E-2</v>
      </c>
      <c r="S1370" t="s">
        <v>81</v>
      </c>
      <c r="T1370" t="s">
        <v>82</v>
      </c>
      <c r="U1370" t="s">
        <v>76</v>
      </c>
    </row>
    <row r="1371" spans="1:21" x14ac:dyDescent="0.35">
      <c r="A1371" t="s">
        <v>1500</v>
      </c>
      <c r="B1371" s="5">
        <v>45779</v>
      </c>
      <c r="C1371" t="s">
        <v>84</v>
      </c>
      <c r="D1371" t="s">
        <v>85</v>
      </c>
      <c r="E1371" s="9">
        <v>1</v>
      </c>
      <c r="F1371" s="10">
        <v>48</v>
      </c>
      <c r="G1371" s="11">
        <v>0</v>
      </c>
      <c r="H1371" s="10">
        <v>48</v>
      </c>
      <c r="I1371" s="9">
        <v>0</v>
      </c>
      <c r="J1371" s="10">
        <v>0</v>
      </c>
      <c r="K1371" s="9">
        <v>1</v>
      </c>
      <c r="L1371" s="10">
        <v>48</v>
      </c>
      <c r="M1371" s="10">
        <v>34.5</v>
      </c>
      <c r="N1371" s="10">
        <v>13.5</v>
      </c>
      <c r="O1371" s="11">
        <f t="shared" si="78"/>
        <v>0.28125</v>
      </c>
      <c r="P1371" s="10">
        <v>5.94</v>
      </c>
      <c r="Q1371" s="10">
        <v>7.56</v>
      </c>
      <c r="R1371" s="11">
        <f t="shared" si="79"/>
        <v>0.1575</v>
      </c>
      <c r="S1371" t="s">
        <v>65</v>
      </c>
      <c r="T1371" t="s">
        <v>82</v>
      </c>
      <c r="U1371" t="s">
        <v>71</v>
      </c>
    </row>
    <row r="1372" spans="1:21" x14ac:dyDescent="0.35">
      <c r="A1372" t="s">
        <v>1501</v>
      </c>
      <c r="B1372" s="5">
        <v>45989</v>
      </c>
      <c r="C1372" t="s">
        <v>104</v>
      </c>
      <c r="D1372" t="s">
        <v>105</v>
      </c>
      <c r="E1372" s="9">
        <v>2</v>
      </c>
      <c r="F1372" s="10">
        <v>65</v>
      </c>
      <c r="G1372" s="11">
        <v>0.05</v>
      </c>
      <c r="H1372" s="10">
        <v>123.5</v>
      </c>
      <c r="I1372" s="9">
        <v>0</v>
      </c>
      <c r="J1372" s="10">
        <v>0</v>
      </c>
      <c r="K1372" s="9">
        <v>2</v>
      </c>
      <c r="L1372" s="10">
        <v>123.5</v>
      </c>
      <c r="M1372" s="10">
        <v>84.06</v>
      </c>
      <c r="N1372" s="10">
        <v>39.44</v>
      </c>
      <c r="O1372" s="11">
        <f t="shared" si="78"/>
        <v>0.31935222672064778</v>
      </c>
      <c r="P1372" s="10">
        <v>11.72</v>
      </c>
      <c r="Q1372" s="10">
        <v>27.72</v>
      </c>
      <c r="R1372" s="11">
        <f t="shared" si="79"/>
        <v>0.22445344129554656</v>
      </c>
      <c r="S1372" t="s">
        <v>75</v>
      </c>
      <c r="T1372" t="s">
        <v>82</v>
      </c>
      <c r="U1372" t="s">
        <v>71</v>
      </c>
    </row>
    <row r="1373" spans="1:21" x14ac:dyDescent="0.35">
      <c r="A1373" t="s">
        <v>1502</v>
      </c>
      <c r="B1373" s="5">
        <v>45772</v>
      </c>
      <c r="C1373" t="s">
        <v>88</v>
      </c>
      <c r="D1373" t="s">
        <v>57</v>
      </c>
      <c r="E1373" s="9">
        <v>6</v>
      </c>
      <c r="F1373" s="10">
        <v>30</v>
      </c>
      <c r="G1373" s="11">
        <v>0</v>
      </c>
      <c r="H1373" s="10">
        <v>180</v>
      </c>
      <c r="I1373" s="9">
        <v>0</v>
      </c>
      <c r="J1373" s="10">
        <v>0</v>
      </c>
      <c r="K1373" s="9">
        <v>6</v>
      </c>
      <c r="L1373" s="10">
        <v>180</v>
      </c>
      <c r="M1373" s="10">
        <v>136.28</v>
      </c>
      <c r="N1373" s="10">
        <v>43.72</v>
      </c>
      <c r="O1373" s="11">
        <f t="shared" si="78"/>
        <v>0.24288888888888888</v>
      </c>
      <c r="P1373" s="10">
        <v>20.54</v>
      </c>
      <c r="Q1373" s="10">
        <v>23.18</v>
      </c>
      <c r="R1373" s="11">
        <f t="shared" si="79"/>
        <v>0.12877777777777777</v>
      </c>
      <c r="S1373" t="s">
        <v>59</v>
      </c>
      <c r="T1373" t="s">
        <v>86</v>
      </c>
      <c r="U1373" t="s">
        <v>67</v>
      </c>
    </row>
    <row r="1374" spans="1:21" x14ac:dyDescent="0.35">
      <c r="A1374" t="s">
        <v>1503</v>
      </c>
      <c r="B1374" s="5">
        <v>45740</v>
      </c>
      <c r="C1374" t="s">
        <v>73</v>
      </c>
      <c r="D1374" t="s">
        <v>74</v>
      </c>
      <c r="E1374" s="9">
        <v>3</v>
      </c>
      <c r="F1374" s="10">
        <v>280</v>
      </c>
      <c r="G1374" s="11">
        <v>0.1</v>
      </c>
      <c r="H1374" s="10">
        <v>756</v>
      </c>
      <c r="I1374" s="9">
        <v>0</v>
      </c>
      <c r="J1374" s="10">
        <v>0</v>
      </c>
      <c r="K1374" s="9">
        <v>3</v>
      </c>
      <c r="L1374" s="10">
        <v>756</v>
      </c>
      <c r="M1374" s="10">
        <v>533.94000000000005</v>
      </c>
      <c r="N1374" s="10">
        <v>222.06</v>
      </c>
      <c r="O1374" s="11">
        <f t="shared" si="78"/>
        <v>0.29373015873015873</v>
      </c>
      <c r="P1374" s="10">
        <v>80.05</v>
      </c>
      <c r="Q1374" s="10">
        <v>142.01</v>
      </c>
      <c r="R1374" s="11">
        <f t="shared" si="79"/>
        <v>0.18784391534391534</v>
      </c>
      <c r="S1374" t="s">
        <v>59</v>
      </c>
      <c r="T1374" t="s">
        <v>82</v>
      </c>
      <c r="U1374" t="s">
        <v>76</v>
      </c>
    </row>
    <row r="1375" spans="1:21" x14ac:dyDescent="0.35">
      <c r="A1375" t="s">
        <v>1504</v>
      </c>
      <c r="B1375" s="5">
        <v>45667</v>
      </c>
      <c r="C1375" t="s">
        <v>92</v>
      </c>
      <c r="D1375" t="s">
        <v>79</v>
      </c>
      <c r="E1375" s="9">
        <v>6</v>
      </c>
      <c r="F1375" s="10">
        <v>85</v>
      </c>
      <c r="G1375" s="11">
        <v>0</v>
      </c>
      <c r="H1375" s="10">
        <v>510</v>
      </c>
      <c r="I1375" s="9">
        <v>0</v>
      </c>
      <c r="J1375" s="10">
        <v>0</v>
      </c>
      <c r="K1375" s="9">
        <v>6</v>
      </c>
      <c r="L1375" s="10">
        <v>510</v>
      </c>
      <c r="M1375" s="10">
        <v>378.13</v>
      </c>
      <c r="N1375" s="10">
        <v>131.87</v>
      </c>
      <c r="O1375" s="11">
        <f t="shared" si="78"/>
        <v>0.25856862745098042</v>
      </c>
      <c r="P1375" s="10">
        <v>47.73</v>
      </c>
      <c r="Q1375" s="10">
        <v>84.14</v>
      </c>
      <c r="R1375" s="11">
        <f t="shared" si="79"/>
        <v>0.16498039215686275</v>
      </c>
      <c r="S1375" t="s">
        <v>59</v>
      </c>
      <c r="T1375" t="s">
        <v>60</v>
      </c>
      <c r="U1375" t="s">
        <v>76</v>
      </c>
    </row>
    <row r="1376" spans="1:21" x14ac:dyDescent="0.35">
      <c r="A1376" t="s">
        <v>1505</v>
      </c>
      <c r="B1376" s="5">
        <v>45923</v>
      </c>
      <c r="C1376" t="s">
        <v>95</v>
      </c>
      <c r="D1376" t="s">
        <v>64</v>
      </c>
      <c r="E1376" s="9">
        <v>10</v>
      </c>
      <c r="F1376" s="10">
        <v>52</v>
      </c>
      <c r="G1376" s="11">
        <v>0</v>
      </c>
      <c r="H1376" s="10">
        <v>520</v>
      </c>
      <c r="I1376" s="9">
        <v>0</v>
      </c>
      <c r="J1376" s="10">
        <v>0</v>
      </c>
      <c r="K1376" s="9">
        <v>10</v>
      </c>
      <c r="L1376" s="10">
        <v>520</v>
      </c>
      <c r="M1376" s="10">
        <v>352.44</v>
      </c>
      <c r="N1376" s="10">
        <v>167.56</v>
      </c>
      <c r="O1376" s="11">
        <f t="shared" si="78"/>
        <v>0.32223076923076921</v>
      </c>
      <c r="P1376" s="10">
        <v>42.44</v>
      </c>
      <c r="Q1376" s="10">
        <v>125.12</v>
      </c>
      <c r="R1376" s="11">
        <f t="shared" si="79"/>
        <v>0.24061538461538462</v>
      </c>
      <c r="S1376" t="s">
        <v>75</v>
      </c>
      <c r="T1376" t="s">
        <v>60</v>
      </c>
      <c r="U1376" t="s">
        <v>71</v>
      </c>
    </row>
    <row r="1377" spans="1:21" x14ac:dyDescent="0.35">
      <c r="A1377" t="s">
        <v>1506</v>
      </c>
      <c r="B1377" s="5">
        <v>45789</v>
      </c>
      <c r="C1377" t="s">
        <v>104</v>
      </c>
      <c r="D1377" t="s">
        <v>105</v>
      </c>
      <c r="E1377" s="9">
        <v>1</v>
      </c>
      <c r="F1377" s="10">
        <v>65</v>
      </c>
      <c r="G1377" s="11">
        <v>0.1</v>
      </c>
      <c r="H1377" s="10">
        <v>58.5</v>
      </c>
      <c r="I1377" s="9">
        <v>0</v>
      </c>
      <c r="J1377" s="10">
        <v>0</v>
      </c>
      <c r="K1377" s="9">
        <v>1</v>
      </c>
      <c r="L1377" s="10">
        <v>58.5</v>
      </c>
      <c r="M1377" s="10">
        <v>36.71</v>
      </c>
      <c r="N1377" s="10">
        <v>21.79</v>
      </c>
      <c r="O1377" s="11">
        <f t="shared" si="78"/>
        <v>0.37247863247863244</v>
      </c>
      <c r="P1377" s="10">
        <v>3.16</v>
      </c>
      <c r="Q1377" s="10">
        <v>18.63</v>
      </c>
      <c r="R1377" s="11">
        <f t="shared" si="79"/>
        <v>0.31846153846153846</v>
      </c>
      <c r="S1377" t="s">
        <v>65</v>
      </c>
      <c r="T1377" t="s">
        <v>66</v>
      </c>
      <c r="U1377" t="s">
        <v>61</v>
      </c>
    </row>
    <row r="1378" spans="1:21" x14ac:dyDescent="0.35">
      <c r="A1378" t="s">
        <v>1507</v>
      </c>
      <c r="B1378" s="5">
        <v>45804</v>
      </c>
      <c r="C1378" t="s">
        <v>95</v>
      </c>
      <c r="D1378" t="s">
        <v>64</v>
      </c>
      <c r="E1378" s="9">
        <v>3</v>
      </c>
      <c r="F1378" s="10">
        <v>52</v>
      </c>
      <c r="G1378" s="11">
        <v>0.02</v>
      </c>
      <c r="H1378" s="10">
        <v>152.88</v>
      </c>
      <c r="I1378" s="9">
        <v>0</v>
      </c>
      <c r="J1378" s="10">
        <v>0</v>
      </c>
      <c r="K1378" s="9">
        <v>3</v>
      </c>
      <c r="L1378" s="10">
        <v>152.88</v>
      </c>
      <c r="M1378" s="10">
        <v>100.27</v>
      </c>
      <c r="N1378" s="10">
        <v>52.61</v>
      </c>
      <c r="O1378" s="11">
        <f t="shared" si="78"/>
        <v>0.34412611198325482</v>
      </c>
      <c r="P1378" s="10">
        <v>17.809999999999999</v>
      </c>
      <c r="Q1378" s="10">
        <v>34.799999999999997</v>
      </c>
      <c r="R1378" s="11">
        <f t="shared" si="79"/>
        <v>0.22762951334379905</v>
      </c>
      <c r="S1378" t="s">
        <v>65</v>
      </c>
      <c r="T1378" t="s">
        <v>60</v>
      </c>
      <c r="U1378" t="s">
        <v>67</v>
      </c>
    </row>
    <row r="1379" spans="1:21" x14ac:dyDescent="0.35">
      <c r="A1379" t="s">
        <v>1508</v>
      </c>
      <c r="B1379" s="5">
        <v>45943</v>
      </c>
      <c r="C1379" t="s">
        <v>56</v>
      </c>
      <c r="D1379" t="s">
        <v>57</v>
      </c>
      <c r="E1379" s="9">
        <v>1</v>
      </c>
      <c r="F1379" s="10">
        <v>40</v>
      </c>
      <c r="G1379" s="11">
        <v>0</v>
      </c>
      <c r="H1379" s="10">
        <v>40</v>
      </c>
      <c r="I1379" s="9">
        <v>0</v>
      </c>
      <c r="J1379" s="10">
        <v>0</v>
      </c>
      <c r="K1379" s="9">
        <v>1</v>
      </c>
      <c r="L1379" s="10">
        <v>40</v>
      </c>
      <c r="M1379" s="10">
        <v>25.62</v>
      </c>
      <c r="N1379" s="10">
        <v>14.38</v>
      </c>
      <c r="O1379" s="11">
        <f t="shared" si="78"/>
        <v>0.35950000000000004</v>
      </c>
      <c r="P1379" s="10">
        <v>2.86</v>
      </c>
      <c r="Q1379" s="10">
        <v>11.52</v>
      </c>
      <c r="R1379" s="11">
        <f t="shared" si="79"/>
        <v>0.28799999999999998</v>
      </c>
      <c r="S1379" t="s">
        <v>65</v>
      </c>
      <c r="T1379" t="s">
        <v>86</v>
      </c>
      <c r="U1379" t="s">
        <v>61</v>
      </c>
    </row>
    <row r="1380" spans="1:21" x14ac:dyDescent="0.35">
      <c r="A1380" t="s">
        <v>1509</v>
      </c>
      <c r="B1380" s="5">
        <v>45819</v>
      </c>
      <c r="C1380" t="s">
        <v>69</v>
      </c>
      <c r="D1380" t="s">
        <v>70</v>
      </c>
      <c r="E1380" s="9">
        <v>5</v>
      </c>
      <c r="F1380" s="10">
        <v>210</v>
      </c>
      <c r="G1380" s="11">
        <v>0.02</v>
      </c>
      <c r="H1380" s="10">
        <v>1029</v>
      </c>
      <c r="I1380" s="9">
        <v>0</v>
      </c>
      <c r="J1380" s="10">
        <v>0</v>
      </c>
      <c r="K1380" s="9">
        <v>5</v>
      </c>
      <c r="L1380" s="10">
        <v>1029</v>
      </c>
      <c r="M1380" s="10">
        <v>809.78</v>
      </c>
      <c r="N1380" s="10">
        <v>219.22</v>
      </c>
      <c r="O1380" s="11">
        <f t="shared" si="78"/>
        <v>0.21304178814382896</v>
      </c>
      <c r="P1380" s="10">
        <v>110.09</v>
      </c>
      <c r="Q1380" s="10">
        <v>109.13</v>
      </c>
      <c r="R1380" s="11">
        <f t="shared" si="79"/>
        <v>0.10605442176870748</v>
      </c>
      <c r="S1380" t="s">
        <v>59</v>
      </c>
      <c r="T1380" t="s">
        <v>66</v>
      </c>
      <c r="U1380" t="s">
        <v>67</v>
      </c>
    </row>
    <row r="1381" spans="1:21" x14ac:dyDescent="0.35">
      <c r="A1381" t="s">
        <v>1510</v>
      </c>
      <c r="B1381" s="5">
        <v>46009</v>
      </c>
      <c r="C1381" t="s">
        <v>69</v>
      </c>
      <c r="D1381" t="s">
        <v>70</v>
      </c>
      <c r="E1381" s="9">
        <v>3</v>
      </c>
      <c r="F1381" s="10">
        <v>210</v>
      </c>
      <c r="G1381" s="11">
        <v>0.05</v>
      </c>
      <c r="H1381" s="10">
        <v>598.5</v>
      </c>
      <c r="I1381" s="9">
        <v>0</v>
      </c>
      <c r="J1381" s="10">
        <v>0</v>
      </c>
      <c r="K1381" s="9">
        <v>3</v>
      </c>
      <c r="L1381" s="10">
        <v>598.5</v>
      </c>
      <c r="M1381" s="10">
        <v>395.26</v>
      </c>
      <c r="N1381" s="10">
        <v>203.24</v>
      </c>
      <c r="O1381" s="11">
        <f t="shared" si="78"/>
        <v>0.33958228905597326</v>
      </c>
      <c r="P1381" s="10">
        <v>65.81</v>
      </c>
      <c r="Q1381" s="10">
        <v>137.43</v>
      </c>
      <c r="R1381" s="11">
        <f t="shared" si="79"/>
        <v>0.22962406015037595</v>
      </c>
      <c r="S1381" t="s">
        <v>75</v>
      </c>
      <c r="T1381" t="s">
        <v>66</v>
      </c>
      <c r="U1381" t="s">
        <v>71</v>
      </c>
    </row>
    <row r="1382" spans="1:21" x14ac:dyDescent="0.35">
      <c r="A1382" t="s">
        <v>1511</v>
      </c>
      <c r="B1382" s="5">
        <v>45937</v>
      </c>
      <c r="C1382" t="s">
        <v>117</v>
      </c>
      <c r="D1382" t="s">
        <v>74</v>
      </c>
      <c r="E1382" s="9">
        <v>10</v>
      </c>
      <c r="F1382" s="10">
        <v>95</v>
      </c>
      <c r="G1382" s="11">
        <v>0</v>
      </c>
      <c r="H1382" s="10">
        <v>950</v>
      </c>
      <c r="I1382" s="9">
        <v>0</v>
      </c>
      <c r="J1382" s="10">
        <v>0</v>
      </c>
      <c r="K1382" s="9">
        <v>10</v>
      </c>
      <c r="L1382" s="10">
        <v>950</v>
      </c>
      <c r="M1382" s="10">
        <v>725.66</v>
      </c>
      <c r="N1382" s="10">
        <v>224.34</v>
      </c>
      <c r="O1382" s="11">
        <f t="shared" si="78"/>
        <v>0.23614736842105263</v>
      </c>
      <c r="P1382" s="10">
        <v>60.2</v>
      </c>
      <c r="Q1382" s="10">
        <v>164.14</v>
      </c>
      <c r="R1382" s="11">
        <f t="shared" si="79"/>
        <v>0.17277894736842103</v>
      </c>
      <c r="S1382" t="s">
        <v>75</v>
      </c>
      <c r="T1382" t="s">
        <v>60</v>
      </c>
      <c r="U1382" t="s">
        <v>76</v>
      </c>
    </row>
    <row r="1383" spans="1:21" x14ac:dyDescent="0.35">
      <c r="A1383" t="s">
        <v>1512</v>
      </c>
      <c r="B1383" s="5">
        <v>45710</v>
      </c>
      <c r="C1383" t="s">
        <v>107</v>
      </c>
      <c r="D1383" t="s">
        <v>74</v>
      </c>
      <c r="E1383" s="9">
        <v>2</v>
      </c>
      <c r="F1383" s="10">
        <v>125</v>
      </c>
      <c r="G1383" s="11">
        <v>0.05</v>
      </c>
      <c r="H1383" s="10">
        <v>237.5</v>
      </c>
      <c r="I1383" s="9">
        <v>0</v>
      </c>
      <c r="J1383" s="10">
        <v>0</v>
      </c>
      <c r="K1383" s="9">
        <v>2</v>
      </c>
      <c r="L1383" s="10">
        <v>237.5</v>
      </c>
      <c r="M1383" s="10">
        <v>150.02000000000001</v>
      </c>
      <c r="N1383" s="10">
        <v>87.48</v>
      </c>
      <c r="O1383" s="11">
        <f t="shared" si="78"/>
        <v>0.36833684210526318</v>
      </c>
      <c r="P1383" s="10">
        <v>16.079999999999998</v>
      </c>
      <c r="Q1383" s="10">
        <v>71.400000000000006</v>
      </c>
      <c r="R1383" s="11">
        <f t="shared" si="79"/>
        <v>0.30063157894736847</v>
      </c>
      <c r="S1383" t="s">
        <v>75</v>
      </c>
      <c r="T1383" t="s">
        <v>60</v>
      </c>
      <c r="U1383" t="s">
        <v>71</v>
      </c>
    </row>
    <row r="1384" spans="1:21" x14ac:dyDescent="0.35">
      <c r="A1384" t="s">
        <v>1513</v>
      </c>
      <c r="B1384" s="5">
        <v>45927</v>
      </c>
      <c r="C1384" t="s">
        <v>100</v>
      </c>
      <c r="D1384" t="s">
        <v>64</v>
      </c>
      <c r="E1384" s="9">
        <v>3</v>
      </c>
      <c r="F1384" s="10">
        <v>310</v>
      </c>
      <c r="G1384" s="11">
        <v>0</v>
      </c>
      <c r="H1384" s="10">
        <v>930</v>
      </c>
      <c r="I1384" s="9">
        <v>0</v>
      </c>
      <c r="J1384" s="10">
        <v>0</v>
      </c>
      <c r="K1384" s="9">
        <v>3</v>
      </c>
      <c r="L1384" s="10">
        <v>930</v>
      </c>
      <c r="M1384" s="10">
        <v>780.07</v>
      </c>
      <c r="N1384" s="10">
        <v>149.93</v>
      </c>
      <c r="O1384" s="11">
        <f t="shared" si="78"/>
        <v>0.16121505376344086</v>
      </c>
      <c r="P1384" s="10">
        <v>49.89</v>
      </c>
      <c r="Q1384" s="10">
        <v>100.04</v>
      </c>
      <c r="R1384" s="11">
        <f t="shared" si="79"/>
        <v>0.10756989247311828</v>
      </c>
      <c r="S1384" t="s">
        <v>59</v>
      </c>
      <c r="T1384" t="s">
        <v>86</v>
      </c>
      <c r="U1384" t="s">
        <v>71</v>
      </c>
    </row>
    <row r="1385" spans="1:21" x14ac:dyDescent="0.35">
      <c r="A1385" t="s">
        <v>1514</v>
      </c>
      <c r="B1385" s="5">
        <v>45864</v>
      </c>
      <c r="C1385" t="s">
        <v>63</v>
      </c>
      <c r="D1385" t="s">
        <v>64</v>
      </c>
      <c r="E1385" s="9">
        <v>3</v>
      </c>
      <c r="F1385" s="10">
        <v>145</v>
      </c>
      <c r="G1385" s="11">
        <v>0.05</v>
      </c>
      <c r="H1385" s="10">
        <v>413.25</v>
      </c>
      <c r="I1385" s="9">
        <v>0</v>
      </c>
      <c r="J1385" s="10">
        <v>0</v>
      </c>
      <c r="K1385" s="9">
        <v>3</v>
      </c>
      <c r="L1385" s="10">
        <v>413.25</v>
      </c>
      <c r="M1385" s="10">
        <v>277.73</v>
      </c>
      <c r="N1385" s="10">
        <v>135.52000000000001</v>
      </c>
      <c r="O1385" s="11">
        <f t="shared" si="78"/>
        <v>0.3279370840895342</v>
      </c>
      <c r="P1385" s="10">
        <v>25.82</v>
      </c>
      <c r="Q1385" s="10">
        <v>109.7</v>
      </c>
      <c r="R1385" s="11">
        <f t="shared" si="79"/>
        <v>0.26545674531155478</v>
      </c>
      <c r="S1385" t="s">
        <v>81</v>
      </c>
      <c r="T1385" t="s">
        <v>86</v>
      </c>
      <c r="U1385" t="s">
        <v>67</v>
      </c>
    </row>
    <row r="1386" spans="1:21" x14ac:dyDescent="0.35">
      <c r="A1386" t="s">
        <v>1515</v>
      </c>
      <c r="B1386" s="5">
        <v>45761</v>
      </c>
      <c r="C1386" t="s">
        <v>90</v>
      </c>
      <c r="D1386" t="s">
        <v>70</v>
      </c>
      <c r="E1386" s="9">
        <v>4</v>
      </c>
      <c r="F1386" s="10">
        <v>38</v>
      </c>
      <c r="G1386" s="11">
        <v>0</v>
      </c>
      <c r="H1386" s="10">
        <v>152</v>
      </c>
      <c r="I1386" s="9">
        <v>0</v>
      </c>
      <c r="J1386" s="10">
        <v>0</v>
      </c>
      <c r="K1386" s="9">
        <v>4</v>
      </c>
      <c r="L1386" s="10">
        <v>152</v>
      </c>
      <c r="M1386" s="10">
        <v>127.25</v>
      </c>
      <c r="N1386" s="10">
        <v>24.75</v>
      </c>
      <c r="O1386" s="11">
        <f t="shared" si="78"/>
        <v>0.16282894736842105</v>
      </c>
      <c r="P1386" s="10">
        <v>13.08</v>
      </c>
      <c r="Q1386" s="10">
        <v>11.67</v>
      </c>
      <c r="R1386" s="11">
        <f t="shared" si="79"/>
        <v>7.6776315789473679E-2</v>
      </c>
      <c r="S1386" t="s">
        <v>75</v>
      </c>
      <c r="T1386" t="s">
        <v>66</v>
      </c>
      <c r="U1386" t="s">
        <v>76</v>
      </c>
    </row>
    <row r="1387" spans="1:21" x14ac:dyDescent="0.35">
      <c r="A1387" t="s">
        <v>1516</v>
      </c>
      <c r="B1387" s="5">
        <v>45767</v>
      </c>
      <c r="C1387" t="s">
        <v>97</v>
      </c>
      <c r="D1387" t="s">
        <v>57</v>
      </c>
      <c r="E1387" s="9">
        <v>4</v>
      </c>
      <c r="F1387" s="10">
        <v>55</v>
      </c>
      <c r="G1387" s="11">
        <v>0</v>
      </c>
      <c r="H1387" s="10">
        <v>220</v>
      </c>
      <c r="I1387" s="9">
        <v>0</v>
      </c>
      <c r="J1387" s="10">
        <v>0</v>
      </c>
      <c r="K1387" s="9">
        <v>4</v>
      </c>
      <c r="L1387" s="10">
        <v>220</v>
      </c>
      <c r="M1387" s="10">
        <v>147.56</v>
      </c>
      <c r="N1387" s="10">
        <v>72.44</v>
      </c>
      <c r="O1387" s="11">
        <f t="shared" si="78"/>
        <v>0.32927272727272727</v>
      </c>
      <c r="P1387" s="10">
        <v>27.86</v>
      </c>
      <c r="Q1387" s="10">
        <v>44.58</v>
      </c>
      <c r="R1387" s="11">
        <f t="shared" si="79"/>
        <v>0.20263636363636364</v>
      </c>
      <c r="S1387" t="s">
        <v>65</v>
      </c>
      <c r="T1387" t="s">
        <v>66</v>
      </c>
      <c r="U1387" t="s">
        <v>71</v>
      </c>
    </row>
    <row r="1388" spans="1:21" x14ac:dyDescent="0.35">
      <c r="A1388" t="s">
        <v>1517</v>
      </c>
      <c r="B1388" s="5">
        <v>45663</v>
      </c>
      <c r="C1388" t="s">
        <v>92</v>
      </c>
      <c r="D1388" t="s">
        <v>79</v>
      </c>
      <c r="E1388" s="9">
        <v>10</v>
      </c>
      <c r="F1388" s="10">
        <v>85</v>
      </c>
      <c r="G1388" s="11">
        <v>0</v>
      </c>
      <c r="H1388" s="10">
        <v>850</v>
      </c>
      <c r="I1388" s="9">
        <v>0</v>
      </c>
      <c r="J1388" s="10">
        <v>0</v>
      </c>
      <c r="K1388" s="9">
        <v>10</v>
      </c>
      <c r="L1388" s="10">
        <v>850</v>
      </c>
      <c r="M1388" s="10">
        <v>705.5</v>
      </c>
      <c r="N1388" s="10">
        <v>144.5</v>
      </c>
      <c r="O1388" s="11">
        <f t="shared" si="78"/>
        <v>0.17</v>
      </c>
      <c r="P1388" s="10">
        <v>67.13</v>
      </c>
      <c r="Q1388" s="10">
        <v>77.37</v>
      </c>
      <c r="R1388" s="11">
        <f t="shared" si="79"/>
        <v>9.1023529411764711E-2</v>
      </c>
      <c r="S1388" t="s">
        <v>59</v>
      </c>
      <c r="T1388" t="s">
        <v>60</v>
      </c>
      <c r="U1388" t="s">
        <v>67</v>
      </c>
    </row>
    <row r="1389" spans="1:21" x14ac:dyDescent="0.35">
      <c r="A1389" t="s">
        <v>1518</v>
      </c>
      <c r="B1389" s="5">
        <v>45946</v>
      </c>
      <c r="C1389" t="s">
        <v>95</v>
      </c>
      <c r="D1389" t="s">
        <v>64</v>
      </c>
      <c r="E1389" s="9">
        <v>4</v>
      </c>
      <c r="F1389" s="10">
        <v>52</v>
      </c>
      <c r="G1389" s="11">
        <v>0</v>
      </c>
      <c r="H1389" s="10">
        <v>208</v>
      </c>
      <c r="I1389" s="9">
        <v>0</v>
      </c>
      <c r="J1389" s="10">
        <v>0</v>
      </c>
      <c r="K1389" s="9">
        <v>4</v>
      </c>
      <c r="L1389" s="10">
        <v>208</v>
      </c>
      <c r="M1389" s="10">
        <v>173.78</v>
      </c>
      <c r="N1389" s="10">
        <v>34.22</v>
      </c>
      <c r="O1389" s="11">
        <f t="shared" si="78"/>
        <v>0.16451923076923075</v>
      </c>
      <c r="P1389" s="10">
        <v>18.170000000000002</v>
      </c>
      <c r="Q1389" s="10">
        <v>16.05</v>
      </c>
      <c r="R1389" s="11">
        <f t="shared" si="79"/>
        <v>7.7163461538461542E-2</v>
      </c>
      <c r="S1389" t="s">
        <v>65</v>
      </c>
      <c r="T1389" t="s">
        <v>60</v>
      </c>
      <c r="U1389" t="s">
        <v>67</v>
      </c>
    </row>
    <row r="1390" spans="1:21" x14ac:dyDescent="0.35">
      <c r="A1390" t="s">
        <v>1519</v>
      </c>
      <c r="B1390" s="5">
        <v>46013</v>
      </c>
      <c r="C1390" t="s">
        <v>69</v>
      </c>
      <c r="D1390" t="s">
        <v>70</v>
      </c>
      <c r="E1390" s="9">
        <v>3</v>
      </c>
      <c r="F1390" s="10">
        <v>210</v>
      </c>
      <c r="G1390" s="11">
        <v>0.1</v>
      </c>
      <c r="H1390" s="10">
        <v>567</v>
      </c>
      <c r="I1390" s="9">
        <v>0</v>
      </c>
      <c r="J1390" s="10">
        <v>0</v>
      </c>
      <c r="K1390" s="9">
        <v>3</v>
      </c>
      <c r="L1390" s="10">
        <v>567</v>
      </c>
      <c r="M1390" s="10">
        <v>477.85</v>
      </c>
      <c r="N1390" s="10">
        <v>89.15</v>
      </c>
      <c r="O1390" s="11">
        <f t="shared" si="78"/>
        <v>0.1572310405643739</v>
      </c>
      <c r="P1390" s="10">
        <v>62.54</v>
      </c>
      <c r="Q1390" s="10">
        <v>26.61</v>
      </c>
      <c r="R1390" s="11">
        <f t="shared" si="79"/>
        <v>4.6931216931216928E-2</v>
      </c>
      <c r="S1390" t="s">
        <v>75</v>
      </c>
      <c r="T1390" t="s">
        <v>60</v>
      </c>
      <c r="U1390" t="s">
        <v>61</v>
      </c>
    </row>
    <row r="1391" spans="1:21" x14ac:dyDescent="0.35">
      <c r="A1391" t="s">
        <v>1520</v>
      </c>
      <c r="B1391" s="5">
        <v>45733</v>
      </c>
      <c r="C1391" t="s">
        <v>92</v>
      </c>
      <c r="D1391" t="s">
        <v>79</v>
      </c>
      <c r="E1391" s="9">
        <v>4</v>
      </c>
      <c r="F1391" s="10">
        <v>85</v>
      </c>
      <c r="G1391" s="11">
        <v>0</v>
      </c>
      <c r="H1391" s="10">
        <v>340</v>
      </c>
      <c r="I1391" s="9">
        <v>0</v>
      </c>
      <c r="J1391" s="10">
        <v>0</v>
      </c>
      <c r="K1391" s="9">
        <v>4</v>
      </c>
      <c r="L1391" s="10">
        <v>340</v>
      </c>
      <c r="M1391" s="10">
        <v>283.33</v>
      </c>
      <c r="N1391" s="10">
        <v>56.67</v>
      </c>
      <c r="O1391" s="11">
        <f t="shared" si="78"/>
        <v>0.16667647058823529</v>
      </c>
      <c r="P1391" s="10">
        <v>34.5</v>
      </c>
      <c r="Q1391" s="10">
        <v>22.17</v>
      </c>
      <c r="R1391" s="11">
        <f t="shared" si="79"/>
        <v>6.5205882352941183E-2</v>
      </c>
      <c r="S1391" t="s">
        <v>81</v>
      </c>
      <c r="T1391" t="s">
        <v>82</v>
      </c>
      <c r="U1391" t="s">
        <v>71</v>
      </c>
    </row>
    <row r="1392" spans="1:21" x14ac:dyDescent="0.35">
      <c r="A1392" t="s">
        <v>1521</v>
      </c>
      <c r="B1392" s="5">
        <v>45805</v>
      </c>
      <c r="C1392" t="s">
        <v>114</v>
      </c>
      <c r="D1392" t="s">
        <v>64</v>
      </c>
      <c r="E1392" s="9">
        <v>5</v>
      </c>
      <c r="F1392" s="10">
        <v>420</v>
      </c>
      <c r="G1392" s="11">
        <v>0</v>
      </c>
      <c r="H1392" s="10">
        <v>2100</v>
      </c>
      <c r="I1392" s="9">
        <v>0</v>
      </c>
      <c r="J1392" s="10">
        <v>0</v>
      </c>
      <c r="K1392" s="9">
        <v>5</v>
      </c>
      <c r="L1392" s="10">
        <v>2100</v>
      </c>
      <c r="M1392" s="10">
        <v>1465.28</v>
      </c>
      <c r="N1392" s="10">
        <v>634.72</v>
      </c>
      <c r="O1392" s="11">
        <f t="shared" ref="O1392:O1393" si="80">N1392/L1392</f>
        <v>0.30224761904761904</v>
      </c>
      <c r="P1392" s="10">
        <v>199.62</v>
      </c>
      <c r="Q1392" s="10">
        <v>435.1</v>
      </c>
      <c r="R1392" s="11">
        <f t="shared" ref="R1392:R1393" si="81">Q1392/L1392</f>
        <v>0.2071904761904762</v>
      </c>
      <c r="S1392" t="s">
        <v>75</v>
      </c>
      <c r="T1392" t="s">
        <v>82</v>
      </c>
      <c r="U1392" t="s">
        <v>71</v>
      </c>
    </row>
    <row r="1393" spans="1:21" x14ac:dyDescent="0.35">
      <c r="A1393" t="s">
        <v>1522</v>
      </c>
      <c r="B1393" s="5">
        <v>45712</v>
      </c>
      <c r="C1393" t="s">
        <v>84</v>
      </c>
      <c r="D1393" t="s">
        <v>85</v>
      </c>
      <c r="E1393" s="9">
        <v>5</v>
      </c>
      <c r="F1393" s="10">
        <v>48</v>
      </c>
      <c r="G1393" s="11">
        <v>0</v>
      </c>
      <c r="H1393" s="10">
        <v>240</v>
      </c>
      <c r="I1393" s="9">
        <v>0</v>
      </c>
      <c r="J1393" s="10">
        <v>0</v>
      </c>
      <c r="K1393" s="9">
        <v>5</v>
      </c>
      <c r="L1393" s="10">
        <v>240</v>
      </c>
      <c r="M1393" s="10">
        <v>155.5</v>
      </c>
      <c r="N1393" s="10">
        <v>84.5</v>
      </c>
      <c r="O1393" s="11">
        <f t="shared" si="80"/>
        <v>0.35208333333333336</v>
      </c>
      <c r="P1393" s="10">
        <v>13.62</v>
      </c>
      <c r="Q1393" s="10">
        <v>70.88</v>
      </c>
      <c r="R1393" s="11">
        <f t="shared" si="81"/>
        <v>0.29533333333333334</v>
      </c>
      <c r="S1393" t="s">
        <v>65</v>
      </c>
      <c r="T1393" t="s">
        <v>66</v>
      </c>
      <c r="U1393" t="s">
        <v>71</v>
      </c>
    </row>
    <row r="1394" spans="1:21" x14ac:dyDescent="0.35">
      <c r="A1394" t="s">
        <v>1523</v>
      </c>
      <c r="B1394" s="5">
        <v>45704</v>
      </c>
      <c r="C1394" t="s">
        <v>97</v>
      </c>
      <c r="D1394" t="s">
        <v>57</v>
      </c>
      <c r="E1394" s="9">
        <v>2</v>
      </c>
      <c r="F1394" s="10">
        <v>55</v>
      </c>
      <c r="G1394" s="11">
        <v>0.1</v>
      </c>
      <c r="H1394" s="10">
        <v>99</v>
      </c>
      <c r="I1394" s="9">
        <v>2</v>
      </c>
      <c r="J1394" s="10">
        <v>99</v>
      </c>
      <c r="K1394" s="9">
        <v>0</v>
      </c>
      <c r="L1394" s="10">
        <v>0</v>
      </c>
      <c r="M1394" s="10">
        <v>0</v>
      </c>
      <c r="N1394" s="10">
        <v>0</v>
      </c>
      <c r="O1394" s="11">
        <v>0</v>
      </c>
      <c r="P1394" s="10">
        <v>0</v>
      </c>
      <c r="Q1394" s="10">
        <v>0</v>
      </c>
      <c r="R1394" s="11">
        <v>0</v>
      </c>
      <c r="S1394" t="s">
        <v>81</v>
      </c>
      <c r="T1394" t="s">
        <v>60</v>
      </c>
      <c r="U1394" t="s">
        <v>61</v>
      </c>
    </row>
    <row r="1395" spans="1:21" x14ac:dyDescent="0.35">
      <c r="A1395" t="s">
        <v>1524</v>
      </c>
      <c r="B1395" s="5">
        <v>46000</v>
      </c>
      <c r="C1395" t="s">
        <v>73</v>
      </c>
      <c r="D1395" t="s">
        <v>74</v>
      </c>
      <c r="E1395" s="9">
        <v>1</v>
      </c>
      <c r="F1395" s="10">
        <v>280</v>
      </c>
      <c r="G1395" s="11">
        <v>0.05</v>
      </c>
      <c r="H1395" s="10">
        <v>266</v>
      </c>
      <c r="I1395" s="9">
        <v>0</v>
      </c>
      <c r="J1395" s="10">
        <v>0</v>
      </c>
      <c r="K1395" s="9">
        <v>1</v>
      </c>
      <c r="L1395" s="10">
        <v>266</v>
      </c>
      <c r="M1395" s="10">
        <v>167.96</v>
      </c>
      <c r="N1395" s="10">
        <v>98.04</v>
      </c>
      <c r="O1395" s="11">
        <f t="shared" ref="O1395:O1418" si="82">N1395/L1395</f>
        <v>0.36857142857142861</v>
      </c>
      <c r="P1395" s="10">
        <v>14.83</v>
      </c>
      <c r="Q1395" s="10">
        <v>83.21</v>
      </c>
      <c r="R1395" s="11">
        <f t="shared" ref="R1395:R1418" si="83">Q1395/L1395</f>
        <v>0.31281954887218044</v>
      </c>
      <c r="S1395" t="s">
        <v>59</v>
      </c>
      <c r="T1395" t="s">
        <v>82</v>
      </c>
      <c r="U1395" t="s">
        <v>61</v>
      </c>
    </row>
    <row r="1396" spans="1:21" x14ac:dyDescent="0.35">
      <c r="A1396" t="s">
        <v>1525</v>
      </c>
      <c r="B1396" s="5">
        <v>45769</v>
      </c>
      <c r="C1396" t="s">
        <v>95</v>
      </c>
      <c r="D1396" t="s">
        <v>64</v>
      </c>
      <c r="E1396" s="9">
        <v>5</v>
      </c>
      <c r="F1396" s="10">
        <v>52</v>
      </c>
      <c r="G1396" s="11">
        <v>0</v>
      </c>
      <c r="H1396" s="10">
        <v>260</v>
      </c>
      <c r="I1396" s="9">
        <v>0</v>
      </c>
      <c r="J1396" s="10">
        <v>0</v>
      </c>
      <c r="K1396" s="9">
        <v>5</v>
      </c>
      <c r="L1396" s="10">
        <v>260</v>
      </c>
      <c r="M1396" s="10">
        <v>194.52</v>
      </c>
      <c r="N1396" s="10">
        <v>65.48</v>
      </c>
      <c r="O1396" s="11">
        <f t="shared" si="82"/>
        <v>0.25184615384615389</v>
      </c>
      <c r="P1396" s="10">
        <v>17.34</v>
      </c>
      <c r="Q1396" s="10">
        <v>48.14</v>
      </c>
      <c r="R1396" s="11">
        <f t="shared" si="83"/>
        <v>0.18515384615384617</v>
      </c>
      <c r="S1396" t="s">
        <v>59</v>
      </c>
      <c r="T1396" t="s">
        <v>86</v>
      </c>
      <c r="U1396" t="s">
        <v>71</v>
      </c>
    </row>
    <row r="1397" spans="1:21" x14ac:dyDescent="0.35">
      <c r="A1397" t="s">
        <v>1526</v>
      </c>
      <c r="B1397" s="5">
        <v>46008</v>
      </c>
      <c r="C1397" t="s">
        <v>73</v>
      </c>
      <c r="D1397" t="s">
        <v>74</v>
      </c>
      <c r="E1397" s="9">
        <v>4</v>
      </c>
      <c r="F1397" s="10">
        <v>280</v>
      </c>
      <c r="G1397" s="11">
        <v>0</v>
      </c>
      <c r="H1397" s="10">
        <v>1120</v>
      </c>
      <c r="I1397" s="9">
        <v>0</v>
      </c>
      <c r="J1397" s="10">
        <v>0</v>
      </c>
      <c r="K1397" s="9">
        <v>4</v>
      </c>
      <c r="L1397" s="10">
        <v>1120</v>
      </c>
      <c r="M1397" s="10">
        <v>785.45</v>
      </c>
      <c r="N1397" s="10">
        <v>334.55</v>
      </c>
      <c r="O1397" s="11">
        <f t="shared" si="82"/>
        <v>0.29870535714285718</v>
      </c>
      <c r="P1397" s="10">
        <v>109.14</v>
      </c>
      <c r="Q1397" s="10">
        <v>225.41</v>
      </c>
      <c r="R1397" s="11">
        <f t="shared" si="83"/>
        <v>0.20125892857142857</v>
      </c>
      <c r="S1397" t="s">
        <v>59</v>
      </c>
      <c r="T1397" t="s">
        <v>82</v>
      </c>
      <c r="U1397" t="s">
        <v>61</v>
      </c>
    </row>
    <row r="1398" spans="1:21" x14ac:dyDescent="0.35">
      <c r="A1398" t="s">
        <v>1527</v>
      </c>
      <c r="B1398" s="5">
        <v>45665</v>
      </c>
      <c r="C1398" t="s">
        <v>97</v>
      </c>
      <c r="D1398" t="s">
        <v>57</v>
      </c>
      <c r="E1398" s="9">
        <v>1</v>
      </c>
      <c r="F1398" s="10">
        <v>55</v>
      </c>
      <c r="G1398" s="11">
        <v>0.05</v>
      </c>
      <c r="H1398" s="10">
        <v>52.25</v>
      </c>
      <c r="I1398" s="9">
        <v>0</v>
      </c>
      <c r="J1398" s="10">
        <v>0</v>
      </c>
      <c r="K1398" s="9">
        <v>1</v>
      </c>
      <c r="L1398" s="10">
        <v>52.25</v>
      </c>
      <c r="M1398" s="10">
        <v>43.75</v>
      </c>
      <c r="N1398" s="10">
        <v>8.5</v>
      </c>
      <c r="O1398" s="11">
        <f t="shared" si="82"/>
        <v>0.16267942583732056</v>
      </c>
      <c r="P1398" s="10">
        <v>5.05</v>
      </c>
      <c r="Q1398" s="10">
        <v>3.45</v>
      </c>
      <c r="R1398" s="11">
        <f t="shared" si="83"/>
        <v>6.6028708133971298E-2</v>
      </c>
      <c r="S1398" t="s">
        <v>65</v>
      </c>
      <c r="T1398" t="s">
        <v>86</v>
      </c>
      <c r="U1398" t="s">
        <v>76</v>
      </c>
    </row>
    <row r="1399" spans="1:21" x14ac:dyDescent="0.35">
      <c r="A1399" t="s">
        <v>1528</v>
      </c>
      <c r="B1399" s="5">
        <v>45961</v>
      </c>
      <c r="C1399" t="s">
        <v>73</v>
      </c>
      <c r="D1399" t="s">
        <v>74</v>
      </c>
      <c r="E1399" s="9">
        <v>3</v>
      </c>
      <c r="F1399" s="10">
        <v>280</v>
      </c>
      <c r="G1399" s="11">
        <v>0.1</v>
      </c>
      <c r="H1399" s="10">
        <v>756</v>
      </c>
      <c r="I1399" s="9">
        <v>0</v>
      </c>
      <c r="J1399" s="10">
        <v>0</v>
      </c>
      <c r="K1399" s="9">
        <v>3</v>
      </c>
      <c r="L1399" s="10">
        <v>756</v>
      </c>
      <c r="M1399" s="10">
        <v>593.13</v>
      </c>
      <c r="N1399" s="10">
        <v>162.87</v>
      </c>
      <c r="O1399" s="11">
        <f t="shared" si="82"/>
        <v>0.21543650793650795</v>
      </c>
      <c r="P1399" s="10">
        <v>88.26</v>
      </c>
      <c r="Q1399" s="10">
        <v>74.61</v>
      </c>
      <c r="R1399" s="11">
        <f t="shared" si="83"/>
        <v>9.869047619047619E-2</v>
      </c>
      <c r="S1399" t="s">
        <v>65</v>
      </c>
      <c r="T1399" t="s">
        <v>66</v>
      </c>
      <c r="U1399" t="s">
        <v>61</v>
      </c>
    </row>
    <row r="1400" spans="1:21" x14ac:dyDescent="0.35">
      <c r="A1400" t="s">
        <v>1529</v>
      </c>
      <c r="B1400" s="5">
        <v>45931</v>
      </c>
      <c r="C1400" t="s">
        <v>114</v>
      </c>
      <c r="D1400" t="s">
        <v>64</v>
      </c>
      <c r="E1400" s="9">
        <v>1</v>
      </c>
      <c r="F1400" s="10">
        <v>420</v>
      </c>
      <c r="G1400" s="11">
        <v>0.02</v>
      </c>
      <c r="H1400" s="10">
        <v>411.6</v>
      </c>
      <c r="I1400" s="9">
        <v>0</v>
      </c>
      <c r="J1400" s="10">
        <v>0</v>
      </c>
      <c r="K1400" s="9">
        <v>1</v>
      </c>
      <c r="L1400" s="10">
        <v>411.6</v>
      </c>
      <c r="M1400" s="10">
        <v>328.24</v>
      </c>
      <c r="N1400" s="10">
        <v>83.36</v>
      </c>
      <c r="O1400" s="11">
        <f t="shared" si="82"/>
        <v>0.20252672497570456</v>
      </c>
      <c r="P1400" s="10">
        <v>30.52</v>
      </c>
      <c r="Q1400" s="10">
        <v>52.84</v>
      </c>
      <c r="R1400" s="11">
        <f t="shared" si="83"/>
        <v>0.128377065111759</v>
      </c>
      <c r="S1400" t="s">
        <v>65</v>
      </c>
      <c r="T1400" t="s">
        <v>86</v>
      </c>
      <c r="U1400" t="s">
        <v>67</v>
      </c>
    </row>
    <row r="1401" spans="1:21" x14ac:dyDescent="0.35">
      <c r="A1401" t="s">
        <v>1530</v>
      </c>
      <c r="B1401" s="5">
        <v>46006</v>
      </c>
      <c r="C1401" t="s">
        <v>125</v>
      </c>
      <c r="D1401" t="s">
        <v>85</v>
      </c>
      <c r="E1401" s="9">
        <v>3</v>
      </c>
      <c r="F1401" s="10">
        <v>125</v>
      </c>
      <c r="G1401" s="11">
        <v>0.05</v>
      </c>
      <c r="H1401" s="10">
        <v>356.25</v>
      </c>
      <c r="I1401" s="9">
        <v>0</v>
      </c>
      <c r="J1401" s="10">
        <v>0</v>
      </c>
      <c r="K1401" s="9">
        <v>3</v>
      </c>
      <c r="L1401" s="10">
        <v>356.25</v>
      </c>
      <c r="M1401" s="10">
        <v>297.97000000000003</v>
      </c>
      <c r="N1401" s="10">
        <v>58.28</v>
      </c>
      <c r="O1401" s="11">
        <f t="shared" si="82"/>
        <v>0.16359298245614035</v>
      </c>
      <c r="P1401" s="10">
        <v>39.950000000000003</v>
      </c>
      <c r="Q1401" s="10">
        <v>18.329999999999998</v>
      </c>
      <c r="R1401" s="11">
        <f t="shared" si="83"/>
        <v>5.1452631578947361E-2</v>
      </c>
      <c r="S1401" t="s">
        <v>59</v>
      </c>
      <c r="T1401" t="s">
        <v>86</v>
      </c>
      <c r="U1401" t="s">
        <v>61</v>
      </c>
    </row>
    <row r="1402" spans="1:21" x14ac:dyDescent="0.35">
      <c r="A1402" t="s">
        <v>1531</v>
      </c>
      <c r="B1402" s="5">
        <v>45930</v>
      </c>
      <c r="C1402" t="s">
        <v>69</v>
      </c>
      <c r="D1402" t="s">
        <v>70</v>
      </c>
      <c r="E1402" s="9">
        <v>4</v>
      </c>
      <c r="F1402" s="10">
        <v>210</v>
      </c>
      <c r="G1402" s="11">
        <v>0.02</v>
      </c>
      <c r="H1402" s="10">
        <v>823.2</v>
      </c>
      <c r="I1402" s="9">
        <v>0</v>
      </c>
      <c r="J1402" s="10">
        <v>0</v>
      </c>
      <c r="K1402" s="9">
        <v>4</v>
      </c>
      <c r="L1402" s="10">
        <v>823.2</v>
      </c>
      <c r="M1402" s="10">
        <v>519.07000000000005</v>
      </c>
      <c r="N1402" s="10">
        <v>304.13</v>
      </c>
      <c r="O1402" s="11">
        <f t="shared" si="82"/>
        <v>0.36944849368318755</v>
      </c>
      <c r="P1402" s="10">
        <v>57.54</v>
      </c>
      <c r="Q1402" s="10">
        <v>246.59</v>
      </c>
      <c r="R1402" s="11">
        <f t="shared" si="83"/>
        <v>0.29955053449951408</v>
      </c>
      <c r="S1402" t="s">
        <v>65</v>
      </c>
      <c r="T1402" t="s">
        <v>66</v>
      </c>
      <c r="U1402" t="s">
        <v>71</v>
      </c>
    </row>
    <row r="1403" spans="1:21" x14ac:dyDescent="0.35">
      <c r="A1403" t="s">
        <v>1532</v>
      </c>
      <c r="B1403" s="5">
        <v>45813</v>
      </c>
      <c r="C1403" t="s">
        <v>88</v>
      </c>
      <c r="D1403" t="s">
        <v>57</v>
      </c>
      <c r="E1403" s="9">
        <v>8</v>
      </c>
      <c r="F1403" s="10">
        <v>30</v>
      </c>
      <c r="G1403" s="11">
        <v>0</v>
      </c>
      <c r="H1403" s="10">
        <v>240</v>
      </c>
      <c r="I1403" s="9">
        <v>0</v>
      </c>
      <c r="J1403" s="10">
        <v>0</v>
      </c>
      <c r="K1403" s="9">
        <v>8</v>
      </c>
      <c r="L1403" s="10">
        <v>240</v>
      </c>
      <c r="M1403" s="10">
        <v>173.4</v>
      </c>
      <c r="N1403" s="10">
        <v>66.599999999999994</v>
      </c>
      <c r="O1403" s="11">
        <f t="shared" si="82"/>
        <v>0.27749999999999997</v>
      </c>
      <c r="P1403" s="10">
        <v>21.48</v>
      </c>
      <c r="Q1403" s="10">
        <v>45.12</v>
      </c>
      <c r="R1403" s="11">
        <f t="shared" si="83"/>
        <v>0.188</v>
      </c>
      <c r="S1403" t="s">
        <v>65</v>
      </c>
      <c r="T1403" t="s">
        <v>60</v>
      </c>
      <c r="U1403" t="s">
        <v>71</v>
      </c>
    </row>
    <row r="1404" spans="1:21" x14ac:dyDescent="0.35">
      <c r="A1404" t="s">
        <v>1533</v>
      </c>
      <c r="B1404" s="5">
        <v>45888</v>
      </c>
      <c r="C1404" t="s">
        <v>90</v>
      </c>
      <c r="D1404" t="s">
        <v>70</v>
      </c>
      <c r="E1404" s="9">
        <v>5</v>
      </c>
      <c r="F1404" s="10">
        <v>38</v>
      </c>
      <c r="G1404" s="11">
        <v>0</v>
      </c>
      <c r="H1404" s="10">
        <v>190</v>
      </c>
      <c r="I1404" s="9">
        <v>0</v>
      </c>
      <c r="J1404" s="10">
        <v>0</v>
      </c>
      <c r="K1404" s="9">
        <v>5</v>
      </c>
      <c r="L1404" s="10">
        <v>190</v>
      </c>
      <c r="M1404" s="10">
        <v>146.82</v>
      </c>
      <c r="N1404" s="10">
        <v>43.18</v>
      </c>
      <c r="O1404" s="11">
        <f t="shared" si="82"/>
        <v>0.22726315789473683</v>
      </c>
      <c r="P1404" s="10">
        <v>14.04</v>
      </c>
      <c r="Q1404" s="10">
        <v>29.14</v>
      </c>
      <c r="R1404" s="11">
        <f t="shared" si="83"/>
        <v>0.15336842105263157</v>
      </c>
      <c r="S1404" t="s">
        <v>75</v>
      </c>
      <c r="T1404" t="s">
        <v>60</v>
      </c>
      <c r="U1404" t="s">
        <v>67</v>
      </c>
    </row>
    <row r="1405" spans="1:21" x14ac:dyDescent="0.35">
      <c r="A1405" t="s">
        <v>1534</v>
      </c>
      <c r="B1405" s="5">
        <v>45919</v>
      </c>
      <c r="C1405" t="s">
        <v>95</v>
      </c>
      <c r="D1405" t="s">
        <v>64</v>
      </c>
      <c r="E1405" s="9">
        <v>1</v>
      </c>
      <c r="F1405" s="10">
        <v>52</v>
      </c>
      <c r="G1405" s="11">
        <v>0</v>
      </c>
      <c r="H1405" s="10">
        <v>52</v>
      </c>
      <c r="I1405" s="9">
        <v>0</v>
      </c>
      <c r="J1405" s="10">
        <v>0</v>
      </c>
      <c r="K1405" s="9">
        <v>1</v>
      </c>
      <c r="L1405" s="10">
        <v>52</v>
      </c>
      <c r="M1405" s="10">
        <v>38.020000000000003</v>
      </c>
      <c r="N1405" s="10">
        <v>13.98</v>
      </c>
      <c r="O1405" s="11">
        <f t="shared" si="82"/>
        <v>0.26884615384615385</v>
      </c>
      <c r="P1405" s="10">
        <v>5.39</v>
      </c>
      <c r="Q1405" s="10">
        <v>8.59</v>
      </c>
      <c r="R1405" s="11">
        <f t="shared" si="83"/>
        <v>0.16519230769230769</v>
      </c>
      <c r="S1405" t="s">
        <v>59</v>
      </c>
      <c r="T1405" t="s">
        <v>82</v>
      </c>
      <c r="U1405" t="s">
        <v>67</v>
      </c>
    </row>
    <row r="1406" spans="1:21" x14ac:dyDescent="0.35">
      <c r="A1406" t="s">
        <v>1535</v>
      </c>
      <c r="B1406" s="5">
        <v>45847</v>
      </c>
      <c r="C1406" t="s">
        <v>97</v>
      </c>
      <c r="D1406" t="s">
        <v>57</v>
      </c>
      <c r="E1406" s="9">
        <v>1</v>
      </c>
      <c r="F1406" s="10">
        <v>55</v>
      </c>
      <c r="G1406" s="11">
        <v>0</v>
      </c>
      <c r="H1406" s="10">
        <v>55</v>
      </c>
      <c r="I1406" s="9">
        <v>0</v>
      </c>
      <c r="J1406" s="10">
        <v>0</v>
      </c>
      <c r="K1406" s="9">
        <v>1</v>
      </c>
      <c r="L1406" s="10">
        <v>55</v>
      </c>
      <c r="M1406" s="10">
        <v>36.57</v>
      </c>
      <c r="N1406" s="10">
        <v>18.43</v>
      </c>
      <c r="O1406" s="11">
        <f t="shared" si="82"/>
        <v>0.33509090909090911</v>
      </c>
      <c r="P1406" s="10">
        <v>4.84</v>
      </c>
      <c r="Q1406" s="10">
        <v>13.59</v>
      </c>
      <c r="R1406" s="11">
        <f t="shared" si="83"/>
        <v>0.24709090909090908</v>
      </c>
      <c r="S1406" t="s">
        <v>81</v>
      </c>
      <c r="T1406" t="s">
        <v>82</v>
      </c>
      <c r="U1406" t="s">
        <v>71</v>
      </c>
    </row>
    <row r="1407" spans="1:21" x14ac:dyDescent="0.35">
      <c r="A1407" t="s">
        <v>1536</v>
      </c>
      <c r="B1407" s="5">
        <v>45658</v>
      </c>
      <c r="C1407" t="s">
        <v>107</v>
      </c>
      <c r="D1407" t="s">
        <v>74</v>
      </c>
      <c r="E1407" s="9">
        <v>10</v>
      </c>
      <c r="F1407" s="10">
        <v>125</v>
      </c>
      <c r="G1407" s="11">
        <v>0.15</v>
      </c>
      <c r="H1407" s="10">
        <v>1062.5</v>
      </c>
      <c r="I1407" s="9">
        <v>1</v>
      </c>
      <c r="J1407" s="10">
        <v>106.25</v>
      </c>
      <c r="K1407" s="9">
        <v>9</v>
      </c>
      <c r="L1407" s="10">
        <v>956.25</v>
      </c>
      <c r="M1407" s="10">
        <v>725.9</v>
      </c>
      <c r="N1407" s="10">
        <v>230.35</v>
      </c>
      <c r="O1407" s="11">
        <f t="shared" si="82"/>
        <v>0.24088888888888887</v>
      </c>
      <c r="P1407" s="10">
        <v>120.68</v>
      </c>
      <c r="Q1407" s="10">
        <v>109.67</v>
      </c>
      <c r="R1407" s="11">
        <f t="shared" si="83"/>
        <v>0.11468758169934641</v>
      </c>
      <c r="S1407" t="s">
        <v>75</v>
      </c>
      <c r="T1407" t="s">
        <v>86</v>
      </c>
      <c r="U1407" t="s">
        <v>76</v>
      </c>
    </row>
    <row r="1408" spans="1:21" x14ac:dyDescent="0.35">
      <c r="A1408" t="s">
        <v>1537</v>
      </c>
      <c r="B1408" s="5">
        <v>45992</v>
      </c>
      <c r="C1408" t="s">
        <v>88</v>
      </c>
      <c r="D1408" t="s">
        <v>57</v>
      </c>
      <c r="E1408" s="9">
        <v>2</v>
      </c>
      <c r="F1408" s="10">
        <v>30</v>
      </c>
      <c r="G1408" s="11">
        <v>0</v>
      </c>
      <c r="H1408" s="10">
        <v>60</v>
      </c>
      <c r="I1408" s="9">
        <v>0</v>
      </c>
      <c r="J1408" s="10">
        <v>0</v>
      </c>
      <c r="K1408" s="9">
        <v>2</v>
      </c>
      <c r="L1408" s="10">
        <v>60</v>
      </c>
      <c r="M1408" s="10">
        <v>41.56</v>
      </c>
      <c r="N1408" s="10">
        <v>18.440000000000001</v>
      </c>
      <c r="O1408" s="11">
        <f t="shared" si="82"/>
        <v>0.30733333333333335</v>
      </c>
      <c r="P1408" s="10">
        <v>5.0999999999999996</v>
      </c>
      <c r="Q1408" s="10">
        <v>13.34</v>
      </c>
      <c r="R1408" s="11">
        <f t="shared" si="83"/>
        <v>0.22233333333333333</v>
      </c>
      <c r="S1408" t="s">
        <v>65</v>
      </c>
      <c r="T1408" t="s">
        <v>60</v>
      </c>
      <c r="U1408" t="s">
        <v>61</v>
      </c>
    </row>
    <row r="1409" spans="1:21" x14ac:dyDescent="0.35">
      <c r="A1409" t="s">
        <v>1538</v>
      </c>
      <c r="B1409" s="5">
        <v>45829</v>
      </c>
      <c r="C1409" t="s">
        <v>90</v>
      </c>
      <c r="D1409" t="s">
        <v>70</v>
      </c>
      <c r="E1409" s="9">
        <v>1</v>
      </c>
      <c r="F1409" s="10">
        <v>38</v>
      </c>
      <c r="G1409" s="11">
        <v>0.1</v>
      </c>
      <c r="H1409" s="10">
        <v>34.200000000000003</v>
      </c>
      <c r="I1409" s="9">
        <v>0</v>
      </c>
      <c r="J1409" s="10">
        <v>0</v>
      </c>
      <c r="K1409" s="9">
        <v>1</v>
      </c>
      <c r="L1409" s="10">
        <v>34.200000000000003</v>
      </c>
      <c r="M1409" s="10">
        <v>23.37</v>
      </c>
      <c r="N1409" s="10">
        <v>10.83</v>
      </c>
      <c r="O1409" s="11">
        <f t="shared" si="82"/>
        <v>0.31666666666666665</v>
      </c>
      <c r="P1409" s="10">
        <v>1.96</v>
      </c>
      <c r="Q1409" s="10">
        <v>8.8699999999999992</v>
      </c>
      <c r="R1409" s="11">
        <f t="shared" si="83"/>
        <v>0.25935672514619879</v>
      </c>
      <c r="S1409" t="s">
        <v>59</v>
      </c>
      <c r="T1409" t="s">
        <v>86</v>
      </c>
      <c r="U1409" t="s">
        <v>76</v>
      </c>
    </row>
    <row r="1410" spans="1:21" x14ac:dyDescent="0.35">
      <c r="A1410" t="s">
        <v>1539</v>
      </c>
      <c r="B1410" s="5">
        <v>45771</v>
      </c>
      <c r="C1410" t="s">
        <v>90</v>
      </c>
      <c r="D1410" t="s">
        <v>70</v>
      </c>
      <c r="E1410" s="9">
        <v>2</v>
      </c>
      <c r="F1410" s="10">
        <v>38</v>
      </c>
      <c r="G1410" s="11">
        <v>0</v>
      </c>
      <c r="H1410" s="10">
        <v>76</v>
      </c>
      <c r="I1410" s="9">
        <v>0</v>
      </c>
      <c r="J1410" s="10">
        <v>0</v>
      </c>
      <c r="K1410" s="9">
        <v>2</v>
      </c>
      <c r="L1410" s="10">
        <v>76</v>
      </c>
      <c r="M1410" s="10">
        <v>51.58</v>
      </c>
      <c r="N1410" s="10">
        <v>24.42</v>
      </c>
      <c r="O1410" s="11">
        <f t="shared" si="82"/>
        <v>0.32131578947368422</v>
      </c>
      <c r="P1410" s="10">
        <v>4.22</v>
      </c>
      <c r="Q1410" s="10">
        <v>20.2</v>
      </c>
      <c r="R1410" s="11">
        <f t="shared" si="83"/>
        <v>0.26578947368421052</v>
      </c>
      <c r="S1410" t="s">
        <v>59</v>
      </c>
      <c r="T1410" t="s">
        <v>82</v>
      </c>
      <c r="U1410" t="s">
        <v>61</v>
      </c>
    </row>
    <row r="1411" spans="1:21" x14ac:dyDescent="0.35">
      <c r="A1411" t="s">
        <v>1540</v>
      </c>
      <c r="B1411" s="5">
        <v>45709</v>
      </c>
      <c r="C1411" t="s">
        <v>109</v>
      </c>
      <c r="D1411" t="s">
        <v>85</v>
      </c>
      <c r="E1411" s="9">
        <v>4</v>
      </c>
      <c r="F1411" s="10">
        <v>180</v>
      </c>
      <c r="G1411" s="11">
        <v>0</v>
      </c>
      <c r="H1411" s="10">
        <v>720</v>
      </c>
      <c r="I1411" s="9">
        <v>0</v>
      </c>
      <c r="J1411" s="10">
        <v>0</v>
      </c>
      <c r="K1411" s="9">
        <v>4</v>
      </c>
      <c r="L1411" s="10">
        <v>720</v>
      </c>
      <c r="M1411" s="10">
        <v>455.63</v>
      </c>
      <c r="N1411" s="10">
        <v>264.37</v>
      </c>
      <c r="O1411" s="11">
        <f t="shared" si="82"/>
        <v>0.36718055555555557</v>
      </c>
      <c r="P1411" s="10">
        <v>38.729999999999997</v>
      </c>
      <c r="Q1411" s="10">
        <v>225.64</v>
      </c>
      <c r="R1411" s="11">
        <f t="shared" si="83"/>
        <v>0.31338888888888888</v>
      </c>
      <c r="S1411" t="s">
        <v>81</v>
      </c>
      <c r="T1411" t="s">
        <v>60</v>
      </c>
      <c r="U1411" t="s">
        <v>71</v>
      </c>
    </row>
    <row r="1412" spans="1:21" x14ac:dyDescent="0.35">
      <c r="A1412" t="s">
        <v>1541</v>
      </c>
      <c r="B1412" s="5">
        <v>45792</v>
      </c>
      <c r="C1412" t="s">
        <v>100</v>
      </c>
      <c r="D1412" t="s">
        <v>64</v>
      </c>
      <c r="E1412" s="9">
        <v>3</v>
      </c>
      <c r="F1412" s="10">
        <v>310</v>
      </c>
      <c r="G1412" s="11">
        <v>0.05</v>
      </c>
      <c r="H1412" s="10">
        <v>883.5</v>
      </c>
      <c r="I1412" s="9">
        <v>1</v>
      </c>
      <c r="J1412" s="10">
        <v>294.5</v>
      </c>
      <c r="K1412" s="9">
        <v>2</v>
      </c>
      <c r="L1412" s="10">
        <v>589</v>
      </c>
      <c r="M1412" s="10">
        <v>371.17</v>
      </c>
      <c r="N1412" s="10">
        <v>217.83</v>
      </c>
      <c r="O1412" s="11">
        <f t="shared" si="82"/>
        <v>0.36983022071307303</v>
      </c>
      <c r="P1412" s="10">
        <v>68.760000000000005</v>
      </c>
      <c r="Q1412" s="10">
        <v>149.07</v>
      </c>
      <c r="R1412" s="11">
        <f t="shared" si="83"/>
        <v>0.25308998302207131</v>
      </c>
      <c r="S1412" t="s">
        <v>75</v>
      </c>
      <c r="T1412" t="s">
        <v>82</v>
      </c>
      <c r="U1412" t="s">
        <v>67</v>
      </c>
    </row>
    <row r="1413" spans="1:21" x14ac:dyDescent="0.35">
      <c r="A1413" t="s">
        <v>1542</v>
      </c>
      <c r="B1413" s="5">
        <v>45805</v>
      </c>
      <c r="C1413" t="s">
        <v>100</v>
      </c>
      <c r="D1413" t="s">
        <v>64</v>
      </c>
      <c r="E1413" s="9">
        <v>2</v>
      </c>
      <c r="F1413" s="10">
        <v>310</v>
      </c>
      <c r="G1413" s="11">
        <v>0</v>
      </c>
      <c r="H1413" s="10">
        <v>620</v>
      </c>
      <c r="I1413" s="9">
        <v>0</v>
      </c>
      <c r="J1413" s="10">
        <v>0</v>
      </c>
      <c r="K1413" s="9">
        <v>2</v>
      </c>
      <c r="L1413" s="10">
        <v>620</v>
      </c>
      <c r="M1413" s="10">
        <v>466.01</v>
      </c>
      <c r="N1413" s="10">
        <v>153.99</v>
      </c>
      <c r="O1413" s="11">
        <f t="shared" si="82"/>
        <v>0.24837096774193551</v>
      </c>
      <c r="P1413" s="10">
        <v>32.15</v>
      </c>
      <c r="Q1413" s="10">
        <v>121.84</v>
      </c>
      <c r="R1413" s="11">
        <f t="shared" si="83"/>
        <v>0.19651612903225807</v>
      </c>
      <c r="S1413" t="s">
        <v>75</v>
      </c>
      <c r="T1413" t="s">
        <v>82</v>
      </c>
      <c r="U1413" t="s">
        <v>67</v>
      </c>
    </row>
    <row r="1414" spans="1:21" x14ac:dyDescent="0.35">
      <c r="A1414" t="s">
        <v>1543</v>
      </c>
      <c r="B1414" s="5">
        <v>45953</v>
      </c>
      <c r="C1414" t="s">
        <v>88</v>
      </c>
      <c r="D1414" t="s">
        <v>57</v>
      </c>
      <c r="E1414" s="9">
        <v>10</v>
      </c>
      <c r="F1414" s="10">
        <v>30</v>
      </c>
      <c r="G1414" s="11">
        <v>0</v>
      </c>
      <c r="H1414" s="10">
        <v>300</v>
      </c>
      <c r="I1414" s="9">
        <v>0</v>
      </c>
      <c r="J1414" s="10">
        <v>0</v>
      </c>
      <c r="K1414" s="9">
        <v>10</v>
      </c>
      <c r="L1414" s="10">
        <v>300</v>
      </c>
      <c r="M1414" s="10">
        <v>243.78</v>
      </c>
      <c r="N1414" s="10">
        <v>56.22</v>
      </c>
      <c r="O1414" s="11">
        <f t="shared" si="82"/>
        <v>0.18739999999999998</v>
      </c>
      <c r="P1414" s="10">
        <v>22.14</v>
      </c>
      <c r="Q1414" s="10">
        <v>34.08</v>
      </c>
      <c r="R1414" s="11">
        <f t="shared" si="83"/>
        <v>0.11359999999999999</v>
      </c>
      <c r="S1414" t="s">
        <v>81</v>
      </c>
      <c r="T1414" t="s">
        <v>60</v>
      </c>
      <c r="U1414" t="s">
        <v>61</v>
      </c>
    </row>
    <row r="1415" spans="1:21" x14ac:dyDescent="0.35">
      <c r="A1415" t="s">
        <v>1544</v>
      </c>
      <c r="B1415" s="5">
        <v>45979</v>
      </c>
      <c r="C1415" t="s">
        <v>97</v>
      </c>
      <c r="D1415" t="s">
        <v>57</v>
      </c>
      <c r="E1415" s="9">
        <v>5</v>
      </c>
      <c r="F1415" s="10">
        <v>55</v>
      </c>
      <c r="G1415" s="11">
        <v>0.02</v>
      </c>
      <c r="H1415" s="10">
        <v>269.5</v>
      </c>
      <c r="I1415" s="9">
        <v>0</v>
      </c>
      <c r="J1415" s="10">
        <v>0</v>
      </c>
      <c r="K1415" s="9">
        <v>5</v>
      </c>
      <c r="L1415" s="10">
        <v>269.5</v>
      </c>
      <c r="M1415" s="10">
        <v>196.52</v>
      </c>
      <c r="N1415" s="10">
        <v>72.98</v>
      </c>
      <c r="O1415" s="11">
        <f t="shared" si="82"/>
        <v>0.27079777365491653</v>
      </c>
      <c r="P1415" s="10">
        <v>33.89</v>
      </c>
      <c r="Q1415" s="10">
        <v>39.090000000000003</v>
      </c>
      <c r="R1415" s="11">
        <f t="shared" si="83"/>
        <v>0.14504638218923935</v>
      </c>
      <c r="S1415" t="s">
        <v>75</v>
      </c>
      <c r="T1415" t="s">
        <v>82</v>
      </c>
      <c r="U1415" t="s">
        <v>76</v>
      </c>
    </row>
    <row r="1416" spans="1:21" x14ac:dyDescent="0.35">
      <c r="A1416" t="s">
        <v>1545</v>
      </c>
      <c r="B1416" s="5">
        <v>45863</v>
      </c>
      <c r="C1416" t="s">
        <v>125</v>
      </c>
      <c r="D1416" t="s">
        <v>85</v>
      </c>
      <c r="E1416" s="9">
        <v>1</v>
      </c>
      <c r="F1416" s="10">
        <v>125</v>
      </c>
      <c r="G1416" s="11">
        <v>0.05</v>
      </c>
      <c r="H1416" s="10">
        <v>118.75</v>
      </c>
      <c r="I1416" s="9">
        <v>0</v>
      </c>
      <c r="J1416" s="10">
        <v>0</v>
      </c>
      <c r="K1416" s="9">
        <v>1</v>
      </c>
      <c r="L1416" s="10">
        <v>118.75</v>
      </c>
      <c r="M1416" s="10">
        <v>91.74</v>
      </c>
      <c r="N1416" s="10">
        <v>27.01</v>
      </c>
      <c r="O1416" s="11">
        <f t="shared" si="82"/>
        <v>0.22745263157894738</v>
      </c>
      <c r="P1416" s="10">
        <v>13.22</v>
      </c>
      <c r="Q1416" s="10">
        <v>13.79</v>
      </c>
      <c r="R1416" s="11">
        <f t="shared" si="83"/>
        <v>0.11612631578947367</v>
      </c>
      <c r="S1416" t="s">
        <v>81</v>
      </c>
      <c r="T1416" t="s">
        <v>82</v>
      </c>
      <c r="U1416" t="s">
        <v>76</v>
      </c>
    </row>
    <row r="1417" spans="1:21" x14ac:dyDescent="0.35">
      <c r="A1417" t="s">
        <v>1546</v>
      </c>
      <c r="B1417" s="5">
        <v>45793</v>
      </c>
      <c r="C1417" t="s">
        <v>114</v>
      </c>
      <c r="D1417" t="s">
        <v>64</v>
      </c>
      <c r="E1417" s="9">
        <v>1</v>
      </c>
      <c r="F1417" s="10">
        <v>420</v>
      </c>
      <c r="G1417" s="11">
        <v>0.1</v>
      </c>
      <c r="H1417" s="10">
        <v>378</v>
      </c>
      <c r="I1417" s="9">
        <v>0</v>
      </c>
      <c r="J1417" s="10">
        <v>0</v>
      </c>
      <c r="K1417" s="9">
        <v>1</v>
      </c>
      <c r="L1417" s="10">
        <v>378</v>
      </c>
      <c r="M1417" s="10">
        <v>300.56</v>
      </c>
      <c r="N1417" s="10">
        <v>77.44</v>
      </c>
      <c r="O1417" s="11">
        <f t="shared" si="82"/>
        <v>0.20486772486772487</v>
      </c>
      <c r="P1417" s="10">
        <v>36.01</v>
      </c>
      <c r="Q1417" s="10">
        <v>41.43</v>
      </c>
      <c r="R1417" s="11">
        <f t="shared" si="83"/>
        <v>0.10960317460317461</v>
      </c>
      <c r="S1417" t="s">
        <v>81</v>
      </c>
      <c r="T1417" t="s">
        <v>60</v>
      </c>
      <c r="U1417" t="s">
        <v>71</v>
      </c>
    </row>
    <row r="1418" spans="1:21" x14ac:dyDescent="0.35">
      <c r="A1418" t="s">
        <v>1547</v>
      </c>
      <c r="B1418" s="5">
        <v>45786</v>
      </c>
      <c r="C1418" t="s">
        <v>117</v>
      </c>
      <c r="D1418" t="s">
        <v>74</v>
      </c>
      <c r="E1418" s="9">
        <v>2</v>
      </c>
      <c r="F1418" s="10">
        <v>95</v>
      </c>
      <c r="G1418" s="11">
        <v>0</v>
      </c>
      <c r="H1418" s="10">
        <v>190</v>
      </c>
      <c r="I1418" s="9">
        <v>0</v>
      </c>
      <c r="J1418" s="10">
        <v>0</v>
      </c>
      <c r="K1418" s="9">
        <v>2</v>
      </c>
      <c r="L1418" s="10">
        <v>190</v>
      </c>
      <c r="M1418" s="10">
        <v>135.27000000000001</v>
      </c>
      <c r="N1418" s="10">
        <v>54.73</v>
      </c>
      <c r="O1418" s="11">
        <f t="shared" si="82"/>
        <v>0.28805263157894734</v>
      </c>
      <c r="P1418" s="10">
        <v>15.02</v>
      </c>
      <c r="Q1418" s="10">
        <v>39.71</v>
      </c>
      <c r="R1418" s="11">
        <f t="shared" si="83"/>
        <v>0.20899999999999999</v>
      </c>
      <c r="S1418" t="s">
        <v>59</v>
      </c>
      <c r="T1418" t="s">
        <v>60</v>
      </c>
      <c r="U1418" t="s">
        <v>61</v>
      </c>
    </row>
    <row r="1419" spans="1:21" x14ac:dyDescent="0.35">
      <c r="A1419" t="s">
        <v>1548</v>
      </c>
      <c r="B1419" s="5">
        <v>45748</v>
      </c>
      <c r="C1419" t="s">
        <v>97</v>
      </c>
      <c r="D1419" t="s">
        <v>57</v>
      </c>
      <c r="E1419" s="9">
        <v>1</v>
      </c>
      <c r="F1419" s="10">
        <v>55</v>
      </c>
      <c r="G1419" s="11">
        <v>0.1</v>
      </c>
      <c r="H1419" s="10">
        <v>49.5</v>
      </c>
      <c r="I1419" s="9">
        <v>1</v>
      </c>
      <c r="J1419" s="10">
        <v>49.5</v>
      </c>
      <c r="K1419" s="9">
        <v>0</v>
      </c>
      <c r="L1419" s="10">
        <v>0</v>
      </c>
      <c r="M1419" s="10">
        <v>0</v>
      </c>
      <c r="N1419" s="10">
        <v>0</v>
      </c>
      <c r="O1419" s="11">
        <v>0</v>
      </c>
      <c r="P1419" s="10">
        <v>0</v>
      </c>
      <c r="Q1419" s="10">
        <v>0</v>
      </c>
      <c r="R1419" s="11">
        <v>0</v>
      </c>
      <c r="S1419" t="s">
        <v>65</v>
      </c>
      <c r="T1419" t="s">
        <v>86</v>
      </c>
      <c r="U1419" t="s">
        <v>61</v>
      </c>
    </row>
    <row r="1420" spans="1:21" x14ac:dyDescent="0.35">
      <c r="A1420" t="s">
        <v>1549</v>
      </c>
      <c r="B1420" s="5">
        <v>45789</v>
      </c>
      <c r="C1420" t="s">
        <v>73</v>
      </c>
      <c r="D1420" t="s">
        <v>74</v>
      </c>
      <c r="E1420" s="9">
        <v>5</v>
      </c>
      <c r="F1420" s="10">
        <v>280</v>
      </c>
      <c r="G1420" s="11">
        <v>0.15</v>
      </c>
      <c r="H1420" s="10">
        <v>1190</v>
      </c>
      <c r="I1420" s="9">
        <v>0</v>
      </c>
      <c r="J1420" s="10">
        <v>0</v>
      </c>
      <c r="K1420" s="9">
        <v>5</v>
      </c>
      <c r="L1420" s="10">
        <v>1190</v>
      </c>
      <c r="M1420" s="10">
        <v>829.21</v>
      </c>
      <c r="N1420" s="10">
        <v>360.79</v>
      </c>
      <c r="O1420" s="11">
        <f t="shared" ref="O1420:O1451" si="84">N1420/L1420</f>
        <v>0.30318487394957983</v>
      </c>
      <c r="P1420" s="10">
        <v>93.85</v>
      </c>
      <c r="Q1420" s="10">
        <v>266.94</v>
      </c>
      <c r="R1420" s="11">
        <f t="shared" ref="R1420:R1451" si="85">Q1420/L1420</f>
        <v>0.22431932773109242</v>
      </c>
      <c r="S1420" t="s">
        <v>59</v>
      </c>
      <c r="T1420" t="s">
        <v>60</v>
      </c>
      <c r="U1420" t="s">
        <v>71</v>
      </c>
    </row>
    <row r="1421" spans="1:21" x14ac:dyDescent="0.35">
      <c r="A1421" t="s">
        <v>1550</v>
      </c>
      <c r="B1421" s="5">
        <v>45683</v>
      </c>
      <c r="C1421" t="s">
        <v>95</v>
      </c>
      <c r="D1421" t="s">
        <v>64</v>
      </c>
      <c r="E1421" s="9">
        <v>2</v>
      </c>
      <c r="F1421" s="10">
        <v>52</v>
      </c>
      <c r="G1421" s="11">
        <v>0.05</v>
      </c>
      <c r="H1421" s="10">
        <v>98.8</v>
      </c>
      <c r="I1421" s="9">
        <v>0</v>
      </c>
      <c r="J1421" s="10">
        <v>0</v>
      </c>
      <c r="K1421" s="9">
        <v>2</v>
      </c>
      <c r="L1421" s="10">
        <v>98.8</v>
      </c>
      <c r="M1421" s="10">
        <v>71.209999999999994</v>
      </c>
      <c r="N1421" s="10">
        <v>27.59</v>
      </c>
      <c r="O1421" s="11">
        <f t="shared" si="84"/>
        <v>0.27925101214574899</v>
      </c>
      <c r="P1421" s="10">
        <v>7.7</v>
      </c>
      <c r="Q1421" s="10">
        <v>19.89</v>
      </c>
      <c r="R1421" s="11">
        <f t="shared" si="85"/>
        <v>0.20131578947368423</v>
      </c>
      <c r="S1421" t="s">
        <v>65</v>
      </c>
      <c r="T1421" t="s">
        <v>82</v>
      </c>
      <c r="U1421" t="s">
        <v>61</v>
      </c>
    </row>
    <row r="1422" spans="1:21" x14ac:dyDescent="0.35">
      <c r="A1422" t="s">
        <v>1551</v>
      </c>
      <c r="B1422" s="5">
        <v>45820</v>
      </c>
      <c r="C1422" t="s">
        <v>109</v>
      </c>
      <c r="D1422" t="s">
        <v>85</v>
      </c>
      <c r="E1422" s="9">
        <v>1</v>
      </c>
      <c r="F1422" s="10">
        <v>180</v>
      </c>
      <c r="G1422" s="11">
        <v>0</v>
      </c>
      <c r="H1422" s="10">
        <v>180</v>
      </c>
      <c r="I1422" s="9">
        <v>0</v>
      </c>
      <c r="J1422" s="10">
        <v>0</v>
      </c>
      <c r="K1422" s="9">
        <v>1</v>
      </c>
      <c r="L1422" s="10">
        <v>180</v>
      </c>
      <c r="M1422" s="10">
        <v>117.44</v>
      </c>
      <c r="N1422" s="10">
        <v>62.56</v>
      </c>
      <c r="O1422" s="11">
        <f t="shared" si="84"/>
        <v>0.34755555555555556</v>
      </c>
      <c r="P1422" s="10">
        <v>11.75</v>
      </c>
      <c r="Q1422" s="10">
        <v>50.81</v>
      </c>
      <c r="R1422" s="11">
        <f t="shared" si="85"/>
        <v>0.28227777777777779</v>
      </c>
      <c r="S1422" t="s">
        <v>75</v>
      </c>
      <c r="T1422" t="s">
        <v>86</v>
      </c>
      <c r="U1422" t="s">
        <v>61</v>
      </c>
    </row>
    <row r="1423" spans="1:21" x14ac:dyDescent="0.35">
      <c r="A1423" t="s">
        <v>1552</v>
      </c>
      <c r="B1423" s="5">
        <v>45710</v>
      </c>
      <c r="C1423" t="s">
        <v>78</v>
      </c>
      <c r="D1423" t="s">
        <v>79</v>
      </c>
      <c r="E1423" s="9">
        <v>1</v>
      </c>
      <c r="F1423" s="10">
        <v>120</v>
      </c>
      <c r="G1423" s="11">
        <v>0</v>
      </c>
      <c r="H1423" s="10">
        <v>120</v>
      </c>
      <c r="I1423" s="9">
        <v>0</v>
      </c>
      <c r="J1423" s="10">
        <v>0</v>
      </c>
      <c r="K1423" s="9">
        <v>1</v>
      </c>
      <c r="L1423" s="10">
        <v>120</v>
      </c>
      <c r="M1423" s="10">
        <v>96.16</v>
      </c>
      <c r="N1423" s="10">
        <v>23.84</v>
      </c>
      <c r="O1423" s="11">
        <f t="shared" si="84"/>
        <v>0.19866666666666666</v>
      </c>
      <c r="P1423" s="10">
        <v>12.61</v>
      </c>
      <c r="Q1423" s="10">
        <v>11.23</v>
      </c>
      <c r="R1423" s="11">
        <f t="shared" si="85"/>
        <v>9.3583333333333338E-2</v>
      </c>
      <c r="S1423" t="s">
        <v>75</v>
      </c>
      <c r="T1423" t="s">
        <v>86</v>
      </c>
      <c r="U1423" t="s">
        <v>67</v>
      </c>
    </row>
    <row r="1424" spans="1:21" x14ac:dyDescent="0.35">
      <c r="A1424" t="s">
        <v>1553</v>
      </c>
      <c r="B1424" s="5">
        <v>45752</v>
      </c>
      <c r="C1424" t="s">
        <v>63</v>
      </c>
      <c r="D1424" t="s">
        <v>64</v>
      </c>
      <c r="E1424" s="9">
        <v>3</v>
      </c>
      <c r="F1424" s="10">
        <v>145</v>
      </c>
      <c r="G1424" s="11">
        <v>0</v>
      </c>
      <c r="H1424" s="10">
        <v>435</v>
      </c>
      <c r="I1424" s="9">
        <v>0</v>
      </c>
      <c r="J1424" s="10">
        <v>0</v>
      </c>
      <c r="K1424" s="9">
        <v>3</v>
      </c>
      <c r="L1424" s="10">
        <v>435</v>
      </c>
      <c r="M1424" s="10">
        <v>372.1</v>
      </c>
      <c r="N1424" s="10">
        <v>62.9</v>
      </c>
      <c r="O1424" s="11">
        <f t="shared" si="84"/>
        <v>0.14459770114942527</v>
      </c>
      <c r="P1424" s="10">
        <v>43.11</v>
      </c>
      <c r="Q1424" s="10">
        <v>19.79</v>
      </c>
      <c r="R1424" s="11">
        <f t="shared" si="85"/>
        <v>4.5494252873563214E-2</v>
      </c>
      <c r="S1424" t="s">
        <v>75</v>
      </c>
      <c r="T1424" t="s">
        <v>66</v>
      </c>
      <c r="U1424" t="s">
        <v>71</v>
      </c>
    </row>
    <row r="1425" spans="1:21" x14ac:dyDescent="0.35">
      <c r="A1425" t="s">
        <v>1554</v>
      </c>
      <c r="B1425" s="5">
        <v>45952</v>
      </c>
      <c r="C1425" t="s">
        <v>104</v>
      </c>
      <c r="D1425" t="s">
        <v>105</v>
      </c>
      <c r="E1425" s="9">
        <v>1</v>
      </c>
      <c r="F1425" s="10">
        <v>65</v>
      </c>
      <c r="G1425" s="11">
        <v>0.05</v>
      </c>
      <c r="H1425" s="10">
        <v>61.75</v>
      </c>
      <c r="I1425" s="9">
        <v>0</v>
      </c>
      <c r="J1425" s="10">
        <v>0</v>
      </c>
      <c r="K1425" s="9">
        <v>1</v>
      </c>
      <c r="L1425" s="10">
        <v>61.75</v>
      </c>
      <c r="M1425" s="10">
        <v>42.27</v>
      </c>
      <c r="N1425" s="10">
        <v>19.48</v>
      </c>
      <c r="O1425" s="11">
        <f t="shared" si="84"/>
        <v>0.31546558704453442</v>
      </c>
      <c r="P1425" s="10">
        <v>7.45</v>
      </c>
      <c r="Q1425" s="10">
        <v>12.03</v>
      </c>
      <c r="R1425" s="11">
        <f t="shared" si="85"/>
        <v>0.19481781376518217</v>
      </c>
      <c r="S1425" t="s">
        <v>65</v>
      </c>
      <c r="T1425" t="s">
        <v>86</v>
      </c>
      <c r="U1425" t="s">
        <v>71</v>
      </c>
    </row>
    <row r="1426" spans="1:21" x14ac:dyDescent="0.35">
      <c r="A1426" t="s">
        <v>1555</v>
      </c>
      <c r="B1426" s="5">
        <v>45954</v>
      </c>
      <c r="C1426" t="s">
        <v>97</v>
      </c>
      <c r="D1426" t="s">
        <v>57</v>
      </c>
      <c r="E1426" s="9">
        <v>2</v>
      </c>
      <c r="F1426" s="10">
        <v>55</v>
      </c>
      <c r="G1426" s="11">
        <v>0.05</v>
      </c>
      <c r="H1426" s="10">
        <v>104.5</v>
      </c>
      <c r="I1426" s="9">
        <v>0</v>
      </c>
      <c r="J1426" s="10">
        <v>0</v>
      </c>
      <c r="K1426" s="9">
        <v>2</v>
      </c>
      <c r="L1426" s="10">
        <v>104.5</v>
      </c>
      <c r="M1426" s="10">
        <v>79.59</v>
      </c>
      <c r="N1426" s="10">
        <v>24.91</v>
      </c>
      <c r="O1426" s="11">
        <f t="shared" si="84"/>
        <v>0.23837320574162679</v>
      </c>
      <c r="P1426" s="10">
        <v>10.08</v>
      </c>
      <c r="Q1426" s="10">
        <v>14.83</v>
      </c>
      <c r="R1426" s="11">
        <f t="shared" si="85"/>
        <v>0.14191387559808613</v>
      </c>
      <c r="S1426" t="s">
        <v>65</v>
      </c>
      <c r="T1426" t="s">
        <v>82</v>
      </c>
      <c r="U1426" t="s">
        <v>71</v>
      </c>
    </row>
    <row r="1427" spans="1:21" x14ac:dyDescent="0.35">
      <c r="A1427" t="s">
        <v>1556</v>
      </c>
      <c r="B1427" s="5">
        <v>45986</v>
      </c>
      <c r="C1427" t="s">
        <v>63</v>
      </c>
      <c r="D1427" t="s">
        <v>64</v>
      </c>
      <c r="E1427" s="9">
        <v>1</v>
      </c>
      <c r="F1427" s="10">
        <v>145</v>
      </c>
      <c r="G1427" s="11">
        <v>0.05</v>
      </c>
      <c r="H1427" s="10">
        <v>137.75</v>
      </c>
      <c r="I1427" s="9">
        <v>0</v>
      </c>
      <c r="J1427" s="10">
        <v>0</v>
      </c>
      <c r="K1427" s="9">
        <v>1</v>
      </c>
      <c r="L1427" s="10">
        <v>137.75</v>
      </c>
      <c r="M1427" s="10">
        <v>107.74</v>
      </c>
      <c r="N1427" s="10">
        <v>30.01</v>
      </c>
      <c r="O1427" s="11">
        <f t="shared" si="84"/>
        <v>0.21785843920145193</v>
      </c>
      <c r="P1427" s="10">
        <v>14.42</v>
      </c>
      <c r="Q1427" s="10">
        <v>15.59</v>
      </c>
      <c r="R1427" s="11">
        <f t="shared" si="85"/>
        <v>0.11317604355716879</v>
      </c>
      <c r="S1427" t="s">
        <v>59</v>
      </c>
      <c r="T1427" t="s">
        <v>60</v>
      </c>
      <c r="U1427" t="s">
        <v>71</v>
      </c>
    </row>
    <row r="1428" spans="1:21" x14ac:dyDescent="0.35">
      <c r="A1428" t="s">
        <v>1557</v>
      </c>
      <c r="B1428" s="5">
        <v>45942</v>
      </c>
      <c r="C1428" t="s">
        <v>69</v>
      </c>
      <c r="D1428" t="s">
        <v>70</v>
      </c>
      <c r="E1428" s="9">
        <v>3</v>
      </c>
      <c r="F1428" s="10">
        <v>210</v>
      </c>
      <c r="G1428" s="11">
        <v>0.05</v>
      </c>
      <c r="H1428" s="10">
        <v>598.5</v>
      </c>
      <c r="I1428" s="9">
        <v>0</v>
      </c>
      <c r="J1428" s="10">
        <v>0</v>
      </c>
      <c r="K1428" s="9">
        <v>3</v>
      </c>
      <c r="L1428" s="10">
        <v>598.5</v>
      </c>
      <c r="M1428" s="10">
        <v>408.43</v>
      </c>
      <c r="N1428" s="10">
        <v>190.07</v>
      </c>
      <c r="O1428" s="11">
        <f t="shared" si="84"/>
        <v>0.31757727652464496</v>
      </c>
      <c r="P1428" s="10">
        <v>55.31</v>
      </c>
      <c r="Q1428" s="10">
        <v>134.76</v>
      </c>
      <c r="R1428" s="11">
        <f t="shared" si="85"/>
        <v>0.2251629072681704</v>
      </c>
      <c r="S1428" t="s">
        <v>59</v>
      </c>
      <c r="T1428" t="s">
        <v>86</v>
      </c>
      <c r="U1428" t="s">
        <v>67</v>
      </c>
    </row>
    <row r="1429" spans="1:21" x14ac:dyDescent="0.35">
      <c r="A1429" t="s">
        <v>1558</v>
      </c>
      <c r="B1429" s="5">
        <v>45894</v>
      </c>
      <c r="C1429" t="s">
        <v>63</v>
      </c>
      <c r="D1429" t="s">
        <v>64</v>
      </c>
      <c r="E1429" s="9">
        <v>4</v>
      </c>
      <c r="F1429" s="10">
        <v>145</v>
      </c>
      <c r="G1429" s="11">
        <v>0</v>
      </c>
      <c r="H1429" s="10">
        <v>580</v>
      </c>
      <c r="I1429" s="9">
        <v>0</v>
      </c>
      <c r="J1429" s="10">
        <v>0</v>
      </c>
      <c r="K1429" s="9">
        <v>4</v>
      </c>
      <c r="L1429" s="10">
        <v>580</v>
      </c>
      <c r="M1429" s="10">
        <v>422.1</v>
      </c>
      <c r="N1429" s="10">
        <v>157.9</v>
      </c>
      <c r="O1429" s="11">
        <f t="shared" si="84"/>
        <v>0.27224137931034481</v>
      </c>
      <c r="P1429" s="10">
        <v>66.5</v>
      </c>
      <c r="Q1429" s="10">
        <v>91.4</v>
      </c>
      <c r="R1429" s="11">
        <f t="shared" si="85"/>
        <v>0.15758620689655173</v>
      </c>
      <c r="S1429" t="s">
        <v>81</v>
      </c>
      <c r="T1429" t="s">
        <v>66</v>
      </c>
      <c r="U1429" t="s">
        <v>67</v>
      </c>
    </row>
    <row r="1430" spans="1:21" x14ac:dyDescent="0.35">
      <c r="A1430" t="s">
        <v>1559</v>
      </c>
      <c r="B1430" s="5">
        <v>45876</v>
      </c>
      <c r="C1430" t="s">
        <v>114</v>
      </c>
      <c r="D1430" t="s">
        <v>64</v>
      </c>
      <c r="E1430" s="9">
        <v>3</v>
      </c>
      <c r="F1430" s="10">
        <v>420</v>
      </c>
      <c r="G1430" s="11">
        <v>0</v>
      </c>
      <c r="H1430" s="10">
        <v>1260</v>
      </c>
      <c r="I1430" s="9">
        <v>0</v>
      </c>
      <c r="J1430" s="10">
        <v>0</v>
      </c>
      <c r="K1430" s="9">
        <v>3</v>
      </c>
      <c r="L1430" s="10">
        <v>1260</v>
      </c>
      <c r="M1430" s="10">
        <v>1062.56</v>
      </c>
      <c r="N1430" s="10">
        <v>197.44</v>
      </c>
      <c r="O1430" s="11">
        <f t="shared" si="84"/>
        <v>0.1566984126984127</v>
      </c>
      <c r="P1430" s="10">
        <v>142.21</v>
      </c>
      <c r="Q1430" s="10">
        <v>55.23</v>
      </c>
      <c r="R1430" s="11">
        <f t="shared" si="85"/>
        <v>4.3833333333333328E-2</v>
      </c>
      <c r="S1430" t="s">
        <v>81</v>
      </c>
      <c r="T1430" t="s">
        <v>60</v>
      </c>
      <c r="U1430" t="s">
        <v>67</v>
      </c>
    </row>
    <row r="1431" spans="1:21" x14ac:dyDescent="0.35">
      <c r="A1431" t="s">
        <v>1560</v>
      </c>
      <c r="B1431" s="5">
        <v>45905</v>
      </c>
      <c r="C1431" t="s">
        <v>100</v>
      </c>
      <c r="D1431" t="s">
        <v>64</v>
      </c>
      <c r="E1431" s="9">
        <v>8</v>
      </c>
      <c r="F1431" s="10">
        <v>310</v>
      </c>
      <c r="G1431" s="11">
        <v>0.02</v>
      </c>
      <c r="H1431" s="10">
        <v>2430.4</v>
      </c>
      <c r="I1431" s="9">
        <v>0</v>
      </c>
      <c r="J1431" s="10">
        <v>0</v>
      </c>
      <c r="K1431" s="9">
        <v>8</v>
      </c>
      <c r="L1431" s="10">
        <v>2430.4</v>
      </c>
      <c r="M1431" s="10">
        <v>1830.11</v>
      </c>
      <c r="N1431" s="10">
        <v>600.29</v>
      </c>
      <c r="O1431" s="11">
        <f t="shared" si="84"/>
        <v>0.24699226464779458</v>
      </c>
      <c r="P1431" s="10">
        <v>202.69</v>
      </c>
      <c r="Q1431" s="10">
        <v>397.6</v>
      </c>
      <c r="R1431" s="11">
        <f t="shared" si="85"/>
        <v>0.16359447004608296</v>
      </c>
      <c r="S1431" t="s">
        <v>59</v>
      </c>
      <c r="T1431" t="s">
        <v>60</v>
      </c>
      <c r="U1431" t="s">
        <v>67</v>
      </c>
    </row>
    <row r="1432" spans="1:21" x14ac:dyDescent="0.35">
      <c r="A1432" t="s">
        <v>1561</v>
      </c>
      <c r="B1432" s="5">
        <v>45725</v>
      </c>
      <c r="C1432" t="s">
        <v>78</v>
      </c>
      <c r="D1432" t="s">
        <v>79</v>
      </c>
      <c r="E1432" s="9">
        <v>1</v>
      </c>
      <c r="F1432" s="10">
        <v>120</v>
      </c>
      <c r="G1432" s="11">
        <v>0.02</v>
      </c>
      <c r="H1432" s="10">
        <v>117.6</v>
      </c>
      <c r="I1432" s="9">
        <v>0</v>
      </c>
      <c r="J1432" s="10">
        <v>0</v>
      </c>
      <c r="K1432" s="9">
        <v>1</v>
      </c>
      <c r="L1432" s="10">
        <v>117.6</v>
      </c>
      <c r="M1432" s="10">
        <v>73.62</v>
      </c>
      <c r="N1432" s="10">
        <v>43.98</v>
      </c>
      <c r="O1432" s="11">
        <f t="shared" si="84"/>
        <v>0.37397959183673468</v>
      </c>
      <c r="P1432" s="10">
        <v>15.16</v>
      </c>
      <c r="Q1432" s="10">
        <v>28.82</v>
      </c>
      <c r="R1432" s="11">
        <f t="shared" si="85"/>
        <v>0.24506802721088436</v>
      </c>
      <c r="S1432" t="s">
        <v>65</v>
      </c>
      <c r="T1432" t="s">
        <v>86</v>
      </c>
      <c r="U1432" t="s">
        <v>61</v>
      </c>
    </row>
    <row r="1433" spans="1:21" x14ac:dyDescent="0.35">
      <c r="A1433" t="s">
        <v>1562</v>
      </c>
      <c r="B1433" s="5">
        <v>45689</v>
      </c>
      <c r="C1433" t="s">
        <v>121</v>
      </c>
      <c r="D1433" t="s">
        <v>70</v>
      </c>
      <c r="E1433" s="9">
        <v>3</v>
      </c>
      <c r="F1433" s="10">
        <v>110</v>
      </c>
      <c r="G1433" s="11">
        <v>0.02</v>
      </c>
      <c r="H1433" s="10">
        <v>323.39999999999998</v>
      </c>
      <c r="I1433" s="9">
        <v>0</v>
      </c>
      <c r="J1433" s="10">
        <v>0</v>
      </c>
      <c r="K1433" s="9">
        <v>3</v>
      </c>
      <c r="L1433" s="10">
        <v>323.39999999999998</v>
      </c>
      <c r="M1433" s="10">
        <v>211.58</v>
      </c>
      <c r="N1433" s="10">
        <v>111.82</v>
      </c>
      <c r="O1433" s="11">
        <f t="shared" si="84"/>
        <v>0.34576376004947434</v>
      </c>
      <c r="P1433" s="10">
        <v>24.43</v>
      </c>
      <c r="Q1433" s="10">
        <v>87.39</v>
      </c>
      <c r="R1433" s="11">
        <f t="shared" si="85"/>
        <v>0.27022263450834882</v>
      </c>
      <c r="S1433" t="s">
        <v>75</v>
      </c>
      <c r="T1433" t="s">
        <v>86</v>
      </c>
      <c r="U1433" t="s">
        <v>71</v>
      </c>
    </row>
    <row r="1434" spans="1:21" x14ac:dyDescent="0.35">
      <c r="A1434" t="s">
        <v>1563</v>
      </c>
      <c r="B1434" s="5">
        <v>45773</v>
      </c>
      <c r="C1434" t="s">
        <v>107</v>
      </c>
      <c r="D1434" t="s">
        <v>74</v>
      </c>
      <c r="E1434" s="9">
        <v>4</v>
      </c>
      <c r="F1434" s="10">
        <v>125</v>
      </c>
      <c r="G1434" s="11">
        <v>0</v>
      </c>
      <c r="H1434" s="10">
        <v>500</v>
      </c>
      <c r="I1434" s="9">
        <v>0</v>
      </c>
      <c r="J1434" s="10">
        <v>0</v>
      </c>
      <c r="K1434" s="9">
        <v>4</v>
      </c>
      <c r="L1434" s="10">
        <v>500</v>
      </c>
      <c r="M1434" s="10">
        <v>387.4</v>
      </c>
      <c r="N1434" s="10">
        <v>112.6</v>
      </c>
      <c r="O1434" s="11">
        <f t="shared" si="84"/>
        <v>0.22519999999999998</v>
      </c>
      <c r="P1434" s="10">
        <v>41.07</v>
      </c>
      <c r="Q1434" s="10">
        <v>71.53</v>
      </c>
      <c r="R1434" s="11">
        <f t="shared" si="85"/>
        <v>0.14305999999999999</v>
      </c>
      <c r="S1434" t="s">
        <v>59</v>
      </c>
      <c r="T1434" t="s">
        <v>86</v>
      </c>
      <c r="U1434" t="s">
        <v>67</v>
      </c>
    </row>
    <row r="1435" spans="1:21" x14ac:dyDescent="0.35">
      <c r="A1435" t="s">
        <v>1564</v>
      </c>
      <c r="B1435" s="5">
        <v>45759</v>
      </c>
      <c r="C1435" t="s">
        <v>97</v>
      </c>
      <c r="D1435" t="s">
        <v>57</v>
      </c>
      <c r="E1435" s="9">
        <v>2</v>
      </c>
      <c r="F1435" s="10">
        <v>55</v>
      </c>
      <c r="G1435" s="11">
        <v>0.05</v>
      </c>
      <c r="H1435" s="10">
        <v>104.5</v>
      </c>
      <c r="I1435" s="9">
        <v>0</v>
      </c>
      <c r="J1435" s="10">
        <v>0</v>
      </c>
      <c r="K1435" s="9">
        <v>2</v>
      </c>
      <c r="L1435" s="10">
        <v>104.5</v>
      </c>
      <c r="M1435" s="10">
        <v>69.37</v>
      </c>
      <c r="N1435" s="10">
        <v>35.130000000000003</v>
      </c>
      <c r="O1435" s="11">
        <f t="shared" si="84"/>
        <v>0.33617224880382779</v>
      </c>
      <c r="P1435" s="10">
        <v>11.3</v>
      </c>
      <c r="Q1435" s="10">
        <v>23.83</v>
      </c>
      <c r="R1435" s="11">
        <f t="shared" si="85"/>
        <v>0.22803827751196171</v>
      </c>
      <c r="S1435" t="s">
        <v>75</v>
      </c>
      <c r="T1435" t="s">
        <v>86</v>
      </c>
      <c r="U1435" t="s">
        <v>67</v>
      </c>
    </row>
    <row r="1436" spans="1:21" x14ac:dyDescent="0.35">
      <c r="A1436" t="s">
        <v>1565</v>
      </c>
      <c r="B1436" s="5">
        <v>45883</v>
      </c>
      <c r="C1436" t="s">
        <v>73</v>
      </c>
      <c r="D1436" t="s">
        <v>74</v>
      </c>
      <c r="E1436" s="9">
        <v>2</v>
      </c>
      <c r="F1436" s="10">
        <v>280</v>
      </c>
      <c r="G1436" s="11">
        <v>0</v>
      </c>
      <c r="H1436" s="10">
        <v>560</v>
      </c>
      <c r="I1436" s="9">
        <v>0</v>
      </c>
      <c r="J1436" s="10">
        <v>0</v>
      </c>
      <c r="K1436" s="9">
        <v>2</v>
      </c>
      <c r="L1436" s="10">
        <v>560</v>
      </c>
      <c r="M1436" s="10">
        <v>356.74</v>
      </c>
      <c r="N1436" s="10">
        <v>203.26</v>
      </c>
      <c r="O1436" s="11">
        <f t="shared" si="84"/>
        <v>0.36296428571428568</v>
      </c>
      <c r="P1436" s="10">
        <v>67.84</v>
      </c>
      <c r="Q1436" s="10">
        <v>135.41999999999999</v>
      </c>
      <c r="R1436" s="11">
        <f t="shared" si="85"/>
        <v>0.24182142857142855</v>
      </c>
      <c r="S1436" t="s">
        <v>65</v>
      </c>
      <c r="T1436" t="s">
        <v>60</v>
      </c>
      <c r="U1436" t="s">
        <v>71</v>
      </c>
    </row>
    <row r="1437" spans="1:21" x14ac:dyDescent="0.35">
      <c r="A1437" t="s">
        <v>1566</v>
      </c>
      <c r="B1437" s="5">
        <v>45828</v>
      </c>
      <c r="C1437" t="s">
        <v>90</v>
      </c>
      <c r="D1437" t="s">
        <v>70</v>
      </c>
      <c r="E1437" s="9">
        <v>8</v>
      </c>
      <c r="F1437" s="10">
        <v>38</v>
      </c>
      <c r="G1437" s="11">
        <v>0.05</v>
      </c>
      <c r="H1437" s="10">
        <v>288.8</v>
      </c>
      <c r="I1437" s="9">
        <v>0</v>
      </c>
      <c r="J1437" s="10">
        <v>0</v>
      </c>
      <c r="K1437" s="9">
        <v>8</v>
      </c>
      <c r="L1437" s="10">
        <v>288.8</v>
      </c>
      <c r="M1437" s="10">
        <v>226.84</v>
      </c>
      <c r="N1437" s="10">
        <v>61.96</v>
      </c>
      <c r="O1437" s="11">
        <f t="shared" si="84"/>
        <v>0.21454293628808863</v>
      </c>
      <c r="P1437" s="10">
        <v>32.9</v>
      </c>
      <c r="Q1437" s="10">
        <v>29.06</v>
      </c>
      <c r="R1437" s="11">
        <f t="shared" si="85"/>
        <v>0.10062326869806093</v>
      </c>
      <c r="S1437" t="s">
        <v>81</v>
      </c>
      <c r="T1437" t="s">
        <v>66</v>
      </c>
      <c r="U1437" t="s">
        <v>61</v>
      </c>
    </row>
    <row r="1438" spans="1:21" x14ac:dyDescent="0.35">
      <c r="A1438" t="s">
        <v>1567</v>
      </c>
      <c r="B1438" s="5">
        <v>45800</v>
      </c>
      <c r="C1438" t="s">
        <v>92</v>
      </c>
      <c r="D1438" t="s">
        <v>79</v>
      </c>
      <c r="E1438" s="9">
        <v>2</v>
      </c>
      <c r="F1438" s="10">
        <v>85</v>
      </c>
      <c r="G1438" s="11">
        <v>0</v>
      </c>
      <c r="H1438" s="10">
        <v>170</v>
      </c>
      <c r="I1438" s="9">
        <v>0</v>
      </c>
      <c r="J1438" s="10">
        <v>0</v>
      </c>
      <c r="K1438" s="9">
        <v>2</v>
      </c>
      <c r="L1438" s="10">
        <v>170</v>
      </c>
      <c r="M1438" s="10">
        <v>146.16999999999999</v>
      </c>
      <c r="N1438" s="10">
        <v>23.83</v>
      </c>
      <c r="O1438" s="11">
        <f t="shared" si="84"/>
        <v>0.14017647058823529</v>
      </c>
      <c r="P1438" s="10">
        <v>20.53</v>
      </c>
      <c r="Q1438" s="10">
        <v>3.3</v>
      </c>
      <c r="R1438" s="11">
        <f t="shared" si="85"/>
        <v>1.9411764705882351E-2</v>
      </c>
      <c r="S1438" t="s">
        <v>65</v>
      </c>
      <c r="T1438" t="s">
        <v>60</v>
      </c>
      <c r="U1438" t="s">
        <v>71</v>
      </c>
    </row>
    <row r="1439" spans="1:21" x14ac:dyDescent="0.35">
      <c r="A1439" t="s">
        <v>1568</v>
      </c>
      <c r="B1439" s="5">
        <v>45851</v>
      </c>
      <c r="C1439" t="s">
        <v>121</v>
      </c>
      <c r="D1439" t="s">
        <v>70</v>
      </c>
      <c r="E1439" s="9">
        <v>8</v>
      </c>
      <c r="F1439" s="10">
        <v>110</v>
      </c>
      <c r="G1439" s="11">
        <v>0</v>
      </c>
      <c r="H1439" s="10">
        <v>880</v>
      </c>
      <c r="I1439" s="9">
        <v>0</v>
      </c>
      <c r="J1439" s="10">
        <v>0</v>
      </c>
      <c r="K1439" s="9">
        <v>8</v>
      </c>
      <c r="L1439" s="10">
        <v>880</v>
      </c>
      <c r="M1439" s="10">
        <v>651.79</v>
      </c>
      <c r="N1439" s="10">
        <v>228.21</v>
      </c>
      <c r="O1439" s="11">
        <f t="shared" si="84"/>
        <v>0.25932954545454545</v>
      </c>
      <c r="P1439" s="10">
        <v>44.25</v>
      </c>
      <c r="Q1439" s="10">
        <v>183.96</v>
      </c>
      <c r="R1439" s="11">
        <f t="shared" si="85"/>
        <v>0.20904545454545456</v>
      </c>
      <c r="S1439" t="s">
        <v>81</v>
      </c>
      <c r="T1439" t="s">
        <v>60</v>
      </c>
      <c r="U1439" t="s">
        <v>76</v>
      </c>
    </row>
    <row r="1440" spans="1:21" x14ac:dyDescent="0.35">
      <c r="A1440" t="s">
        <v>1569</v>
      </c>
      <c r="B1440" s="5">
        <v>45885</v>
      </c>
      <c r="C1440" t="s">
        <v>104</v>
      </c>
      <c r="D1440" t="s">
        <v>105</v>
      </c>
      <c r="E1440" s="9">
        <v>1</v>
      </c>
      <c r="F1440" s="10">
        <v>65</v>
      </c>
      <c r="G1440" s="11">
        <v>0</v>
      </c>
      <c r="H1440" s="10">
        <v>65</v>
      </c>
      <c r="I1440" s="9">
        <v>0</v>
      </c>
      <c r="J1440" s="10">
        <v>0</v>
      </c>
      <c r="K1440" s="9">
        <v>1</v>
      </c>
      <c r="L1440" s="10">
        <v>65</v>
      </c>
      <c r="M1440" s="10">
        <v>52.84</v>
      </c>
      <c r="N1440" s="10">
        <v>12.16</v>
      </c>
      <c r="O1440" s="11">
        <f t="shared" si="84"/>
        <v>0.18707692307692309</v>
      </c>
      <c r="P1440" s="10">
        <v>8.1199999999999992</v>
      </c>
      <c r="Q1440" s="10">
        <v>4.04</v>
      </c>
      <c r="R1440" s="11">
        <f t="shared" si="85"/>
        <v>6.2153846153846157E-2</v>
      </c>
      <c r="S1440" t="s">
        <v>59</v>
      </c>
      <c r="T1440" t="s">
        <v>66</v>
      </c>
      <c r="U1440" t="s">
        <v>61</v>
      </c>
    </row>
    <row r="1441" spans="1:21" x14ac:dyDescent="0.35">
      <c r="A1441" t="s">
        <v>1570</v>
      </c>
      <c r="B1441" s="5">
        <v>45672</v>
      </c>
      <c r="C1441" t="s">
        <v>117</v>
      </c>
      <c r="D1441" t="s">
        <v>74</v>
      </c>
      <c r="E1441" s="9">
        <v>5</v>
      </c>
      <c r="F1441" s="10">
        <v>95</v>
      </c>
      <c r="G1441" s="11">
        <v>0.05</v>
      </c>
      <c r="H1441" s="10">
        <v>451.25</v>
      </c>
      <c r="I1441" s="9">
        <v>0</v>
      </c>
      <c r="J1441" s="10">
        <v>0</v>
      </c>
      <c r="K1441" s="9">
        <v>5</v>
      </c>
      <c r="L1441" s="10">
        <v>451.25</v>
      </c>
      <c r="M1441" s="10">
        <v>319.62</v>
      </c>
      <c r="N1441" s="10">
        <v>131.63</v>
      </c>
      <c r="O1441" s="11">
        <f t="shared" si="84"/>
        <v>0.29170083102493072</v>
      </c>
      <c r="P1441" s="10">
        <v>31.68</v>
      </c>
      <c r="Q1441" s="10">
        <v>99.95</v>
      </c>
      <c r="R1441" s="11">
        <f t="shared" si="85"/>
        <v>0.22149584487534626</v>
      </c>
      <c r="S1441" t="s">
        <v>65</v>
      </c>
      <c r="T1441" t="s">
        <v>66</v>
      </c>
      <c r="U1441" t="s">
        <v>67</v>
      </c>
    </row>
    <row r="1442" spans="1:21" x14ac:dyDescent="0.35">
      <c r="A1442" t="s">
        <v>1571</v>
      </c>
      <c r="B1442" s="5">
        <v>45917</v>
      </c>
      <c r="C1442" t="s">
        <v>69</v>
      </c>
      <c r="D1442" t="s">
        <v>70</v>
      </c>
      <c r="E1442" s="9">
        <v>1</v>
      </c>
      <c r="F1442" s="10">
        <v>210</v>
      </c>
      <c r="G1442" s="11">
        <v>0</v>
      </c>
      <c r="H1442" s="10">
        <v>210</v>
      </c>
      <c r="I1442" s="9">
        <v>0</v>
      </c>
      <c r="J1442" s="10">
        <v>0</v>
      </c>
      <c r="K1442" s="9">
        <v>1</v>
      </c>
      <c r="L1442" s="10">
        <v>210</v>
      </c>
      <c r="M1442" s="10">
        <v>169.67</v>
      </c>
      <c r="N1442" s="10">
        <v>40.33</v>
      </c>
      <c r="O1442" s="11">
        <f t="shared" si="84"/>
        <v>0.19204761904761905</v>
      </c>
      <c r="P1442" s="10">
        <v>14.27</v>
      </c>
      <c r="Q1442" s="10">
        <v>26.06</v>
      </c>
      <c r="R1442" s="11">
        <f t="shared" si="85"/>
        <v>0.12409523809523809</v>
      </c>
      <c r="S1442" t="s">
        <v>65</v>
      </c>
      <c r="T1442" t="s">
        <v>82</v>
      </c>
      <c r="U1442" t="s">
        <v>76</v>
      </c>
    </row>
    <row r="1443" spans="1:21" x14ac:dyDescent="0.35">
      <c r="A1443" t="s">
        <v>1572</v>
      </c>
      <c r="B1443" s="5">
        <v>45669</v>
      </c>
      <c r="C1443" t="s">
        <v>104</v>
      </c>
      <c r="D1443" t="s">
        <v>105</v>
      </c>
      <c r="E1443" s="9">
        <v>4</v>
      </c>
      <c r="F1443" s="10">
        <v>65</v>
      </c>
      <c r="G1443" s="11">
        <v>0</v>
      </c>
      <c r="H1443" s="10">
        <v>260</v>
      </c>
      <c r="I1443" s="9">
        <v>0</v>
      </c>
      <c r="J1443" s="10">
        <v>0</v>
      </c>
      <c r="K1443" s="9">
        <v>4</v>
      </c>
      <c r="L1443" s="10">
        <v>260</v>
      </c>
      <c r="M1443" s="10">
        <v>189.41</v>
      </c>
      <c r="N1443" s="10">
        <v>70.59</v>
      </c>
      <c r="O1443" s="11">
        <f t="shared" si="84"/>
        <v>0.27150000000000002</v>
      </c>
      <c r="P1443" s="10">
        <v>14.52</v>
      </c>
      <c r="Q1443" s="10">
        <v>56.07</v>
      </c>
      <c r="R1443" s="11">
        <f t="shared" si="85"/>
        <v>0.21565384615384617</v>
      </c>
      <c r="S1443" t="s">
        <v>75</v>
      </c>
      <c r="T1443" t="s">
        <v>86</v>
      </c>
      <c r="U1443" t="s">
        <v>71</v>
      </c>
    </row>
    <row r="1444" spans="1:21" x14ac:dyDescent="0.35">
      <c r="A1444" t="s">
        <v>1573</v>
      </c>
      <c r="B1444" s="5">
        <v>45666</v>
      </c>
      <c r="C1444" t="s">
        <v>117</v>
      </c>
      <c r="D1444" t="s">
        <v>74</v>
      </c>
      <c r="E1444" s="9">
        <v>1</v>
      </c>
      <c r="F1444" s="10">
        <v>95</v>
      </c>
      <c r="G1444" s="11">
        <v>0</v>
      </c>
      <c r="H1444" s="10">
        <v>95</v>
      </c>
      <c r="I1444" s="9">
        <v>0</v>
      </c>
      <c r="J1444" s="10">
        <v>0</v>
      </c>
      <c r="K1444" s="9">
        <v>1</v>
      </c>
      <c r="L1444" s="10">
        <v>95</v>
      </c>
      <c r="M1444" s="10">
        <v>78.63</v>
      </c>
      <c r="N1444" s="10">
        <v>16.37</v>
      </c>
      <c r="O1444" s="11">
        <f t="shared" si="84"/>
        <v>0.17231578947368423</v>
      </c>
      <c r="P1444" s="10">
        <v>10.16</v>
      </c>
      <c r="Q1444" s="10">
        <v>6.21</v>
      </c>
      <c r="R1444" s="11">
        <f t="shared" si="85"/>
        <v>6.5368421052631576E-2</v>
      </c>
      <c r="S1444" t="s">
        <v>75</v>
      </c>
      <c r="T1444" t="s">
        <v>86</v>
      </c>
      <c r="U1444" t="s">
        <v>71</v>
      </c>
    </row>
    <row r="1445" spans="1:21" x14ac:dyDescent="0.35">
      <c r="A1445" t="s">
        <v>1574</v>
      </c>
      <c r="B1445" s="5">
        <v>45768</v>
      </c>
      <c r="C1445" t="s">
        <v>117</v>
      </c>
      <c r="D1445" t="s">
        <v>74</v>
      </c>
      <c r="E1445" s="9">
        <v>3</v>
      </c>
      <c r="F1445" s="10">
        <v>95</v>
      </c>
      <c r="G1445" s="11">
        <v>0.02</v>
      </c>
      <c r="H1445" s="10">
        <v>279.3</v>
      </c>
      <c r="I1445" s="9">
        <v>0</v>
      </c>
      <c r="J1445" s="10">
        <v>0</v>
      </c>
      <c r="K1445" s="9">
        <v>3</v>
      </c>
      <c r="L1445" s="10">
        <v>279.3</v>
      </c>
      <c r="M1445" s="10">
        <v>230.88</v>
      </c>
      <c r="N1445" s="10">
        <v>48.42</v>
      </c>
      <c r="O1445" s="11">
        <f t="shared" si="84"/>
        <v>0.17336197636949516</v>
      </c>
      <c r="P1445" s="10">
        <v>16.7</v>
      </c>
      <c r="Q1445" s="10">
        <v>31.72</v>
      </c>
      <c r="R1445" s="11">
        <f t="shared" si="85"/>
        <v>0.11356963838166845</v>
      </c>
      <c r="S1445" t="s">
        <v>75</v>
      </c>
      <c r="T1445" t="s">
        <v>66</v>
      </c>
      <c r="U1445" t="s">
        <v>67</v>
      </c>
    </row>
    <row r="1446" spans="1:21" x14ac:dyDescent="0.35">
      <c r="A1446" t="s">
        <v>1575</v>
      </c>
      <c r="B1446" s="5">
        <v>45928</v>
      </c>
      <c r="C1446" t="s">
        <v>92</v>
      </c>
      <c r="D1446" t="s">
        <v>79</v>
      </c>
      <c r="E1446" s="9">
        <v>1</v>
      </c>
      <c r="F1446" s="10">
        <v>85</v>
      </c>
      <c r="G1446" s="11">
        <v>0</v>
      </c>
      <c r="H1446" s="10">
        <v>85</v>
      </c>
      <c r="I1446" s="9">
        <v>0</v>
      </c>
      <c r="J1446" s="10">
        <v>0</v>
      </c>
      <c r="K1446" s="9">
        <v>1</v>
      </c>
      <c r="L1446" s="10">
        <v>85</v>
      </c>
      <c r="M1446" s="10">
        <v>53.65</v>
      </c>
      <c r="N1446" s="10">
        <v>31.35</v>
      </c>
      <c r="O1446" s="11">
        <f t="shared" si="84"/>
        <v>0.36882352941176472</v>
      </c>
      <c r="P1446" s="10">
        <v>6.59</v>
      </c>
      <c r="Q1446" s="10">
        <v>24.76</v>
      </c>
      <c r="R1446" s="11">
        <f t="shared" si="85"/>
        <v>0.29129411764705881</v>
      </c>
      <c r="S1446" t="s">
        <v>59</v>
      </c>
      <c r="T1446" t="s">
        <v>66</v>
      </c>
      <c r="U1446" t="s">
        <v>71</v>
      </c>
    </row>
    <row r="1447" spans="1:21" x14ac:dyDescent="0.35">
      <c r="A1447" t="s">
        <v>1576</v>
      </c>
      <c r="B1447" s="5">
        <v>45709</v>
      </c>
      <c r="C1447" t="s">
        <v>56</v>
      </c>
      <c r="D1447" t="s">
        <v>57</v>
      </c>
      <c r="E1447" s="9">
        <v>4</v>
      </c>
      <c r="F1447" s="10">
        <v>40</v>
      </c>
      <c r="G1447" s="11">
        <v>0</v>
      </c>
      <c r="H1447" s="10">
        <v>160</v>
      </c>
      <c r="I1447" s="9">
        <v>0</v>
      </c>
      <c r="J1447" s="10">
        <v>0</v>
      </c>
      <c r="K1447" s="9">
        <v>4</v>
      </c>
      <c r="L1447" s="10">
        <v>160</v>
      </c>
      <c r="M1447" s="10">
        <v>100.61</v>
      </c>
      <c r="N1447" s="10">
        <v>59.39</v>
      </c>
      <c r="O1447" s="11">
        <f t="shared" si="84"/>
        <v>0.3711875</v>
      </c>
      <c r="P1447" s="10">
        <v>9.64</v>
      </c>
      <c r="Q1447" s="10">
        <v>49.75</v>
      </c>
      <c r="R1447" s="11">
        <f t="shared" si="85"/>
        <v>0.31093749999999998</v>
      </c>
      <c r="S1447" t="s">
        <v>81</v>
      </c>
      <c r="T1447" t="s">
        <v>82</v>
      </c>
      <c r="U1447" t="s">
        <v>76</v>
      </c>
    </row>
    <row r="1448" spans="1:21" x14ac:dyDescent="0.35">
      <c r="A1448" t="s">
        <v>1577</v>
      </c>
      <c r="B1448" s="5">
        <v>45949</v>
      </c>
      <c r="C1448" t="s">
        <v>56</v>
      </c>
      <c r="D1448" t="s">
        <v>57</v>
      </c>
      <c r="E1448" s="9">
        <v>2</v>
      </c>
      <c r="F1448" s="10">
        <v>40</v>
      </c>
      <c r="G1448" s="11">
        <v>0.05</v>
      </c>
      <c r="H1448" s="10">
        <v>76</v>
      </c>
      <c r="I1448" s="9">
        <v>0</v>
      </c>
      <c r="J1448" s="10">
        <v>0</v>
      </c>
      <c r="K1448" s="9">
        <v>2</v>
      </c>
      <c r="L1448" s="10">
        <v>76</v>
      </c>
      <c r="M1448" s="10">
        <v>56.42</v>
      </c>
      <c r="N1448" s="10">
        <v>19.579999999999998</v>
      </c>
      <c r="O1448" s="11">
        <f t="shared" si="84"/>
        <v>0.25763157894736838</v>
      </c>
      <c r="P1448" s="10">
        <v>5.84</v>
      </c>
      <c r="Q1448" s="10">
        <v>13.74</v>
      </c>
      <c r="R1448" s="11">
        <f t="shared" si="85"/>
        <v>0.18078947368421053</v>
      </c>
      <c r="S1448" t="s">
        <v>59</v>
      </c>
      <c r="T1448" t="s">
        <v>86</v>
      </c>
      <c r="U1448" t="s">
        <v>61</v>
      </c>
    </row>
    <row r="1449" spans="1:21" x14ac:dyDescent="0.35">
      <c r="A1449" t="s">
        <v>1578</v>
      </c>
      <c r="B1449" s="5">
        <v>45955</v>
      </c>
      <c r="C1449" t="s">
        <v>90</v>
      </c>
      <c r="D1449" t="s">
        <v>70</v>
      </c>
      <c r="E1449" s="9">
        <v>2</v>
      </c>
      <c r="F1449" s="10">
        <v>38</v>
      </c>
      <c r="G1449" s="11">
        <v>0</v>
      </c>
      <c r="H1449" s="10">
        <v>76</v>
      </c>
      <c r="I1449" s="9">
        <v>0</v>
      </c>
      <c r="J1449" s="10">
        <v>0</v>
      </c>
      <c r="K1449" s="9">
        <v>2</v>
      </c>
      <c r="L1449" s="10">
        <v>76</v>
      </c>
      <c r="M1449" s="10">
        <v>61.93</v>
      </c>
      <c r="N1449" s="10">
        <v>14.07</v>
      </c>
      <c r="O1449" s="11">
        <f t="shared" si="84"/>
        <v>0.18513157894736842</v>
      </c>
      <c r="P1449" s="10">
        <v>5.42</v>
      </c>
      <c r="Q1449" s="10">
        <v>8.65</v>
      </c>
      <c r="R1449" s="11">
        <f t="shared" si="85"/>
        <v>0.11381578947368422</v>
      </c>
      <c r="S1449" t="s">
        <v>75</v>
      </c>
      <c r="T1449" t="s">
        <v>82</v>
      </c>
      <c r="U1449" t="s">
        <v>76</v>
      </c>
    </row>
    <row r="1450" spans="1:21" x14ac:dyDescent="0.35">
      <c r="A1450" t="s">
        <v>1579</v>
      </c>
      <c r="B1450" s="5">
        <v>45926</v>
      </c>
      <c r="C1450" t="s">
        <v>109</v>
      </c>
      <c r="D1450" t="s">
        <v>85</v>
      </c>
      <c r="E1450" s="9">
        <v>4</v>
      </c>
      <c r="F1450" s="10">
        <v>180</v>
      </c>
      <c r="G1450" s="11">
        <v>0</v>
      </c>
      <c r="H1450" s="10">
        <v>720</v>
      </c>
      <c r="I1450" s="9">
        <v>0</v>
      </c>
      <c r="J1450" s="10">
        <v>0</v>
      </c>
      <c r="K1450" s="9">
        <v>4</v>
      </c>
      <c r="L1450" s="10">
        <v>720</v>
      </c>
      <c r="M1450" s="10">
        <v>590.94000000000005</v>
      </c>
      <c r="N1450" s="10">
        <v>129.06</v>
      </c>
      <c r="O1450" s="11">
        <f t="shared" si="84"/>
        <v>0.17924999999999999</v>
      </c>
      <c r="P1450" s="10">
        <v>82.4</v>
      </c>
      <c r="Q1450" s="10">
        <v>46.66</v>
      </c>
      <c r="R1450" s="11">
        <f t="shared" si="85"/>
        <v>6.4805555555555547E-2</v>
      </c>
      <c r="S1450" t="s">
        <v>65</v>
      </c>
      <c r="T1450" t="s">
        <v>60</v>
      </c>
      <c r="U1450" t="s">
        <v>67</v>
      </c>
    </row>
    <row r="1451" spans="1:21" x14ac:dyDescent="0.35">
      <c r="A1451" t="s">
        <v>1580</v>
      </c>
      <c r="B1451" s="5">
        <v>45847</v>
      </c>
      <c r="C1451" t="s">
        <v>125</v>
      </c>
      <c r="D1451" t="s">
        <v>85</v>
      </c>
      <c r="E1451" s="9">
        <v>8</v>
      </c>
      <c r="F1451" s="10">
        <v>125</v>
      </c>
      <c r="G1451" s="11">
        <v>0</v>
      </c>
      <c r="H1451" s="10">
        <v>1000</v>
      </c>
      <c r="I1451" s="9">
        <v>0</v>
      </c>
      <c r="J1451" s="10">
        <v>0</v>
      </c>
      <c r="K1451" s="9">
        <v>8</v>
      </c>
      <c r="L1451" s="10">
        <v>1000</v>
      </c>
      <c r="M1451" s="10">
        <v>641.05999999999995</v>
      </c>
      <c r="N1451" s="10">
        <v>358.94</v>
      </c>
      <c r="O1451" s="11">
        <f t="shared" si="84"/>
        <v>0.35893999999999998</v>
      </c>
      <c r="P1451" s="10">
        <v>118.44</v>
      </c>
      <c r="Q1451" s="10">
        <v>240.5</v>
      </c>
      <c r="R1451" s="11">
        <f t="shared" si="85"/>
        <v>0.24049999999999999</v>
      </c>
      <c r="S1451" t="s">
        <v>75</v>
      </c>
      <c r="T1451" t="s">
        <v>86</v>
      </c>
      <c r="U1451" t="s">
        <v>76</v>
      </c>
    </row>
    <row r="1452" spans="1:21" x14ac:dyDescent="0.35">
      <c r="A1452" t="s">
        <v>1581</v>
      </c>
      <c r="B1452" s="5">
        <v>45848</v>
      </c>
      <c r="C1452" t="s">
        <v>56</v>
      </c>
      <c r="D1452" t="s">
        <v>57</v>
      </c>
      <c r="E1452" s="9">
        <v>2</v>
      </c>
      <c r="F1452" s="10">
        <v>40</v>
      </c>
      <c r="G1452" s="11">
        <v>0</v>
      </c>
      <c r="H1452" s="10">
        <v>80</v>
      </c>
      <c r="I1452" s="9">
        <v>0</v>
      </c>
      <c r="J1452" s="10">
        <v>0</v>
      </c>
      <c r="K1452" s="9">
        <v>2</v>
      </c>
      <c r="L1452" s="10">
        <v>80</v>
      </c>
      <c r="M1452" s="10">
        <v>67.22</v>
      </c>
      <c r="N1452" s="10">
        <v>12.78</v>
      </c>
      <c r="O1452" s="11">
        <f t="shared" ref="O1452:O1483" si="86">N1452/L1452</f>
        <v>0.15975</v>
      </c>
      <c r="P1452" s="10">
        <v>7.53</v>
      </c>
      <c r="Q1452" s="10">
        <v>5.25</v>
      </c>
      <c r="R1452" s="11">
        <f t="shared" ref="R1452:R1483" si="87">Q1452/L1452</f>
        <v>6.5625000000000003E-2</v>
      </c>
      <c r="S1452" t="s">
        <v>75</v>
      </c>
      <c r="T1452" t="s">
        <v>86</v>
      </c>
      <c r="U1452" t="s">
        <v>61</v>
      </c>
    </row>
    <row r="1453" spans="1:21" x14ac:dyDescent="0.35">
      <c r="A1453" t="s">
        <v>1582</v>
      </c>
      <c r="B1453" s="5">
        <v>45673</v>
      </c>
      <c r="C1453" t="s">
        <v>56</v>
      </c>
      <c r="D1453" t="s">
        <v>57</v>
      </c>
      <c r="E1453" s="9">
        <v>3</v>
      </c>
      <c r="F1453" s="10">
        <v>40</v>
      </c>
      <c r="G1453" s="11">
        <v>0</v>
      </c>
      <c r="H1453" s="10">
        <v>120</v>
      </c>
      <c r="I1453" s="9">
        <v>0</v>
      </c>
      <c r="J1453" s="10">
        <v>0</v>
      </c>
      <c r="K1453" s="9">
        <v>3</v>
      </c>
      <c r="L1453" s="10">
        <v>120</v>
      </c>
      <c r="M1453" s="10">
        <v>82.38</v>
      </c>
      <c r="N1453" s="10">
        <v>37.619999999999997</v>
      </c>
      <c r="O1453" s="11">
        <f t="shared" si="86"/>
        <v>0.3135</v>
      </c>
      <c r="P1453" s="10">
        <v>10.32</v>
      </c>
      <c r="Q1453" s="10">
        <v>27.3</v>
      </c>
      <c r="R1453" s="11">
        <f t="shared" si="87"/>
        <v>0.22750000000000001</v>
      </c>
      <c r="S1453" t="s">
        <v>81</v>
      </c>
      <c r="T1453" t="s">
        <v>86</v>
      </c>
      <c r="U1453" t="s">
        <v>71</v>
      </c>
    </row>
    <row r="1454" spans="1:21" x14ac:dyDescent="0.35">
      <c r="A1454" t="s">
        <v>1583</v>
      </c>
      <c r="B1454" s="5">
        <v>45951</v>
      </c>
      <c r="C1454" t="s">
        <v>117</v>
      </c>
      <c r="D1454" t="s">
        <v>74</v>
      </c>
      <c r="E1454" s="9">
        <v>4</v>
      </c>
      <c r="F1454" s="10">
        <v>95</v>
      </c>
      <c r="G1454" s="11">
        <v>0.1</v>
      </c>
      <c r="H1454" s="10">
        <v>342</v>
      </c>
      <c r="I1454" s="9">
        <v>0</v>
      </c>
      <c r="J1454" s="10">
        <v>0</v>
      </c>
      <c r="K1454" s="9">
        <v>4</v>
      </c>
      <c r="L1454" s="10">
        <v>342</v>
      </c>
      <c r="M1454" s="10">
        <v>238.28</v>
      </c>
      <c r="N1454" s="10">
        <v>103.72</v>
      </c>
      <c r="O1454" s="11">
        <f t="shared" si="86"/>
        <v>0.30327485380116959</v>
      </c>
      <c r="P1454" s="10">
        <v>33.89</v>
      </c>
      <c r="Q1454" s="10">
        <v>69.83</v>
      </c>
      <c r="R1454" s="11">
        <f t="shared" si="87"/>
        <v>0.2041812865497076</v>
      </c>
      <c r="S1454" t="s">
        <v>65</v>
      </c>
      <c r="T1454" t="s">
        <v>66</v>
      </c>
      <c r="U1454" t="s">
        <v>71</v>
      </c>
    </row>
    <row r="1455" spans="1:21" x14ac:dyDescent="0.35">
      <c r="A1455" t="s">
        <v>1584</v>
      </c>
      <c r="B1455" s="5">
        <v>45731</v>
      </c>
      <c r="C1455" t="s">
        <v>107</v>
      </c>
      <c r="D1455" t="s">
        <v>74</v>
      </c>
      <c r="E1455" s="9">
        <v>1</v>
      </c>
      <c r="F1455" s="10">
        <v>125</v>
      </c>
      <c r="G1455" s="11">
        <v>0.05</v>
      </c>
      <c r="H1455" s="10">
        <v>118.75</v>
      </c>
      <c r="I1455" s="9">
        <v>0</v>
      </c>
      <c r="J1455" s="10">
        <v>0</v>
      </c>
      <c r="K1455" s="9">
        <v>1</v>
      </c>
      <c r="L1455" s="10">
        <v>118.75</v>
      </c>
      <c r="M1455" s="10">
        <v>88.01</v>
      </c>
      <c r="N1455" s="10">
        <v>30.74</v>
      </c>
      <c r="O1455" s="11">
        <f t="shared" si="86"/>
        <v>0.25886315789473685</v>
      </c>
      <c r="P1455" s="10">
        <v>14.36</v>
      </c>
      <c r="Q1455" s="10">
        <v>16.38</v>
      </c>
      <c r="R1455" s="11">
        <f t="shared" si="87"/>
        <v>0.13793684210526316</v>
      </c>
      <c r="S1455" t="s">
        <v>59</v>
      </c>
      <c r="T1455" t="s">
        <v>60</v>
      </c>
      <c r="U1455" t="s">
        <v>76</v>
      </c>
    </row>
    <row r="1456" spans="1:21" x14ac:dyDescent="0.35">
      <c r="A1456" t="s">
        <v>1585</v>
      </c>
      <c r="B1456" s="5">
        <v>45736</v>
      </c>
      <c r="C1456" t="s">
        <v>84</v>
      </c>
      <c r="D1456" t="s">
        <v>85</v>
      </c>
      <c r="E1456" s="9">
        <v>2</v>
      </c>
      <c r="F1456" s="10">
        <v>48</v>
      </c>
      <c r="G1456" s="11">
        <v>0</v>
      </c>
      <c r="H1456" s="10">
        <v>96</v>
      </c>
      <c r="I1456" s="9">
        <v>0</v>
      </c>
      <c r="J1456" s="10">
        <v>0</v>
      </c>
      <c r="K1456" s="9">
        <v>2</v>
      </c>
      <c r="L1456" s="10">
        <v>96</v>
      </c>
      <c r="M1456" s="10">
        <v>78.290000000000006</v>
      </c>
      <c r="N1456" s="10">
        <v>17.71</v>
      </c>
      <c r="O1456" s="11">
        <f t="shared" si="86"/>
        <v>0.18447916666666667</v>
      </c>
      <c r="P1456" s="10">
        <v>9.26</v>
      </c>
      <c r="Q1456" s="10">
        <v>8.4499999999999993</v>
      </c>
      <c r="R1456" s="11">
        <f t="shared" si="87"/>
        <v>8.8020833333333326E-2</v>
      </c>
      <c r="S1456" t="s">
        <v>65</v>
      </c>
      <c r="T1456" t="s">
        <v>82</v>
      </c>
      <c r="U1456" t="s">
        <v>67</v>
      </c>
    </row>
    <row r="1457" spans="1:21" x14ac:dyDescent="0.35">
      <c r="A1457" t="s">
        <v>1586</v>
      </c>
      <c r="B1457" s="5">
        <v>45973</v>
      </c>
      <c r="C1457" t="s">
        <v>63</v>
      </c>
      <c r="D1457" t="s">
        <v>64</v>
      </c>
      <c r="E1457" s="9">
        <v>2</v>
      </c>
      <c r="F1457" s="10">
        <v>145</v>
      </c>
      <c r="G1457" s="11">
        <v>0</v>
      </c>
      <c r="H1457" s="10">
        <v>290</v>
      </c>
      <c r="I1457" s="9">
        <v>0</v>
      </c>
      <c r="J1457" s="10">
        <v>0</v>
      </c>
      <c r="K1457" s="9">
        <v>2</v>
      </c>
      <c r="L1457" s="10">
        <v>290</v>
      </c>
      <c r="M1457" s="10">
        <v>191.53</v>
      </c>
      <c r="N1457" s="10">
        <v>98.47</v>
      </c>
      <c r="O1457" s="11">
        <f t="shared" si="86"/>
        <v>0.33955172413793105</v>
      </c>
      <c r="P1457" s="10">
        <v>33.380000000000003</v>
      </c>
      <c r="Q1457" s="10">
        <v>65.09</v>
      </c>
      <c r="R1457" s="11">
        <f t="shared" si="87"/>
        <v>0.22444827586206897</v>
      </c>
      <c r="S1457" t="s">
        <v>65</v>
      </c>
      <c r="T1457" t="s">
        <v>60</v>
      </c>
      <c r="U1457" t="s">
        <v>67</v>
      </c>
    </row>
    <row r="1458" spans="1:21" x14ac:dyDescent="0.35">
      <c r="A1458" t="s">
        <v>1587</v>
      </c>
      <c r="B1458" s="5">
        <v>45788</v>
      </c>
      <c r="C1458" t="s">
        <v>97</v>
      </c>
      <c r="D1458" t="s">
        <v>57</v>
      </c>
      <c r="E1458" s="9">
        <v>1</v>
      </c>
      <c r="F1458" s="10">
        <v>55</v>
      </c>
      <c r="G1458" s="11">
        <v>0</v>
      </c>
      <c r="H1458" s="10">
        <v>55</v>
      </c>
      <c r="I1458" s="9">
        <v>0</v>
      </c>
      <c r="J1458" s="10">
        <v>0</v>
      </c>
      <c r="K1458" s="9">
        <v>1</v>
      </c>
      <c r="L1458" s="10">
        <v>55</v>
      </c>
      <c r="M1458" s="10">
        <v>38.130000000000003</v>
      </c>
      <c r="N1458" s="10">
        <v>16.87</v>
      </c>
      <c r="O1458" s="11">
        <f t="shared" si="86"/>
        <v>0.30672727272727274</v>
      </c>
      <c r="P1458" s="10">
        <v>6.93</v>
      </c>
      <c r="Q1458" s="10">
        <v>9.94</v>
      </c>
      <c r="R1458" s="11">
        <f t="shared" si="87"/>
        <v>0.18072727272727271</v>
      </c>
      <c r="S1458" t="s">
        <v>75</v>
      </c>
      <c r="T1458" t="s">
        <v>82</v>
      </c>
      <c r="U1458" t="s">
        <v>67</v>
      </c>
    </row>
    <row r="1459" spans="1:21" x14ac:dyDescent="0.35">
      <c r="A1459" t="s">
        <v>1588</v>
      </c>
      <c r="B1459" s="5">
        <v>45844</v>
      </c>
      <c r="C1459" t="s">
        <v>90</v>
      </c>
      <c r="D1459" t="s">
        <v>70</v>
      </c>
      <c r="E1459" s="9">
        <v>1</v>
      </c>
      <c r="F1459" s="10">
        <v>38</v>
      </c>
      <c r="G1459" s="11">
        <v>0</v>
      </c>
      <c r="H1459" s="10">
        <v>38</v>
      </c>
      <c r="I1459" s="9">
        <v>0</v>
      </c>
      <c r="J1459" s="10">
        <v>0</v>
      </c>
      <c r="K1459" s="9">
        <v>1</v>
      </c>
      <c r="L1459" s="10">
        <v>38</v>
      </c>
      <c r="M1459" s="10">
        <v>31.82</v>
      </c>
      <c r="N1459" s="10">
        <v>6.18</v>
      </c>
      <c r="O1459" s="11">
        <f t="shared" si="86"/>
        <v>0.1626315789473684</v>
      </c>
      <c r="P1459" s="10">
        <v>2.57</v>
      </c>
      <c r="Q1459" s="10">
        <v>3.61</v>
      </c>
      <c r="R1459" s="11">
        <f t="shared" si="87"/>
        <v>9.5000000000000001E-2</v>
      </c>
      <c r="S1459" t="s">
        <v>75</v>
      </c>
      <c r="T1459" t="s">
        <v>60</v>
      </c>
      <c r="U1459" t="s">
        <v>71</v>
      </c>
    </row>
    <row r="1460" spans="1:21" x14ac:dyDescent="0.35">
      <c r="A1460" t="s">
        <v>1589</v>
      </c>
      <c r="B1460" s="5">
        <v>45938</v>
      </c>
      <c r="C1460" t="s">
        <v>88</v>
      </c>
      <c r="D1460" t="s">
        <v>57</v>
      </c>
      <c r="E1460" s="9">
        <v>1</v>
      </c>
      <c r="F1460" s="10">
        <v>30</v>
      </c>
      <c r="G1460" s="11">
        <v>0</v>
      </c>
      <c r="H1460" s="10">
        <v>30</v>
      </c>
      <c r="I1460" s="9">
        <v>0</v>
      </c>
      <c r="J1460" s="10">
        <v>0</v>
      </c>
      <c r="K1460" s="9">
        <v>1</v>
      </c>
      <c r="L1460" s="10">
        <v>30</v>
      </c>
      <c r="M1460" s="10">
        <v>20.3</v>
      </c>
      <c r="N1460" s="10">
        <v>9.6999999999999993</v>
      </c>
      <c r="O1460" s="11">
        <f t="shared" si="86"/>
        <v>0.32333333333333331</v>
      </c>
      <c r="P1460" s="10">
        <v>2.15</v>
      </c>
      <c r="Q1460" s="10">
        <v>7.55</v>
      </c>
      <c r="R1460" s="11">
        <f t="shared" si="87"/>
        <v>0.25166666666666665</v>
      </c>
      <c r="S1460" t="s">
        <v>81</v>
      </c>
      <c r="T1460" t="s">
        <v>82</v>
      </c>
      <c r="U1460" t="s">
        <v>61</v>
      </c>
    </row>
    <row r="1461" spans="1:21" x14ac:dyDescent="0.35">
      <c r="A1461" t="s">
        <v>1590</v>
      </c>
      <c r="B1461" s="5">
        <v>45939</v>
      </c>
      <c r="C1461" t="s">
        <v>97</v>
      </c>
      <c r="D1461" t="s">
        <v>57</v>
      </c>
      <c r="E1461" s="9">
        <v>2</v>
      </c>
      <c r="F1461" s="10">
        <v>55</v>
      </c>
      <c r="G1461" s="11">
        <v>0.02</v>
      </c>
      <c r="H1461" s="10">
        <v>107.8</v>
      </c>
      <c r="I1461" s="9">
        <v>0</v>
      </c>
      <c r="J1461" s="10">
        <v>0</v>
      </c>
      <c r="K1461" s="9">
        <v>2</v>
      </c>
      <c r="L1461" s="10">
        <v>107.8</v>
      </c>
      <c r="M1461" s="10">
        <v>74.069999999999993</v>
      </c>
      <c r="N1461" s="10">
        <v>33.729999999999997</v>
      </c>
      <c r="O1461" s="11">
        <f t="shared" si="86"/>
        <v>0.31289424860853432</v>
      </c>
      <c r="P1461" s="10">
        <v>12.05</v>
      </c>
      <c r="Q1461" s="10">
        <v>21.68</v>
      </c>
      <c r="R1461" s="11">
        <f t="shared" si="87"/>
        <v>0.20111317254174396</v>
      </c>
      <c r="S1461" t="s">
        <v>65</v>
      </c>
      <c r="T1461" t="s">
        <v>66</v>
      </c>
      <c r="U1461" t="s">
        <v>76</v>
      </c>
    </row>
    <row r="1462" spans="1:21" x14ac:dyDescent="0.35">
      <c r="A1462" t="s">
        <v>1591</v>
      </c>
      <c r="B1462" s="5">
        <v>45820</v>
      </c>
      <c r="C1462" t="s">
        <v>56</v>
      </c>
      <c r="D1462" t="s">
        <v>57</v>
      </c>
      <c r="E1462" s="9">
        <v>1</v>
      </c>
      <c r="F1462" s="10">
        <v>40</v>
      </c>
      <c r="G1462" s="11">
        <v>0</v>
      </c>
      <c r="H1462" s="10">
        <v>40</v>
      </c>
      <c r="I1462" s="9">
        <v>0</v>
      </c>
      <c r="J1462" s="10">
        <v>0</v>
      </c>
      <c r="K1462" s="9">
        <v>1</v>
      </c>
      <c r="L1462" s="10">
        <v>40</v>
      </c>
      <c r="M1462" s="10">
        <v>26.53</v>
      </c>
      <c r="N1462" s="10">
        <v>13.47</v>
      </c>
      <c r="O1462" s="11">
        <f t="shared" si="86"/>
        <v>0.33674999999999999</v>
      </c>
      <c r="P1462" s="10">
        <v>3.77</v>
      </c>
      <c r="Q1462" s="10">
        <v>9.6999999999999993</v>
      </c>
      <c r="R1462" s="11">
        <f t="shared" si="87"/>
        <v>0.24249999999999999</v>
      </c>
      <c r="S1462" t="s">
        <v>75</v>
      </c>
      <c r="T1462" t="s">
        <v>60</v>
      </c>
      <c r="U1462" t="s">
        <v>71</v>
      </c>
    </row>
    <row r="1463" spans="1:21" x14ac:dyDescent="0.35">
      <c r="A1463" t="s">
        <v>1592</v>
      </c>
      <c r="B1463" s="5">
        <v>45754</v>
      </c>
      <c r="C1463" t="s">
        <v>84</v>
      </c>
      <c r="D1463" t="s">
        <v>85</v>
      </c>
      <c r="E1463" s="9">
        <v>2</v>
      </c>
      <c r="F1463" s="10">
        <v>48</v>
      </c>
      <c r="G1463" s="11">
        <v>0</v>
      </c>
      <c r="H1463" s="10">
        <v>96</v>
      </c>
      <c r="I1463" s="9">
        <v>0</v>
      </c>
      <c r="J1463" s="10">
        <v>0</v>
      </c>
      <c r="K1463" s="9">
        <v>2</v>
      </c>
      <c r="L1463" s="10">
        <v>96</v>
      </c>
      <c r="M1463" s="10">
        <v>74.17</v>
      </c>
      <c r="N1463" s="10">
        <v>21.83</v>
      </c>
      <c r="O1463" s="11">
        <f t="shared" si="86"/>
        <v>0.22739583333333332</v>
      </c>
      <c r="P1463" s="10">
        <v>12.45</v>
      </c>
      <c r="Q1463" s="10">
        <v>9.3800000000000008</v>
      </c>
      <c r="R1463" s="11">
        <f t="shared" si="87"/>
        <v>9.7708333333333341E-2</v>
      </c>
      <c r="S1463" t="s">
        <v>81</v>
      </c>
      <c r="T1463" t="s">
        <v>82</v>
      </c>
      <c r="U1463" t="s">
        <v>61</v>
      </c>
    </row>
    <row r="1464" spans="1:21" x14ac:dyDescent="0.35">
      <c r="A1464" t="s">
        <v>1593</v>
      </c>
      <c r="B1464" s="5">
        <v>45712</v>
      </c>
      <c r="C1464" t="s">
        <v>95</v>
      </c>
      <c r="D1464" t="s">
        <v>64</v>
      </c>
      <c r="E1464" s="9">
        <v>1</v>
      </c>
      <c r="F1464" s="10">
        <v>52</v>
      </c>
      <c r="G1464" s="11">
        <v>0.02</v>
      </c>
      <c r="H1464" s="10">
        <v>50.96</v>
      </c>
      <c r="I1464" s="9">
        <v>0</v>
      </c>
      <c r="J1464" s="10">
        <v>0</v>
      </c>
      <c r="K1464" s="9">
        <v>1</v>
      </c>
      <c r="L1464" s="10">
        <v>50.96</v>
      </c>
      <c r="M1464" s="10">
        <v>36.6</v>
      </c>
      <c r="N1464" s="10">
        <v>14.36</v>
      </c>
      <c r="O1464" s="11">
        <f t="shared" si="86"/>
        <v>0.28178963893249603</v>
      </c>
      <c r="P1464" s="10">
        <v>4.1900000000000004</v>
      </c>
      <c r="Q1464" s="10">
        <v>10.17</v>
      </c>
      <c r="R1464" s="11">
        <f t="shared" si="87"/>
        <v>0.19956828885400313</v>
      </c>
      <c r="S1464" t="s">
        <v>81</v>
      </c>
      <c r="T1464" t="s">
        <v>82</v>
      </c>
      <c r="U1464" t="s">
        <v>67</v>
      </c>
    </row>
    <row r="1465" spans="1:21" x14ac:dyDescent="0.35">
      <c r="A1465" t="s">
        <v>1594</v>
      </c>
      <c r="B1465" s="5">
        <v>45931</v>
      </c>
      <c r="C1465" t="s">
        <v>125</v>
      </c>
      <c r="D1465" t="s">
        <v>85</v>
      </c>
      <c r="E1465" s="9">
        <v>2</v>
      </c>
      <c r="F1465" s="10">
        <v>125</v>
      </c>
      <c r="G1465" s="11">
        <v>0</v>
      </c>
      <c r="H1465" s="10">
        <v>250</v>
      </c>
      <c r="I1465" s="9">
        <v>0</v>
      </c>
      <c r="J1465" s="10">
        <v>0</v>
      </c>
      <c r="K1465" s="9">
        <v>2</v>
      </c>
      <c r="L1465" s="10">
        <v>250</v>
      </c>
      <c r="M1465" s="10">
        <v>206.88</v>
      </c>
      <c r="N1465" s="10">
        <v>43.12</v>
      </c>
      <c r="O1465" s="11">
        <f t="shared" si="86"/>
        <v>0.17247999999999999</v>
      </c>
      <c r="P1465" s="10">
        <v>23.94</v>
      </c>
      <c r="Q1465" s="10">
        <v>19.18</v>
      </c>
      <c r="R1465" s="11">
        <f t="shared" si="87"/>
        <v>7.6719999999999997E-2</v>
      </c>
      <c r="S1465" t="s">
        <v>75</v>
      </c>
      <c r="T1465" t="s">
        <v>60</v>
      </c>
      <c r="U1465" t="s">
        <v>67</v>
      </c>
    </row>
    <row r="1466" spans="1:21" x14ac:dyDescent="0.35">
      <c r="A1466" t="s">
        <v>1595</v>
      </c>
      <c r="B1466" s="5">
        <v>45931</v>
      </c>
      <c r="C1466" t="s">
        <v>84</v>
      </c>
      <c r="D1466" t="s">
        <v>85</v>
      </c>
      <c r="E1466" s="9">
        <v>2</v>
      </c>
      <c r="F1466" s="10">
        <v>48</v>
      </c>
      <c r="G1466" s="11">
        <v>0</v>
      </c>
      <c r="H1466" s="10">
        <v>96</v>
      </c>
      <c r="I1466" s="9">
        <v>0</v>
      </c>
      <c r="J1466" s="10">
        <v>0</v>
      </c>
      <c r="K1466" s="9">
        <v>2</v>
      </c>
      <c r="L1466" s="10">
        <v>96</v>
      </c>
      <c r="M1466" s="10">
        <v>70.959999999999994</v>
      </c>
      <c r="N1466" s="10">
        <v>25.04</v>
      </c>
      <c r="O1466" s="11">
        <f t="shared" si="86"/>
        <v>0.26083333333333331</v>
      </c>
      <c r="P1466" s="10">
        <v>10.17</v>
      </c>
      <c r="Q1466" s="10">
        <v>14.87</v>
      </c>
      <c r="R1466" s="11">
        <f t="shared" si="87"/>
        <v>0.15489583333333332</v>
      </c>
      <c r="S1466" t="s">
        <v>75</v>
      </c>
      <c r="T1466" t="s">
        <v>60</v>
      </c>
      <c r="U1466" t="s">
        <v>61</v>
      </c>
    </row>
    <row r="1467" spans="1:21" x14ac:dyDescent="0.35">
      <c r="A1467" t="s">
        <v>1596</v>
      </c>
      <c r="B1467" s="5">
        <v>45868</v>
      </c>
      <c r="C1467" t="s">
        <v>90</v>
      </c>
      <c r="D1467" t="s">
        <v>70</v>
      </c>
      <c r="E1467" s="9">
        <v>4</v>
      </c>
      <c r="F1467" s="10">
        <v>38</v>
      </c>
      <c r="G1467" s="11">
        <v>0.02</v>
      </c>
      <c r="H1467" s="10">
        <v>148.96</v>
      </c>
      <c r="I1467" s="9">
        <v>0</v>
      </c>
      <c r="J1467" s="10">
        <v>0</v>
      </c>
      <c r="K1467" s="9">
        <v>4</v>
      </c>
      <c r="L1467" s="10">
        <v>148.96</v>
      </c>
      <c r="M1467" s="10">
        <v>117.88</v>
      </c>
      <c r="N1467" s="10">
        <v>31.08</v>
      </c>
      <c r="O1467" s="11">
        <f t="shared" si="86"/>
        <v>0.20864661654135336</v>
      </c>
      <c r="P1467" s="10">
        <v>11.29</v>
      </c>
      <c r="Q1467" s="10">
        <v>19.79</v>
      </c>
      <c r="R1467" s="11">
        <f t="shared" si="87"/>
        <v>0.13285445757250267</v>
      </c>
      <c r="S1467" t="s">
        <v>75</v>
      </c>
      <c r="T1467" t="s">
        <v>66</v>
      </c>
      <c r="U1467" t="s">
        <v>71</v>
      </c>
    </row>
    <row r="1468" spans="1:21" x14ac:dyDescent="0.35">
      <c r="A1468" t="s">
        <v>1597</v>
      </c>
      <c r="B1468" s="5">
        <v>45962</v>
      </c>
      <c r="C1468" t="s">
        <v>92</v>
      </c>
      <c r="D1468" t="s">
        <v>79</v>
      </c>
      <c r="E1468" s="9">
        <v>10</v>
      </c>
      <c r="F1468" s="10">
        <v>85</v>
      </c>
      <c r="G1468" s="11">
        <v>0</v>
      </c>
      <c r="H1468" s="10">
        <v>850</v>
      </c>
      <c r="I1468" s="9">
        <v>0</v>
      </c>
      <c r="J1468" s="10">
        <v>0</v>
      </c>
      <c r="K1468" s="9">
        <v>10</v>
      </c>
      <c r="L1468" s="10">
        <v>850</v>
      </c>
      <c r="M1468" s="10">
        <v>560.1</v>
      </c>
      <c r="N1468" s="10">
        <v>289.89999999999998</v>
      </c>
      <c r="O1468" s="11">
        <f t="shared" si="86"/>
        <v>0.34105882352941175</v>
      </c>
      <c r="P1468" s="10">
        <v>46.62</v>
      </c>
      <c r="Q1468" s="10">
        <v>243.28</v>
      </c>
      <c r="R1468" s="11">
        <f t="shared" si="87"/>
        <v>0.28621176470588233</v>
      </c>
      <c r="S1468" t="s">
        <v>65</v>
      </c>
      <c r="T1468" t="s">
        <v>86</v>
      </c>
      <c r="U1468" t="s">
        <v>67</v>
      </c>
    </row>
    <row r="1469" spans="1:21" x14ac:dyDescent="0.35">
      <c r="A1469" t="s">
        <v>1598</v>
      </c>
      <c r="B1469" s="5">
        <v>45832</v>
      </c>
      <c r="C1469" t="s">
        <v>63</v>
      </c>
      <c r="D1469" t="s">
        <v>64</v>
      </c>
      <c r="E1469" s="9">
        <v>5</v>
      </c>
      <c r="F1469" s="10">
        <v>145</v>
      </c>
      <c r="G1469" s="11">
        <v>0.02</v>
      </c>
      <c r="H1469" s="10">
        <v>710.5</v>
      </c>
      <c r="I1469" s="9">
        <v>0</v>
      </c>
      <c r="J1469" s="10">
        <v>0</v>
      </c>
      <c r="K1469" s="9">
        <v>5</v>
      </c>
      <c r="L1469" s="10">
        <v>710.5</v>
      </c>
      <c r="M1469" s="10">
        <v>600.09</v>
      </c>
      <c r="N1469" s="10">
        <v>110.41</v>
      </c>
      <c r="O1469" s="11">
        <f t="shared" si="86"/>
        <v>0.15539760731878957</v>
      </c>
      <c r="P1469" s="10">
        <v>54.43</v>
      </c>
      <c r="Q1469" s="10">
        <v>55.98</v>
      </c>
      <c r="R1469" s="11">
        <f t="shared" si="87"/>
        <v>7.8789584799437012E-2</v>
      </c>
      <c r="S1469" t="s">
        <v>81</v>
      </c>
      <c r="T1469" t="s">
        <v>82</v>
      </c>
      <c r="U1469" t="s">
        <v>67</v>
      </c>
    </row>
    <row r="1470" spans="1:21" x14ac:dyDescent="0.35">
      <c r="A1470" t="s">
        <v>1599</v>
      </c>
      <c r="B1470" s="5">
        <v>45737</v>
      </c>
      <c r="C1470" t="s">
        <v>63</v>
      </c>
      <c r="D1470" t="s">
        <v>64</v>
      </c>
      <c r="E1470" s="9">
        <v>4</v>
      </c>
      <c r="F1470" s="10">
        <v>145</v>
      </c>
      <c r="G1470" s="11">
        <v>0</v>
      </c>
      <c r="H1470" s="10">
        <v>580</v>
      </c>
      <c r="I1470" s="9">
        <v>0</v>
      </c>
      <c r="J1470" s="10">
        <v>0</v>
      </c>
      <c r="K1470" s="9">
        <v>4</v>
      </c>
      <c r="L1470" s="10">
        <v>580</v>
      </c>
      <c r="M1470" s="10">
        <v>438.29</v>
      </c>
      <c r="N1470" s="10">
        <v>141.71</v>
      </c>
      <c r="O1470" s="11">
        <f t="shared" si="86"/>
        <v>0.24432758620689657</v>
      </c>
      <c r="P1470" s="10">
        <v>49.03</v>
      </c>
      <c r="Q1470" s="10">
        <v>92.68</v>
      </c>
      <c r="R1470" s="11">
        <f t="shared" si="87"/>
        <v>0.15979310344827588</v>
      </c>
      <c r="S1470" t="s">
        <v>59</v>
      </c>
      <c r="T1470" t="s">
        <v>66</v>
      </c>
      <c r="U1470" t="s">
        <v>71</v>
      </c>
    </row>
    <row r="1471" spans="1:21" x14ac:dyDescent="0.35">
      <c r="A1471" t="s">
        <v>1600</v>
      </c>
      <c r="B1471" s="5">
        <v>45896</v>
      </c>
      <c r="C1471" t="s">
        <v>73</v>
      </c>
      <c r="D1471" t="s">
        <v>74</v>
      </c>
      <c r="E1471" s="9">
        <v>8</v>
      </c>
      <c r="F1471" s="10">
        <v>280</v>
      </c>
      <c r="G1471" s="11">
        <v>0</v>
      </c>
      <c r="H1471" s="10">
        <v>2240</v>
      </c>
      <c r="I1471" s="9">
        <v>0</v>
      </c>
      <c r="J1471" s="10">
        <v>0</v>
      </c>
      <c r="K1471" s="9">
        <v>8</v>
      </c>
      <c r="L1471" s="10">
        <v>2240</v>
      </c>
      <c r="M1471" s="10">
        <v>1818.07</v>
      </c>
      <c r="N1471" s="10">
        <v>421.93</v>
      </c>
      <c r="O1471" s="11">
        <f t="shared" si="86"/>
        <v>0.18836160714285716</v>
      </c>
      <c r="P1471" s="10">
        <v>139.1</v>
      </c>
      <c r="Q1471" s="10">
        <v>282.83</v>
      </c>
      <c r="R1471" s="11">
        <f t="shared" si="87"/>
        <v>0.12626339285714286</v>
      </c>
      <c r="S1471" t="s">
        <v>81</v>
      </c>
      <c r="T1471" t="s">
        <v>82</v>
      </c>
      <c r="U1471" t="s">
        <v>67</v>
      </c>
    </row>
    <row r="1472" spans="1:21" x14ac:dyDescent="0.35">
      <c r="A1472" t="s">
        <v>1601</v>
      </c>
      <c r="B1472" s="5">
        <v>45933</v>
      </c>
      <c r="C1472" t="s">
        <v>104</v>
      </c>
      <c r="D1472" t="s">
        <v>105</v>
      </c>
      <c r="E1472" s="9">
        <v>3</v>
      </c>
      <c r="F1472" s="10">
        <v>65</v>
      </c>
      <c r="G1472" s="11">
        <v>0.1</v>
      </c>
      <c r="H1472" s="10">
        <v>175.5</v>
      </c>
      <c r="I1472" s="9">
        <v>0</v>
      </c>
      <c r="J1472" s="10">
        <v>0</v>
      </c>
      <c r="K1472" s="9">
        <v>3</v>
      </c>
      <c r="L1472" s="10">
        <v>175.5</v>
      </c>
      <c r="M1472" s="10">
        <v>137.37</v>
      </c>
      <c r="N1472" s="10">
        <v>38.130000000000003</v>
      </c>
      <c r="O1472" s="11">
        <f t="shared" si="86"/>
        <v>0.21726495726495729</v>
      </c>
      <c r="P1472" s="10">
        <v>16.66</v>
      </c>
      <c r="Q1472" s="10">
        <v>21.47</v>
      </c>
      <c r="R1472" s="11">
        <f t="shared" si="87"/>
        <v>0.12233618233618233</v>
      </c>
      <c r="S1472" t="s">
        <v>65</v>
      </c>
      <c r="T1472" t="s">
        <v>86</v>
      </c>
      <c r="U1472" t="s">
        <v>61</v>
      </c>
    </row>
    <row r="1473" spans="1:21" x14ac:dyDescent="0.35">
      <c r="A1473" t="s">
        <v>1602</v>
      </c>
      <c r="B1473" s="5">
        <v>46022</v>
      </c>
      <c r="C1473" t="s">
        <v>125</v>
      </c>
      <c r="D1473" t="s">
        <v>85</v>
      </c>
      <c r="E1473" s="9">
        <v>6</v>
      </c>
      <c r="F1473" s="10">
        <v>125</v>
      </c>
      <c r="G1473" s="11">
        <v>0.1</v>
      </c>
      <c r="H1473" s="10">
        <v>675</v>
      </c>
      <c r="I1473" s="9">
        <v>0</v>
      </c>
      <c r="J1473" s="10">
        <v>0</v>
      </c>
      <c r="K1473" s="9">
        <v>6</v>
      </c>
      <c r="L1473" s="10">
        <v>675</v>
      </c>
      <c r="M1473" s="10">
        <v>512.29</v>
      </c>
      <c r="N1473" s="10">
        <v>162.71</v>
      </c>
      <c r="O1473" s="11">
        <f t="shared" si="86"/>
        <v>0.24105185185185185</v>
      </c>
      <c r="P1473" s="10">
        <v>68.39</v>
      </c>
      <c r="Q1473" s="10">
        <v>94.32</v>
      </c>
      <c r="R1473" s="11">
        <f t="shared" si="87"/>
        <v>0.13973333333333332</v>
      </c>
      <c r="S1473" t="s">
        <v>75</v>
      </c>
      <c r="T1473" t="s">
        <v>66</v>
      </c>
      <c r="U1473" t="s">
        <v>61</v>
      </c>
    </row>
    <row r="1474" spans="1:21" x14ac:dyDescent="0.35">
      <c r="A1474" t="s">
        <v>1603</v>
      </c>
      <c r="B1474" s="5">
        <v>45915</v>
      </c>
      <c r="C1474" t="s">
        <v>121</v>
      </c>
      <c r="D1474" t="s">
        <v>70</v>
      </c>
      <c r="E1474" s="9">
        <v>4</v>
      </c>
      <c r="F1474" s="10">
        <v>110</v>
      </c>
      <c r="G1474" s="11">
        <v>0.02</v>
      </c>
      <c r="H1474" s="10">
        <v>431.2</v>
      </c>
      <c r="I1474" s="9">
        <v>0</v>
      </c>
      <c r="J1474" s="10">
        <v>0</v>
      </c>
      <c r="K1474" s="9">
        <v>4</v>
      </c>
      <c r="L1474" s="10">
        <v>431.2</v>
      </c>
      <c r="M1474" s="10">
        <v>313.87</v>
      </c>
      <c r="N1474" s="10">
        <v>117.33</v>
      </c>
      <c r="O1474" s="11">
        <f t="shared" si="86"/>
        <v>0.27210111317254176</v>
      </c>
      <c r="P1474" s="10">
        <v>23.9</v>
      </c>
      <c r="Q1474" s="10">
        <v>93.43</v>
      </c>
      <c r="R1474" s="11">
        <f t="shared" si="87"/>
        <v>0.2166743970315399</v>
      </c>
      <c r="S1474" t="s">
        <v>81</v>
      </c>
      <c r="T1474" t="s">
        <v>66</v>
      </c>
      <c r="U1474" t="s">
        <v>61</v>
      </c>
    </row>
    <row r="1475" spans="1:21" x14ac:dyDescent="0.35">
      <c r="A1475" t="s">
        <v>1604</v>
      </c>
      <c r="B1475" s="5">
        <v>45720</v>
      </c>
      <c r="C1475" t="s">
        <v>107</v>
      </c>
      <c r="D1475" t="s">
        <v>74</v>
      </c>
      <c r="E1475" s="9">
        <v>1</v>
      </c>
      <c r="F1475" s="10">
        <v>125</v>
      </c>
      <c r="G1475" s="11">
        <v>0</v>
      </c>
      <c r="H1475" s="10">
        <v>125</v>
      </c>
      <c r="I1475" s="9">
        <v>0</v>
      </c>
      <c r="J1475" s="10">
        <v>0</v>
      </c>
      <c r="K1475" s="9">
        <v>1</v>
      </c>
      <c r="L1475" s="10">
        <v>125</v>
      </c>
      <c r="M1475" s="10">
        <v>88.7</v>
      </c>
      <c r="N1475" s="10">
        <v>36.299999999999997</v>
      </c>
      <c r="O1475" s="11">
        <f t="shared" si="86"/>
        <v>0.29039999999999999</v>
      </c>
      <c r="P1475" s="10">
        <v>16.2</v>
      </c>
      <c r="Q1475" s="10">
        <v>20.100000000000001</v>
      </c>
      <c r="R1475" s="11">
        <f t="shared" si="87"/>
        <v>0.1608</v>
      </c>
      <c r="S1475" t="s">
        <v>75</v>
      </c>
      <c r="T1475" t="s">
        <v>60</v>
      </c>
      <c r="U1475" t="s">
        <v>76</v>
      </c>
    </row>
    <row r="1476" spans="1:21" x14ac:dyDescent="0.35">
      <c r="A1476" t="s">
        <v>1605</v>
      </c>
      <c r="B1476" s="5">
        <v>45837</v>
      </c>
      <c r="C1476" t="s">
        <v>63</v>
      </c>
      <c r="D1476" t="s">
        <v>64</v>
      </c>
      <c r="E1476" s="9">
        <v>4</v>
      </c>
      <c r="F1476" s="10">
        <v>145</v>
      </c>
      <c r="G1476" s="11">
        <v>0.15</v>
      </c>
      <c r="H1476" s="10">
        <v>493</v>
      </c>
      <c r="I1476" s="9">
        <v>0</v>
      </c>
      <c r="J1476" s="10">
        <v>0</v>
      </c>
      <c r="K1476" s="9">
        <v>4</v>
      </c>
      <c r="L1476" s="10">
        <v>493</v>
      </c>
      <c r="M1476" s="10">
        <v>341.18</v>
      </c>
      <c r="N1476" s="10">
        <v>151.82</v>
      </c>
      <c r="O1476" s="11">
        <f t="shared" si="86"/>
        <v>0.30795131845841783</v>
      </c>
      <c r="P1476" s="10">
        <v>41.77</v>
      </c>
      <c r="Q1476" s="10">
        <v>110.05</v>
      </c>
      <c r="R1476" s="11">
        <f t="shared" si="87"/>
        <v>0.22322515212981744</v>
      </c>
      <c r="S1476" t="s">
        <v>65</v>
      </c>
      <c r="T1476" t="s">
        <v>60</v>
      </c>
      <c r="U1476" t="s">
        <v>71</v>
      </c>
    </row>
    <row r="1477" spans="1:21" x14ac:dyDescent="0.35">
      <c r="A1477" t="s">
        <v>1606</v>
      </c>
      <c r="B1477" s="5">
        <v>45823</v>
      </c>
      <c r="C1477" t="s">
        <v>90</v>
      </c>
      <c r="D1477" t="s">
        <v>70</v>
      </c>
      <c r="E1477" s="9">
        <v>3</v>
      </c>
      <c r="F1477" s="10">
        <v>38</v>
      </c>
      <c r="G1477" s="11">
        <v>0</v>
      </c>
      <c r="H1477" s="10">
        <v>114</v>
      </c>
      <c r="I1477" s="9">
        <v>0</v>
      </c>
      <c r="J1477" s="10">
        <v>0</v>
      </c>
      <c r="K1477" s="9">
        <v>3</v>
      </c>
      <c r="L1477" s="10">
        <v>114</v>
      </c>
      <c r="M1477" s="10">
        <v>91.38</v>
      </c>
      <c r="N1477" s="10">
        <v>22.62</v>
      </c>
      <c r="O1477" s="11">
        <f t="shared" si="86"/>
        <v>0.19842105263157894</v>
      </c>
      <c r="P1477" s="10">
        <v>14.11</v>
      </c>
      <c r="Q1477" s="10">
        <v>8.51</v>
      </c>
      <c r="R1477" s="11">
        <f t="shared" si="87"/>
        <v>7.4649122807017548E-2</v>
      </c>
      <c r="S1477" t="s">
        <v>59</v>
      </c>
      <c r="T1477" t="s">
        <v>86</v>
      </c>
      <c r="U1477" t="s">
        <v>61</v>
      </c>
    </row>
    <row r="1478" spans="1:21" x14ac:dyDescent="0.35">
      <c r="A1478" t="s">
        <v>1607</v>
      </c>
      <c r="B1478" s="5">
        <v>45715</v>
      </c>
      <c r="C1478" t="s">
        <v>90</v>
      </c>
      <c r="D1478" t="s">
        <v>70</v>
      </c>
      <c r="E1478" s="9">
        <v>2</v>
      </c>
      <c r="F1478" s="10">
        <v>38</v>
      </c>
      <c r="G1478" s="11">
        <v>0</v>
      </c>
      <c r="H1478" s="10">
        <v>76</v>
      </c>
      <c r="I1478" s="9">
        <v>0</v>
      </c>
      <c r="J1478" s="10">
        <v>0</v>
      </c>
      <c r="K1478" s="9">
        <v>2</v>
      </c>
      <c r="L1478" s="10">
        <v>76</v>
      </c>
      <c r="M1478" s="10">
        <v>64.19</v>
      </c>
      <c r="N1478" s="10">
        <v>11.81</v>
      </c>
      <c r="O1478" s="11">
        <f t="shared" si="86"/>
        <v>0.15539473684210528</v>
      </c>
      <c r="P1478" s="10">
        <v>4.0599999999999996</v>
      </c>
      <c r="Q1478" s="10">
        <v>7.75</v>
      </c>
      <c r="R1478" s="11">
        <f t="shared" si="87"/>
        <v>0.10197368421052631</v>
      </c>
      <c r="S1478" t="s">
        <v>81</v>
      </c>
      <c r="T1478" t="s">
        <v>82</v>
      </c>
      <c r="U1478" t="s">
        <v>71</v>
      </c>
    </row>
    <row r="1479" spans="1:21" x14ac:dyDescent="0.35">
      <c r="A1479" t="s">
        <v>1608</v>
      </c>
      <c r="B1479" s="5">
        <v>45703</v>
      </c>
      <c r="C1479" t="s">
        <v>84</v>
      </c>
      <c r="D1479" t="s">
        <v>85</v>
      </c>
      <c r="E1479" s="9">
        <v>10</v>
      </c>
      <c r="F1479" s="10">
        <v>48</v>
      </c>
      <c r="G1479" s="11">
        <v>0.05</v>
      </c>
      <c r="H1479" s="10">
        <v>456</v>
      </c>
      <c r="I1479" s="9">
        <v>0</v>
      </c>
      <c r="J1479" s="10">
        <v>0</v>
      </c>
      <c r="K1479" s="9">
        <v>10</v>
      </c>
      <c r="L1479" s="10">
        <v>456</v>
      </c>
      <c r="M1479" s="10">
        <v>363.67</v>
      </c>
      <c r="N1479" s="10">
        <v>92.33</v>
      </c>
      <c r="O1479" s="11">
        <f t="shared" si="86"/>
        <v>0.20247807017543859</v>
      </c>
      <c r="P1479" s="10">
        <v>45.93</v>
      </c>
      <c r="Q1479" s="10">
        <v>46.4</v>
      </c>
      <c r="R1479" s="11">
        <f t="shared" si="87"/>
        <v>0.10175438596491228</v>
      </c>
      <c r="S1479" t="s">
        <v>81</v>
      </c>
      <c r="T1479" t="s">
        <v>66</v>
      </c>
      <c r="U1479" t="s">
        <v>67</v>
      </c>
    </row>
    <row r="1480" spans="1:21" x14ac:dyDescent="0.35">
      <c r="A1480" t="s">
        <v>1609</v>
      </c>
      <c r="B1480" s="5">
        <v>45953</v>
      </c>
      <c r="C1480" t="s">
        <v>88</v>
      </c>
      <c r="D1480" t="s">
        <v>57</v>
      </c>
      <c r="E1480" s="9">
        <v>1</v>
      </c>
      <c r="F1480" s="10">
        <v>30</v>
      </c>
      <c r="G1480" s="11">
        <v>0.02</v>
      </c>
      <c r="H1480" s="10">
        <v>29.4</v>
      </c>
      <c r="I1480" s="9">
        <v>0</v>
      </c>
      <c r="J1480" s="10">
        <v>0</v>
      </c>
      <c r="K1480" s="9">
        <v>1</v>
      </c>
      <c r="L1480" s="10">
        <v>29.4</v>
      </c>
      <c r="M1480" s="10">
        <v>24.48</v>
      </c>
      <c r="N1480" s="10">
        <v>4.92</v>
      </c>
      <c r="O1480" s="11">
        <f t="shared" si="86"/>
        <v>0.16734693877551021</v>
      </c>
      <c r="P1480" s="10">
        <v>3.78</v>
      </c>
      <c r="Q1480" s="10">
        <v>1.1399999999999999</v>
      </c>
      <c r="R1480" s="11">
        <f t="shared" si="87"/>
        <v>3.8775510204081633E-2</v>
      </c>
      <c r="S1480" t="s">
        <v>59</v>
      </c>
      <c r="T1480" t="s">
        <v>86</v>
      </c>
      <c r="U1480" t="s">
        <v>76</v>
      </c>
    </row>
    <row r="1481" spans="1:21" x14ac:dyDescent="0.35">
      <c r="A1481" t="s">
        <v>1610</v>
      </c>
      <c r="B1481" s="5">
        <v>45958</v>
      </c>
      <c r="C1481" t="s">
        <v>95</v>
      </c>
      <c r="D1481" t="s">
        <v>64</v>
      </c>
      <c r="E1481" s="9">
        <v>8</v>
      </c>
      <c r="F1481" s="10">
        <v>52</v>
      </c>
      <c r="G1481" s="11">
        <v>0.1</v>
      </c>
      <c r="H1481" s="10">
        <v>374.4</v>
      </c>
      <c r="I1481" s="9">
        <v>0</v>
      </c>
      <c r="J1481" s="10">
        <v>0</v>
      </c>
      <c r="K1481" s="9">
        <v>8</v>
      </c>
      <c r="L1481" s="10">
        <v>374.4</v>
      </c>
      <c r="M1481" s="10">
        <v>316.17</v>
      </c>
      <c r="N1481" s="10">
        <v>58.23</v>
      </c>
      <c r="O1481" s="11">
        <f t="shared" si="86"/>
        <v>0.15552884615384616</v>
      </c>
      <c r="P1481" s="10">
        <v>34.65</v>
      </c>
      <c r="Q1481" s="10">
        <v>23.58</v>
      </c>
      <c r="R1481" s="11">
        <f t="shared" si="87"/>
        <v>6.2980769230769229E-2</v>
      </c>
      <c r="S1481" t="s">
        <v>81</v>
      </c>
      <c r="T1481" t="s">
        <v>86</v>
      </c>
      <c r="U1481" t="s">
        <v>76</v>
      </c>
    </row>
    <row r="1482" spans="1:21" x14ac:dyDescent="0.35">
      <c r="A1482" t="s">
        <v>1611</v>
      </c>
      <c r="B1482" s="5">
        <v>45846</v>
      </c>
      <c r="C1482" t="s">
        <v>78</v>
      </c>
      <c r="D1482" t="s">
        <v>79</v>
      </c>
      <c r="E1482" s="9">
        <v>1</v>
      </c>
      <c r="F1482" s="10">
        <v>120</v>
      </c>
      <c r="G1482" s="11">
        <v>0</v>
      </c>
      <c r="H1482" s="10">
        <v>120</v>
      </c>
      <c r="I1482" s="9">
        <v>0</v>
      </c>
      <c r="J1482" s="10">
        <v>0</v>
      </c>
      <c r="K1482" s="9">
        <v>1</v>
      </c>
      <c r="L1482" s="10">
        <v>120</v>
      </c>
      <c r="M1482" s="10">
        <v>84.68</v>
      </c>
      <c r="N1482" s="10">
        <v>35.32</v>
      </c>
      <c r="O1482" s="11">
        <f t="shared" si="86"/>
        <v>0.29433333333333334</v>
      </c>
      <c r="P1482" s="10">
        <v>13.28</v>
      </c>
      <c r="Q1482" s="10">
        <v>22.04</v>
      </c>
      <c r="R1482" s="11">
        <f t="shared" si="87"/>
        <v>0.18366666666666667</v>
      </c>
      <c r="S1482" t="s">
        <v>75</v>
      </c>
      <c r="T1482" t="s">
        <v>66</v>
      </c>
      <c r="U1482" t="s">
        <v>71</v>
      </c>
    </row>
    <row r="1483" spans="1:21" x14ac:dyDescent="0.35">
      <c r="A1483" t="s">
        <v>1612</v>
      </c>
      <c r="B1483" s="5">
        <v>45687</v>
      </c>
      <c r="C1483" t="s">
        <v>90</v>
      </c>
      <c r="D1483" t="s">
        <v>70</v>
      </c>
      <c r="E1483" s="9">
        <v>3</v>
      </c>
      <c r="F1483" s="10">
        <v>38</v>
      </c>
      <c r="G1483" s="11">
        <v>0.15</v>
      </c>
      <c r="H1483" s="10">
        <v>96.9</v>
      </c>
      <c r="I1483" s="9">
        <v>0</v>
      </c>
      <c r="J1483" s="10">
        <v>0</v>
      </c>
      <c r="K1483" s="9">
        <v>3</v>
      </c>
      <c r="L1483" s="10">
        <v>96.9</v>
      </c>
      <c r="M1483" s="10">
        <v>74.08</v>
      </c>
      <c r="N1483" s="10">
        <v>22.82</v>
      </c>
      <c r="O1483" s="11">
        <f t="shared" si="86"/>
        <v>0.23550051599587202</v>
      </c>
      <c r="P1483" s="10">
        <v>10.48</v>
      </c>
      <c r="Q1483" s="10">
        <v>12.34</v>
      </c>
      <c r="R1483" s="11">
        <f t="shared" si="87"/>
        <v>0.12734778121775026</v>
      </c>
      <c r="S1483" t="s">
        <v>81</v>
      </c>
      <c r="T1483" t="s">
        <v>86</v>
      </c>
      <c r="U1483" t="s">
        <v>61</v>
      </c>
    </row>
    <row r="1484" spans="1:21" x14ac:dyDescent="0.35">
      <c r="A1484" t="s">
        <v>1613</v>
      </c>
      <c r="B1484" s="5">
        <v>46010</v>
      </c>
      <c r="C1484" t="s">
        <v>95</v>
      </c>
      <c r="D1484" t="s">
        <v>64</v>
      </c>
      <c r="E1484" s="9">
        <v>3</v>
      </c>
      <c r="F1484" s="10">
        <v>52</v>
      </c>
      <c r="G1484" s="11">
        <v>0</v>
      </c>
      <c r="H1484" s="10">
        <v>156</v>
      </c>
      <c r="I1484" s="9">
        <v>0</v>
      </c>
      <c r="J1484" s="10">
        <v>0</v>
      </c>
      <c r="K1484" s="9">
        <v>3</v>
      </c>
      <c r="L1484" s="10">
        <v>156</v>
      </c>
      <c r="M1484" s="10">
        <v>97.97</v>
      </c>
      <c r="N1484" s="10">
        <v>58.03</v>
      </c>
      <c r="O1484" s="11">
        <f t="shared" ref="O1484:O1515" si="88">N1484/L1484</f>
        <v>0.37198717948717952</v>
      </c>
      <c r="P1484" s="10">
        <v>9.73</v>
      </c>
      <c r="Q1484" s="10">
        <v>48.3</v>
      </c>
      <c r="R1484" s="11">
        <f t="shared" ref="R1484:R1515" si="89">Q1484/L1484</f>
        <v>0.30961538461538457</v>
      </c>
      <c r="S1484" t="s">
        <v>59</v>
      </c>
      <c r="T1484" t="s">
        <v>86</v>
      </c>
      <c r="U1484" t="s">
        <v>67</v>
      </c>
    </row>
    <row r="1485" spans="1:21" x14ac:dyDescent="0.35">
      <c r="A1485" t="s">
        <v>1614</v>
      </c>
      <c r="B1485" s="5">
        <v>45666</v>
      </c>
      <c r="C1485" t="s">
        <v>100</v>
      </c>
      <c r="D1485" t="s">
        <v>64</v>
      </c>
      <c r="E1485" s="9">
        <v>6</v>
      </c>
      <c r="F1485" s="10">
        <v>310</v>
      </c>
      <c r="G1485" s="11">
        <v>0</v>
      </c>
      <c r="H1485" s="10">
        <v>1860</v>
      </c>
      <c r="I1485" s="9">
        <v>0</v>
      </c>
      <c r="J1485" s="10">
        <v>0</v>
      </c>
      <c r="K1485" s="9">
        <v>6</v>
      </c>
      <c r="L1485" s="10">
        <v>1860</v>
      </c>
      <c r="M1485" s="10">
        <v>1249.93</v>
      </c>
      <c r="N1485" s="10">
        <v>610.07000000000005</v>
      </c>
      <c r="O1485" s="11">
        <f t="shared" si="88"/>
        <v>0.32799462365591403</v>
      </c>
      <c r="P1485" s="10">
        <v>93.02</v>
      </c>
      <c r="Q1485" s="10">
        <v>517.04999999999995</v>
      </c>
      <c r="R1485" s="11">
        <f t="shared" si="89"/>
        <v>0.27798387096774191</v>
      </c>
      <c r="S1485" t="s">
        <v>59</v>
      </c>
      <c r="T1485" t="s">
        <v>66</v>
      </c>
      <c r="U1485" t="s">
        <v>67</v>
      </c>
    </row>
    <row r="1486" spans="1:21" x14ac:dyDescent="0.35">
      <c r="A1486" t="s">
        <v>1615</v>
      </c>
      <c r="B1486" s="5">
        <v>45849</v>
      </c>
      <c r="C1486" t="s">
        <v>104</v>
      </c>
      <c r="D1486" t="s">
        <v>105</v>
      </c>
      <c r="E1486" s="9">
        <v>2</v>
      </c>
      <c r="F1486" s="10">
        <v>65</v>
      </c>
      <c r="G1486" s="11">
        <v>0.02</v>
      </c>
      <c r="H1486" s="10">
        <v>127.4</v>
      </c>
      <c r="I1486" s="9">
        <v>0</v>
      </c>
      <c r="J1486" s="10">
        <v>0</v>
      </c>
      <c r="K1486" s="9">
        <v>2</v>
      </c>
      <c r="L1486" s="10">
        <v>127.4</v>
      </c>
      <c r="M1486" s="10">
        <v>91.16</v>
      </c>
      <c r="N1486" s="10">
        <v>36.24</v>
      </c>
      <c r="O1486" s="11">
        <f t="shared" si="88"/>
        <v>0.28445839874411305</v>
      </c>
      <c r="P1486" s="10">
        <v>6.94</v>
      </c>
      <c r="Q1486" s="10">
        <v>29.3</v>
      </c>
      <c r="R1486" s="11">
        <f t="shared" si="89"/>
        <v>0.22998430141287285</v>
      </c>
      <c r="S1486" t="s">
        <v>75</v>
      </c>
      <c r="T1486" t="s">
        <v>60</v>
      </c>
      <c r="U1486" t="s">
        <v>67</v>
      </c>
    </row>
    <row r="1487" spans="1:21" x14ac:dyDescent="0.35">
      <c r="A1487" t="s">
        <v>1616</v>
      </c>
      <c r="B1487" s="5">
        <v>45681</v>
      </c>
      <c r="C1487" t="s">
        <v>107</v>
      </c>
      <c r="D1487" t="s">
        <v>74</v>
      </c>
      <c r="E1487" s="9">
        <v>2</v>
      </c>
      <c r="F1487" s="10">
        <v>125</v>
      </c>
      <c r="G1487" s="11">
        <v>0</v>
      </c>
      <c r="H1487" s="10">
        <v>250</v>
      </c>
      <c r="I1487" s="9">
        <v>0</v>
      </c>
      <c r="J1487" s="10">
        <v>0</v>
      </c>
      <c r="K1487" s="9">
        <v>2</v>
      </c>
      <c r="L1487" s="10">
        <v>250</v>
      </c>
      <c r="M1487" s="10">
        <v>183.84</v>
      </c>
      <c r="N1487" s="10">
        <v>66.16</v>
      </c>
      <c r="O1487" s="11">
        <f t="shared" si="88"/>
        <v>0.26463999999999999</v>
      </c>
      <c r="P1487" s="10">
        <v>28.86</v>
      </c>
      <c r="Q1487" s="10">
        <v>37.299999999999997</v>
      </c>
      <c r="R1487" s="11">
        <f t="shared" si="89"/>
        <v>0.1492</v>
      </c>
      <c r="S1487" t="s">
        <v>59</v>
      </c>
      <c r="T1487" t="s">
        <v>82</v>
      </c>
      <c r="U1487" t="s">
        <v>67</v>
      </c>
    </row>
    <row r="1488" spans="1:21" x14ac:dyDescent="0.35">
      <c r="A1488" t="s">
        <v>1617</v>
      </c>
      <c r="B1488" s="5">
        <v>45815</v>
      </c>
      <c r="C1488" t="s">
        <v>90</v>
      </c>
      <c r="D1488" t="s">
        <v>70</v>
      </c>
      <c r="E1488" s="9">
        <v>1</v>
      </c>
      <c r="F1488" s="10">
        <v>38</v>
      </c>
      <c r="G1488" s="11">
        <v>0</v>
      </c>
      <c r="H1488" s="10">
        <v>38</v>
      </c>
      <c r="I1488" s="9">
        <v>0</v>
      </c>
      <c r="J1488" s="10">
        <v>0</v>
      </c>
      <c r="K1488" s="9">
        <v>1</v>
      </c>
      <c r="L1488" s="10">
        <v>38</v>
      </c>
      <c r="M1488" s="10">
        <v>32.29</v>
      </c>
      <c r="N1488" s="10">
        <v>5.71</v>
      </c>
      <c r="O1488" s="11">
        <f t="shared" si="88"/>
        <v>0.15026315789473685</v>
      </c>
      <c r="P1488" s="10">
        <v>4.12</v>
      </c>
      <c r="Q1488" s="10">
        <v>1.59</v>
      </c>
      <c r="R1488" s="11">
        <f t="shared" si="89"/>
        <v>4.1842105263157896E-2</v>
      </c>
      <c r="S1488" t="s">
        <v>81</v>
      </c>
      <c r="T1488" t="s">
        <v>86</v>
      </c>
      <c r="U1488" t="s">
        <v>67</v>
      </c>
    </row>
    <row r="1489" spans="1:21" x14ac:dyDescent="0.35">
      <c r="A1489" t="s">
        <v>1618</v>
      </c>
      <c r="B1489" s="5">
        <v>45705</v>
      </c>
      <c r="C1489" t="s">
        <v>264</v>
      </c>
      <c r="D1489" t="s">
        <v>85</v>
      </c>
      <c r="E1489" s="9">
        <v>1</v>
      </c>
      <c r="F1489" s="10">
        <v>20</v>
      </c>
      <c r="G1489" s="11">
        <v>0.1</v>
      </c>
      <c r="H1489" s="10">
        <v>18</v>
      </c>
      <c r="I1489" s="9">
        <v>0</v>
      </c>
      <c r="J1489" s="10">
        <v>0</v>
      </c>
      <c r="K1489" s="9">
        <v>1</v>
      </c>
      <c r="L1489" s="10">
        <v>18</v>
      </c>
      <c r="M1489" s="10">
        <v>15.11</v>
      </c>
      <c r="N1489" s="10">
        <v>2.89</v>
      </c>
      <c r="O1489" s="11">
        <f t="shared" si="88"/>
        <v>0.16055555555555556</v>
      </c>
      <c r="P1489" s="10">
        <v>2.16</v>
      </c>
      <c r="Q1489" s="10">
        <v>0.73</v>
      </c>
      <c r="R1489" s="11">
        <f t="shared" si="89"/>
        <v>4.0555555555555553E-2</v>
      </c>
      <c r="S1489" t="s">
        <v>59</v>
      </c>
      <c r="T1489" t="s">
        <v>86</v>
      </c>
      <c r="U1489" t="s">
        <v>76</v>
      </c>
    </row>
    <row r="1490" spans="1:21" x14ac:dyDescent="0.35">
      <c r="A1490" t="s">
        <v>1619</v>
      </c>
      <c r="B1490" s="5">
        <v>45706</v>
      </c>
      <c r="C1490" t="s">
        <v>100</v>
      </c>
      <c r="D1490" t="s">
        <v>64</v>
      </c>
      <c r="E1490" s="9">
        <v>4</v>
      </c>
      <c r="F1490" s="10">
        <v>310</v>
      </c>
      <c r="G1490" s="11">
        <v>0.02</v>
      </c>
      <c r="H1490" s="10">
        <v>1215.2</v>
      </c>
      <c r="I1490" s="9">
        <v>0</v>
      </c>
      <c r="J1490" s="10">
        <v>0</v>
      </c>
      <c r="K1490" s="9">
        <v>4</v>
      </c>
      <c r="L1490" s="10">
        <v>1215.2</v>
      </c>
      <c r="M1490" s="10">
        <v>846.2</v>
      </c>
      <c r="N1490" s="10">
        <v>369</v>
      </c>
      <c r="O1490" s="11">
        <f t="shared" si="88"/>
        <v>0.30365371955233705</v>
      </c>
      <c r="P1490" s="10">
        <v>70.709999999999994</v>
      </c>
      <c r="Q1490" s="10">
        <v>298.29000000000002</v>
      </c>
      <c r="R1490" s="11">
        <f t="shared" si="89"/>
        <v>0.24546576695194208</v>
      </c>
      <c r="S1490" t="s">
        <v>81</v>
      </c>
      <c r="T1490" t="s">
        <v>86</v>
      </c>
      <c r="U1490" t="s">
        <v>76</v>
      </c>
    </row>
    <row r="1491" spans="1:21" x14ac:dyDescent="0.35">
      <c r="A1491" t="s">
        <v>1620</v>
      </c>
      <c r="B1491" s="5">
        <v>45926</v>
      </c>
      <c r="C1491" t="s">
        <v>88</v>
      </c>
      <c r="D1491" t="s">
        <v>57</v>
      </c>
      <c r="E1491" s="9">
        <v>3</v>
      </c>
      <c r="F1491" s="10">
        <v>30</v>
      </c>
      <c r="G1491" s="11">
        <v>0</v>
      </c>
      <c r="H1491" s="10">
        <v>90</v>
      </c>
      <c r="I1491" s="9">
        <v>0</v>
      </c>
      <c r="J1491" s="10">
        <v>0</v>
      </c>
      <c r="K1491" s="9">
        <v>3</v>
      </c>
      <c r="L1491" s="10">
        <v>90</v>
      </c>
      <c r="M1491" s="10">
        <v>71.86</v>
      </c>
      <c r="N1491" s="10">
        <v>18.14</v>
      </c>
      <c r="O1491" s="11">
        <f t="shared" si="88"/>
        <v>0.20155555555555557</v>
      </c>
      <c r="P1491" s="10">
        <v>9.44</v>
      </c>
      <c r="Q1491" s="10">
        <v>8.6999999999999993</v>
      </c>
      <c r="R1491" s="11">
        <f t="shared" si="89"/>
        <v>9.6666666666666665E-2</v>
      </c>
      <c r="S1491" t="s">
        <v>81</v>
      </c>
      <c r="T1491" t="s">
        <v>60</v>
      </c>
      <c r="U1491" t="s">
        <v>61</v>
      </c>
    </row>
    <row r="1492" spans="1:21" x14ac:dyDescent="0.35">
      <c r="A1492" t="s">
        <v>1621</v>
      </c>
      <c r="B1492" s="5">
        <v>45945</v>
      </c>
      <c r="C1492" t="s">
        <v>125</v>
      </c>
      <c r="D1492" t="s">
        <v>85</v>
      </c>
      <c r="E1492" s="9">
        <v>5</v>
      </c>
      <c r="F1492" s="10">
        <v>125</v>
      </c>
      <c r="G1492" s="11">
        <v>0</v>
      </c>
      <c r="H1492" s="10">
        <v>625</v>
      </c>
      <c r="I1492" s="9">
        <v>0</v>
      </c>
      <c r="J1492" s="10">
        <v>0</v>
      </c>
      <c r="K1492" s="9">
        <v>5</v>
      </c>
      <c r="L1492" s="10">
        <v>625</v>
      </c>
      <c r="M1492" s="10">
        <v>401.51</v>
      </c>
      <c r="N1492" s="10">
        <v>223.49</v>
      </c>
      <c r="O1492" s="11">
        <f t="shared" si="88"/>
        <v>0.35758400000000001</v>
      </c>
      <c r="P1492" s="10">
        <v>35.79</v>
      </c>
      <c r="Q1492" s="10">
        <v>187.7</v>
      </c>
      <c r="R1492" s="11">
        <f t="shared" si="89"/>
        <v>0.30031999999999998</v>
      </c>
      <c r="S1492" t="s">
        <v>59</v>
      </c>
      <c r="T1492" t="s">
        <v>2133</v>
      </c>
      <c r="U1492" t="s">
        <v>67</v>
      </c>
    </row>
    <row r="1493" spans="1:21" x14ac:dyDescent="0.35">
      <c r="A1493" t="s">
        <v>1622</v>
      </c>
      <c r="B1493" s="5">
        <v>45961</v>
      </c>
      <c r="C1493" t="s">
        <v>104</v>
      </c>
      <c r="D1493" t="s">
        <v>105</v>
      </c>
      <c r="E1493" s="9">
        <v>2</v>
      </c>
      <c r="F1493" s="10">
        <v>65</v>
      </c>
      <c r="G1493" s="11">
        <v>0</v>
      </c>
      <c r="H1493" s="10">
        <v>130</v>
      </c>
      <c r="I1493" s="9">
        <v>0</v>
      </c>
      <c r="J1493" s="10">
        <v>0</v>
      </c>
      <c r="K1493" s="9">
        <v>2</v>
      </c>
      <c r="L1493" s="10">
        <v>130</v>
      </c>
      <c r="M1493" s="10">
        <v>83.67</v>
      </c>
      <c r="N1493" s="10">
        <v>46.33</v>
      </c>
      <c r="O1493" s="11">
        <f t="shared" si="88"/>
        <v>0.35638461538461536</v>
      </c>
      <c r="P1493" s="10">
        <v>7.92</v>
      </c>
      <c r="Q1493" s="10">
        <v>38.409999999999997</v>
      </c>
      <c r="R1493" s="11">
        <f t="shared" si="89"/>
        <v>0.29546153846153844</v>
      </c>
      <c r="S1493" t="s">
        <v>75</v>
      </c>
      <c r="T1493" t="s">
        <v>60</v>
      </c>
      <c r="U1493" t="s">
        <v>61</v>
      </c>
    </row>
    <row r="1494" spans="1:21" x14ac:dyDescent="0.35">
      <c r="A1494" t="s">
        <v>1623</v>
      </c>
      <c r="B1494" s="5">
        <v>46009</v>
      </c>
      <c r="C1494" t="s">
        <v>121</v>
      </c>
      <c r="D1494" t="s">
        <v>70</v>
      </c>
      <c r="E1494" s="9">
        <v>4</v>
      </c>
      <c r="F1494" s="10">
        <v>110</v>
      </c>
      <c r="G1494" s="11">
        <v>0.05</v>
      </c>
      <c r="H1494" s="10">
        <v>418</v>
      </c>
      <c r="I1494" s="9">
        <v>0</v>
      </c>
      <c r="J1494" s="10">
        <v>0</v>
      </c>
      <c r="K1494" s="9">
        <v>4</v>
      </c>
      <c r="L1494" s="10">
        <v>418</v>
      </c>
      <c r="M1494" s="10">
        <v>344.07</v>
      </c>
      <c r="N1494" s="10">
        <v>73.930000000000007</v>
      </c>
      <c r="O1494" s="11">
        <f t="shared" si="88"/>
        <v>0.17686602870813398</v>
      </c>
      <c r="P1494" s="10">
        <v>52.8</v>
      </c>
      <c r="Q1494" s="10">
        <v>21.13</v>
      </c>
      <c r="R1494" s="11">
        <f t="shared" si="89"/>
        <v>5.0550239234449755E-2</v>
      </c>
      <c r="S1494" t="s">
        <v>59</v>
      </c>
      <c r="T1494" t="s">
        <v>82</v>
      </c>
      <c r="U1494" t="s">
        <v>61</v>
      </c>
    </row>
    <row r="1495" spans="1:21" x14ac:dyDescent="0.35">
      <c r="A1495" t="s">
        <v>1624</v>
      </c>
      <c r="B1495" s="5">
        <v>46008</v>
      </c>
      <c r="C1495" t="s">
        <v>125</v>
      </c>
      <c r="D1495" t="s">
        <v>85</v>
      </c>
      <c r="E1495" s="9">
        <v>5</v>
      </c>
      <c r="F1495" s="10">
        <v>125</v>
      </c>
      <c r="G1495" s="11">
        <v>0</v>
      </c>
      <c r="H1495" s="10">
        <v>625</v>
      </c>
      <c r="I1495" s="9">
        <v>0</v>
      </c>
      <c r="J1495" s="10">
        <v>0</v>
      </c>
      <c r="K1495" s="9">
        <v>5</v>
      </c>
      <c r="L1495" s="10">
        <v>625</v>
      </c>
      <c r="M1495" s="10">
        <v>416.93</v>
      </c>
      <c r="N1495" s="10">
        <v>208.07</v>
      </c>
      <c r="O1495" s="11">
        <f t="shared" si="88"/>
        <v>0.33291199999999999</v>
      </c>
      <c r="P1495" s="10">
        <v>53.9</v>
      </c>
      <c r="Q1495" s="10">
        <v>154.16999999999999</v>
      </c>
      <c r="R1495" s="11">
        <f t="shared" si="89"/>
        <v>0.24667199999999997</v>
      </c>
      <c r="S1495" t="s">
        <v>65</v>
      </c>
      <c r="T1495" t="s">
        <v>86</v>
      </c>
      <c r="U1495" t="s">
        <v>61</v>
      </c>
    </row>
    <row r="1496" spans="1:21" x14ac:dyDescent="0.35">
      <c r="A1496" t="s">
        <v>1625</v>
      </c>
      <c r="B1496" s="5">
        <v>45836</v>
      </c>
      <c r="C1496" t="s">
        <v>107</v>
      </c>
      <c r="D1496" t="s">
        <v>74</v>
      </c>
      <c r="E1496" s="9">
        <v>3</v>
      </c>
      <c r="F1496" s="10">
        <v>125</v>
      </c>
      <c r="G1496" s="11">
        <v>0</v>
      </c>
      <c r="H1496" s="10">
        <v>375</v>
      </c>
      <c r="I1496" s="9">
        <v>0</v>
      </c>
      <c r="J1496" s="10">
        <v>0</v>
      </c>
      <c r="K1496" s="9">
        <v>3</v>
      </c>
      <c r="L1496" s="10">
        <v>375</v>
      </c>
      <c r="M1496" s="10">
        <v>293.63</v>
      </c>
      <c r="N1496" s="10">
        <v>81.37</v>
      </c>
      <c r="O1496" s="11">
        <f t="shared" si="88"/>
        <v>0.21698666666666669</v>
      </c>
      <c r="P1496" s="10">
        <v>29.94</v>
      </c>
      <c r="Q1496" s="10">
        <v>51.43</v>
      </c>
      <c r="R1496" s="11">
        <f t="shared" si="89"/>
        <v>0.13714666666666667</v>
      </c>
      <c r="S1496" t="s">
        <v>59</v>
      </c>
      <c r="T1496" t="s">
        <v>66</v>
      </c>
      <c r="U1496" t="s">
        <v>61</v>
      </c>
    </row>
    <row r="1497" spans="1:21" x14ac:dyDescent="0.35">
      <c r="A1497" t="s">
        <v>1626</v>
      </c>
      <c r="B1497" s="5">
        <v>45729</v>
      </c>
      <c r="C1497" t="s">
        <v>100</v>
      </c>
      <c r="D1497" t="s">
        <v>64</v>
      </c>
      <c r="E1497" s="9">
        <v>3</v>
      </c>
      <c r="F1497" s="10">
        <v>310</v>
      </c>
      <c r="G1497" s="11">
        <v>0.1</v>
      </c>
      <c r="H1497" s="10">
        <v>837</v>
      </c>
      <c r="I1497" s="9">
        <v>0</v>
      </c>
      <c r="J1497" s="10">
        <v>0</v>
      </c>
      <c r="K1497" s="9">
        <v>3</v>
      </c>
      <c r="L1497" s="10">
        <v>837</v>
      </c>
      <c r="M1497" s="10">
        <v>612.92999999999995</v>
      </c>
      <c r="N1497" s="10">
        <v>224.07</v>
      </c>
      <c r="O1497" s="11">
        <f t="shared" si="88"/>
        <v>0.26770609318996413</v>
      </c>
      <c r="P1497" s="10">
        <v>51.35</v>
      </c>
      <c r="Q1497" s="10">
        <v>172.72</v>
      </c>
      <c r="R1497" s="11">
        <f t="shared" si="89"/>
        <v>0.20635603345280765</v>
      </c>
      <c r="S1497" t="s">
        <v>59</v>
      </c>
      <c r="T1497" t="s">
        <v>86</v>
      </c>
      <c r="U1497" t="s">
        <v>76</v>
      </c>
    </row>
    <row r="1498" spans="1:21" x14ac:dyDescent="0.35">
      <c r="A1498" t="s">
        <v>1627</v>
      </c>
      <c r="B1498" s="5">
        <v>45845</v>
      </c>
      <c r="C1498" t="s">
        <v>88</v>
      </c>
      <c r="D1498" t="s">
        <v>57</v>
      </c>
      <c r="E1498" s="9">
        <v>2</v>
      </c>
      <c r="F1498" s="10">
        <v>30</v>
      </c>
      <c r="G1498" s="11">
        <v>0</v>
      </c>
      <c r="H1498" s="10">
        <v>60</v>
      </c>
      <c r="I1498" s="9">
        <v>0</v>
      </c>
      <c r="J1498" s="10">
        <v>0</v>
      </c>
      <c r="K1498" s="9">
        <v>2</v>
      </c>
      <c r="L1498" s="10">
        <v>60</v>
      </c>
      <c r="M1498" s="10">
        <v>51.14</v>
      </c>
      <c r="N1498" s="10">
        <v>8.86</v>
      </c>
      <c r="O1498" s="11">
        <f t="shared" si="88"/>
        <v>0.14766666666666667</v>
      </c>
      <c r="P1498" s="10">
        <v>4.9800000000000004</v>
      </c>
      <c r="Q1498" s="10">
        <v>3.88</v>
      </c>
      <c r="R1498" s="11">
        <f t="shared" si="89"/>
        <v>6.4666666666666664E-2</v>
      </c>
      <c r="S1498" t="s">
        <v>65</v>
      </c>
      <c r="T1498" t="s">
        <v>60</v>
      </c>
      <c r="U1498" t="s">
        <v>67</v>
      </c>
    </row>
    <row r="1499" spans="1:21" x14ac:dyDescent="0.35">
      <c r="A1499" t="s">
        <v>1628</v>
      </c>
      <c r="B1499" s="5">
        <v>45977</v>
      </c>
      <c r="C1499" t="s">
        <v>264</v>
      </c>
      <c r="D1499" t="s">
        <v>85</v>
      </c>
      <c r="E1499" s="9">
        <v>1</v>
      </c>
      <c r="F1499" s="10">
        <v>20</v>
      </c>
      <c r="G1499" s="11">
        <v>0.15</v>
      </c>
      <c r="H1499" s="10">
        <v>17</v>
      </c>
      <c r="I1499" s="9">
        <v>0</v>
      </c>
      <c r="J1499" s="10">
        <v>0</v>
      </c>
      <c r="K1499" s="9">
        <v>1</v>
      </c>
      <c r="L1499" s="10">
        <v>17</v>
      </c>
      <c r="M1499" s="10">
        <v>10.69</v>
      </c>
      <c r="N1499" s="10">
        <v>6.31</v>
      </c>
      <c r="O1499" s="11">
        <f t="shared" si="88"/>
        <v>0.37117647058823527</v>
      </c>
      <c r="P1499" s="10">
        <v>0.86</v>
      </c>
      <c r="Q1499" s="10">
        <v>5.45</v>
      </c>
      <c r="R1499" s="11">
        <f t="shared" si="89"/>
        <v>0.32058823529411767</v>
      </c>
      <c r="S1499" t="s">
        <v>59</v>
      </c>
      <c r="T1499" t="s">
        <v>82</v>
      </c>
      <c r="U1499" t="s">
        <v>71</v>
      </c>
    </row>
    <row r="1500" spans="1:21" x14ac:dyDescent="0.35">
      <c r="A1500" t="s">
        <v>1629</v>
      </c>
      <c r="B1500" s="5">
        <v>45896</v>
      </c>
      <c r="C1500" t="s">
        <v>104</v>
      </c>
      <c r="D1500" t="s">
        <v>105</v>
      </c>
      <c r="E1500" s="9">
        <v>1</v>
      </c>
      <c r="F1500" s="10">
        <v>65</v>
      </c>
      <c r="G1500" s="11">
        <v>0</v>
      </c>
      <c r="H1500" s="10">
        <v>65</v>
      </c>
      <c r="I1500" s="9">
        <v>0</v>
      </c>
      <c r="J1500" s="10">
        <v>0</v>
      </c>
      <c r="K1500" s="9">
        <v>1</v>
      </c>
      <c r="L1500" s="10">
        <v>65</v>
      </c>
      <c r="M1500" s="10">
        <v>52.37</v>
      </c>
      <c r="N1500" s="10">
        <v>12.63</v>
      </c>
      <c r="O1500" s="11">
        <f t="shared" si="88"/>
        <v>0.19430769230769232</v>
      </c>
      <c r="P1500" s="10">
        <v>8.08</v>
      </c>
      <c r="Q1500" s="10">
        <v>4.55</v>
      </c>
      <c r="R1500" s="11">
        <f t="shared" si="89"/>
        <v>6.9999999999999993E-2</v>
      </c>
      <c r="S1500" t="s">
        <v>81</v>
      </c>
      <c r="T1500" t="s">
        <v>82</v>
      </c>
      <c r="U1500" t="s">
        <v>61</v>
      </c>
    </row>
    <row r="1501" spans="1:21" x14ac:dyDescent="0.35">
      <c r="A1501" t="s">
        <v>1630</v>
      </c>
      <c r="B1501" s="5">
        <v>45705</v>
      </c>
      <c r="C1501" t="s">
        <v>125</v>
      </c>
      <c r="D1501" t="s">
        <v>85</v>
      </c>
      <c r="E1501" s="9">
        <v>5</v>
      </c>
      <c r="F1501" s="10">
        <v>125</v>
      </c>
      <c r="G1501" s="11">
        <v>0</v>
      </c>
      <c r="H1501" s="10">
        <v>625</v>
      </c>
      <c r="I1501" s="9">
        <v>0</v>
      </c>
      <c r="J1501" s="10">
        <v>0</v>
      </c>
      <c r="K1501" s="9">
        <v>5</v>
      </c>
      <c r="L1501" s="10">
        <v>625</v>
      </c>
      <c r="M1501" s="10">
        <v>526.65</v>
      </c>
      <c r="N1501" s="10">
        <v>98.35</v>
      </c>
      <c r="O1501" s="11">
        <f t="shared" si="88"/>
        <v>0.15736</v>
      </c>
      <c r="P1501" s="10">
        <v>42.49</v>
      </c>
      <c r="Q1501" s="10">
        <v>55.86</v>
      </c>
      <c r="R1501" s="11">
        <f t="shared" si="89"/>
        <v>8.9375999999999997E-2</v>
      </c>
      <c r="S1501" t="s">
        <v>75</v>
      </c>
      <c r="T1501" t="s">
        <v>66</v>
      </c>
      <c r="U1501" t="s">
        <v>76</v>
      </c>
    </row>
    <row r="1502" spans="1:21" x14ac:dyDescent="0.35">
      <c r="A1502" t="s">
        <v>1631</v>
      </c>
      <c r="B1502" s="5">
        <v>45995</v>
      </c>
      <c r="C1502" t="s">
        <v>97</v>
      </c>
      <c r="D1502" t="s">
        <v>57</v>
      </c>
      <c r="E1502" s="9">
        <v>1</v>
      </c>
      <c r="F1502" s="10">
        <v>55</v>
      </c>
      <c r="G1502" s="11">
        <v>0.05</v>
      </c>
      <c r="H1502" s="10">
        <v>52.25</v>
      </c>
      <c r="I1502" s="9">
        <v>0</v>
      </c>
      <c r="J1502" s="10">
        <v>0</v>
      </c>
      <c r="K1502" s="9">
        <v>1</v>
      </c>
      <c r="L1502" s="10">
        <v>52.25</v>
      </c>
      <c r="M1502" s="10">
        <v>34.58</v>
      </c>
      <c r="N1502" s="10">
        <v>17.670000000000002</v>
      </c>
      <c r="O1502" s="11">
        <f t="shared" si="88"/>
        <v>0.33818181818181819</v>
      </c>
      <c r="P1502" s="10">
        <v>4.29</v>
      </c>
      <c r="Q1502" s="10">
        <v>13.38</v>
      </c>
      <c r="R1502" s="11">
        <f t="shared" si="89"/>
        <v>0.25607655502392346</v>
      </c>
      <c r="S1502" t="s">
        <v>65</v>
      </c>
      <c r="T1502" t="s">
        <v>60</v>
      </c>
      <c r="U1502" t="s">
        <v>67</v>
      </c>
    </row>
    <row r="1503" spans="1:21" x14ac:dyDescent="0.35">
      <c r="A1503" t="s">
        <v>1632</v>
      </c>
      <c r="B1503" s="5">
        <v>45852</v>
      </c>
      <c r="C1503" t="s">
        <v>69</v>
      </c>
      <c r="D1503" t="s">
        <v>70</v>
      </c>
      <c r="E1503" s="9">
        <v>2</v>
      </c>
      <c r="F1503" s="10">
        <v>210</v>
      </c>
      <c r="G1503" s="11">
        <v>0</v>
      </c>
      <c r="H1503" s="10">
        <v>420</v>
      </c>
      <c r="I1503" s="9">
        <v>0</v>
      </c>
      <c r="J1503" s="10">
        <v>0</v>
      </c>
      <c r="K1503" s="9">
        <v>2</v>
      </c>
      <c r="L1503" s="10">
        <v>420</v>
      </c>
      <c r="M1503" s="10">
        <v>335.91</v>
      </c>
      <c r="N1503" s="10">
        <v>84.09</v>
      </c>
      <c r="O1503" s="11">
        <f t="shared" si="88"/>
        <v>0.20021428571428573</v>
      </c>
      <c r="P1503" s="10">
        <v>36.049999999999997</v>
      </c>
      <c r="Q1503" s="10">
        <v>48.04</v>
      </c>
      <c r="R1503" s="11">
        <f t="shared" si="89"/>
        <v>0.11438095238095237</v>
      </c>
      <c r="S1503" t="s">
        <v>81</v>
      </c>
      <c r="T1503" t="s">
        <v>60</v>
      </c>
      <c r="U1503" t="s">
        <v>67</v>
      </c>
    </row>
    <row r="1504" spans="1:21" x14ac:dyDescent="0.35">
      <c r="A1504" t="s">
        <v>1633</v>
      </c>
      <c r="B1504" s="5">
        <v>45687</v>
      </c>
      <c r="C1504" t="s">
        <v>114</v>
      </c>
      <c r="D1504" t="s">
        <v>64</v>
      </c>
      <c r="E1504" s="9">
        <v>8</v>
      </c>
      <c r="F1504" s="10">
        <v>420</v>
      </c>
      <c r="G1504" s="11">
        <v>0</v>
      </c>
      <c r="H1504" s="10">
        <v>3360</v>
      </c>
      <c r="I1504" s="9">
        <v>0</v>
      </c>
      <c r="J1504" s="10">
        <v>0</v>
      </c>
      <c r="K1504" s="9">
        <v>8</v>
      </c>
      <c r="L1504" s="10">
        <v>3360</v>
      </c>
      <c r="M1504" s="10">
        <v>2122.5700000000002</v>
      </c>
      <c r="N1504" s="10">
        <v>1237.43</v>
      </c>
      <c r="O1504" s="11">
        <f t="shared" si="88"/>
        <v>0.36828273809523809</v>
      </c>
      <c r="P1504" s="10">
        <v>379.35</v>
      </c>
      <c r="Q1504" s="10">
        <v>858.08</v>
      </c>
      <c r="R1504" s="11">
        <f t="shared" si="89"/>
        <v>0.25538095238095238</v>
      </c>
      <c r="S1504" t="s">
        <v>65</v>
      </c>
      <c r="T1504" t="s">
        <v>60</v>
      </c>
      <c r="U1504" t="s">
        <v>71</v>
      </c>
    </row>
    <row r="1505" spans="1:21" x14ac:dyDescent="0.35">
      <c r="A1505" t="s">
        <v>1634</v>
      </c>
      <c r="B1505" s="5">
        <v>45700</v>
      </c>
      <c r="C1505" t="s">
        <v>56</v>
      </c>
      <c r="D1505" t="s">
        <v>57</v>
      </c>
      <c r="E1505" s="9">
        <v>4</v>
      </c>
      <c r="F1505" s="10">
        <v>40</v>
      </c>
      <c r="G1505" s="11">
        <v>0</v>
      </c>
      <c r="H1505" s="10">
        <v>160</v>
      </c>
      <c r="I1505" s="9">
        <v>0</v>
      </c>
      <c r="J1505" s="10">
        <v>0</v>
      </c>
      <c r="K1505" s="9">
        <v>4</v>
      </c>
      <c r="L1505" s="10">
        <v>160</v>
      </c>
      <c r="M1505" s="10">
        <v>131.63</v>
      </c>
      <c r="N1505" s="10">
        <v>28.37</v>
      </c>
      <c r="O1505" s="11">
        <f t="shared" si="88"/>
        <v>0.17731250000000001</v>
      </c>
      <c r="P1505" s="10">
        <v>17.3</v>
      </c>
      <c r="Q1505" s="10">
        <v>11.07</v>
      </c>
      <c r="R1505" s="11">
        <f t="shared" si="89"/>
        <v>6.9187499999999999E-2</v>
      </c>
      <c r="S1505" t="s">
        <v>65</v>
      </c>
      <c r="T1505" t="s">
        <v>66</v>
      </c>
      <c r="U1505" t="s">
        <v>61</v>
      </c>
    </row>
    <row r="1506" spans="1:21" x14ac:dyDescent="0.35">
      <c r="A1506" t="s">
        <v>1635</v>
      </c>
      <c r="B1506" s="5">
        <v>45795</v>
      </c>
      <c r="C1506" t="s">
        <v>95</v>
      </c>
      <c r="D1506" t="s">
        <v>64</v>
      </c>
      <c r="E1506" s="9">
        <v>5</v>
      </c>
      <c r="F1506" s="10">
        <v>52</v>
      </c>
      <c r="G1506" s="11">
        <v>0</v>
      </c>
      <c r="H1506" s="10">
        <v>260</v>
      </c>
      <c r="I1506" s="9">
        <v>0</v>
      </c>
      <c r="J1506" s="10">
        <v>0</v>
      </c>
      <c r="K1506" s="9">
        <v>5</v>
      </c>
      <c r="L1506" s="10">
        <v>260</v>
      </c>
      <c r="M1506" s="10">
        <v>178.53</v>
      </c>
      <c r="N1506" s="10">
        <v>81.47</v>
      </c>
      <c r="O1506" s="11">
        <f t="shared" si="88"/>
        <v>0.31334615384615383</v>
      </c>
      <c r="P1506" s="10">
        <v>26.53</v>
      </c>
      <c r="Q1506" s="10">
        <v>54.94</v>
      </c>
      <c r="R1506" s="11">
        <f t="shared" si="89"/>
        <v>0.21130769230769231</v>
      </c>
      <c r="S1506" t="s">
        <v>65</v>
      </c>
      <c r="T1506" t="s">
        <v>66</v>
      </c>
      <c r="U1506" t="s">
        <v>71</v>
      </c>
    </row>
    <row r="1507" spans="1:21" x14ac:dyDescent="0.35">
      <c r="A1507" t="s">
        <v>1636</v>
      </c>
      <c r="B1507" s="5">
        <v>45730</v>
      </c>
      <c r="C1507" t="s">
        <v>121</v>
      </c>
      <c r="D1507" t="s">
        <v>70</v>
      </c>
      <c r="E1507" s="9">
        <v>5</v>
      </c>
      <c r="F1507" s="10">
        <v>110</v>
      </c>
      <c r="G1507" s="11">
        <v>0</v>
      </c>
      <c r="H1507" s="10">
        <v>550</v>
      </c>
      <c r="I1507" s="9">
        <v>0</v>
      </c>
      <c r="J1507" s="10">
        <v>0</v>
      </c>
      <c r="K1507" s="9">
        <v>5</v>
      </c>
      <c r="L1507" s="10">
        <v>550</v>
      </c>
      <c r="M1507" s="10">
        <v>357.35</v>
      </c>
      <c r="N1507" s="10">
        <v>192.65</v>
      </c>
      <c r="O1507" s="11">
        <f t="shared" si="88"/>
        <v>0.35027272727272729</v>
      </c>
      <c r="P1507" s="10">
        <v>69.400000000000006</v>
      </c>
      <c r="Q1507" s="10">
        <v>123.25</v>
      </c>
      <c r="R1507" s="11">
        <f t="shared" si="89"/>
        <v>0.22409090909090909</v>
      </c>
      <c r="S1507" t="s">
        <v>59</v>
      </c>
      <c r="T1507" t="s">
        <v>60</v>
      </c>
      <c r="U1507" t="s">
        <v>67</v>
      </c>
    </row>
    <row r="1508" spans="1:21" x14ac:dyDescent="0.35">
      <c r="A1508" t="s">
        <v>1637</v>
      </c>
      <c r="B1508" s="5">
        <v>45958</v>
      </c>
      <c r="C1508" t="s">
        <v>78</v>
      </c>
      <c r="D1508" t="s">
        <v>79</v>
      </c>
      <c r="E1508" s="9">
        <v>4</v>
      </c>
      <c r="F1508" s="10">
        <v>120</v>
      </c>
      <c r="G1508" s="11">
        <v>0</v>
      </c>
      <c r="H1508" s="10">
        <v>480</v>
      </c>
      <c r="I1508" s="9">
        <v>0</v>
      </c>
      <c r="J1508" s="10">
        <v>0</v>
      </c>
      <c r="K1508" s="9">
        <v>4</v>
      </c>
      <c r="L1508" s="10">
        <v>480</v>
      </c>
      <c r="M1508" s="10">
        <v>362.29</v>
      </c>
      <c r="N1508" s="10">
        <v>117.71</v>
      </c>
      <c r="O1508" s="11">
        <f t="shared" si="88"/>
        <v>0.24522916666666666</v>
      </c>
      <c r="P1508" s="10">
        <v>61.34</v>
      </c>
      <c r="Q1508" s="10">
        <v>56.37</v>
      </c>
      <c r="R1508" s="11">
        <f t="shared" si="89"/>
        <v>0.1174375</v>
      </c>
      <c r="S1508" t="s">
        <v>59</v>
      </c>
      <c r="T1508" t="s">
        <v>82</v>
      </c>
      <c r="U1508" t="s">
        <v>76</v>
      </c>
    </row>
    <row r="1509" spans="1:21" x14ac:dyDescent="0.35">
      <c r="A1509" t="s">
        <v>1638</v>
      </c>
      <c r="B1509" s="5">
        <v>45986</v>
      </c>
      <c r="C1509" t="s">
        <v>56</v>
      </c>
      <c r="D1509" t="s">
        <v>57</v>
      </c>
      <c r="E1509" s="9">
        <v>8</v>
      </c>
      <c r="F1509" s="10">
        <v>40</v>
      </c>
      <c r="G1509" s="11">
        <v>0</v>
      </c>
      <c r="H1509" s="10">
        <v>320</v>
      </c>
      <c r="I1509" s="9">
        <v>0</v>
      </c>
      <c r="J1509" s="10">
        <v>0</v>
      </c>
      <c r="K1509" s="9">
        <v>8</v>
      </c>
      <c r="L1509" s="10">
        <v>320</v>
      </c>
      <c r="M1509" s="10">
        <v>265.63</v>
      </c>
      <c r="N1509" s="10">
        <v>54.37</v>
      </c>
      <c r="O1509" s="11">
        <f t="shared" si="88"/>
        <v>0.16990624999999998</v>
      </c>
      <c r="P1509" s="10">
        <v>30.03</v>
      </c>
      <c r="Q1509" s="10">
        <v>24.34</v>
      </c>
      <c r="R1509" s="11">
        <f t="shared" si="89"/>
        <v>7.6062500000000005E-2</v>
      </c>
      <c r="S1509" t="s">
        <v>75</v>
      </c>
      <c r="T1509" t="s">
        <v>86</v>
      </c>
      <c r="U1509" t="s">
        <v>71</v>
      </c>
    </row>
    <row r="1510" spans="1:21" x14ac:dyDescent="0.35">
      <c r="A1510" t="s">
        <v>1639</v>
      </c>
      <c r="B1510" s="5">
        <v>45749</v>
      </c>
      <c r="C1510" t="s">
        <v>84</v>
      </c>
      <c r="D1510" t="s">
        <v>85</v>
      </c>
      <c r="E1510" s="9">
        <v>3</v>
      </c>
      <c r="F1510" s="10">
        <v>48</v>
      </c>
      <c r="G1510" s="11">
        <v>0.02</v>
      </c>
      <c r="H1510" s="10">
        <v>141.12</v>
      </c>
      <c r="I1510" s="9">
        <v>0</v>
      </c>
      <c r="J1510" s="10">
        <v>0</v>
      </c>
      <c r="K1510" s="9">
        <v>3</v>
      </c>
      <c r="L1510" s="10">
        <v>141.12</v>
      </c>
      <c r="M1510" s="10">
        <v>99.23</v>
      </c>
      <c r="N1510" s="10">
        <v>41.89</v>
      </c>
      <c r="O1510" s="11">
        <f t="shared" si="88"/>
        <v>0.29683956916099774</v>
      </c>
      <c r="P1510" s="10">
        <v>16.170000000000002</v>
      </c>
      <c r="Q1510" s="10">
        <v>25.72</v>
      </c>
      <c r="R1510" s="11">
        <f t="shared" si="89"/>
        <v>0.1822562358276644</v>
      </c>
      <c r="S1510" t="s">
        <v>59</v>
      </c>
      <c r="T1510" t="s">
        <v>66</v>
      </c>
      <c r="U1510" t="s">
        <v>67</v>
      </c>
    </row>
    <row r="1511" spans="1:21" x14ac:dyDescent="0.35">
      <c r="A1511" t="s">
        <v>1640</v>
      </c>
      <c r="B1511" s="5">
        <v>45692</v>
      </c>
      <c r="C1511" t="s">
        <v>84</v>
      </c>
      <c r="D1511" t="s">
        <v>85</v>
      </c>
      <c r="E1511" s="9">
        <v>2</v>
      </c>
      <c r="F1511" s="10">
        <v>48</v>
      </c>
      <c r="G1511" s="11">
        <v>0.05</v>
      </c>
      <c r="H1511" s="10">
        <v>91.2</v>
      </c>
      <c r="I1511" s="9">
        <v>0</v>
      </c>
      <c r="J1511" s="10">
        <v>0</v>
      </c>
      <c r="K1511" s="9">
        <v>2</v>
      </c>
      <c r="L1511" s="10">
        <v>91.2</v>
      </c>
      <c r="M1511" s="10">
        <v>70.430000000000007</v>
      </c>
      <c r="N1511" s="10">
        <v>20.77</v>
      </c>
      <c r="O1511" s="11">
        <f t="shared" si="88"/>
        <v>0.22774122807017544</v>
      </c>
      <c r="P1511" s="10">
        <v>6.93</v>
      </c>
      <c r="Q1511" s="10">
        <v>13.84</v>
      </c>
      <c r="R1511" s="11">
        <f t="shared" si="89"/>
        <v>0.15175438596491228</v>
      </c>
      <c r="S1511" t="s">
        <v>81</v>
      </c>
      <c r="T1511" t="s">
        <v>66</v>
      </c>
      <c r="U1511" t="s">
        <v>76</v>
      </c>
    </row>
    <row r="1512" spans="1:21" x14ac:dyDescent="0.35">
      <c r="A1512" t="s">
        <v>1641</v>
      </c>
      <c r="B1512" s="5">
        <v>45845</v>
      </c>
      <c r="C1512" t="s">
        <v>125</v>
      </c>
      <c r="D1512" t="s">
        <v>85</v>
      </c>
      <c r="E1512" s="9">
        <v>1</v>
      </c>
      <c r="F1512" s="10">
        <v>125</v>
      </c>
      <c r="G1512" s="11">
        <v>0.1</v>
      </c>
      <c r="H1512" s="10">
        <v>112.5</v>
      </c>
      <c r="I1512" s="9">
        <v>0</v>
      </c>
      <c r="J1512" s="10">
        <v>0</v>
      </c>
      <c r="K1512" s="9">
        <v>1</v>
      </c>
      <c r="L1512" s="10">
        <v>112.5</v>
      </c>
      <c r="M1512" s="10">
        <v>89.8</v>
      </c>
      <c r="N1512" s="10">
        <v>22.7</v>
      </c>
      <c r="O1512" s="11">
        <f t="shared" si="88"/>
        <v>0.20177777777777778</v>
      </c>
      <c r="P1512" s="10">
        <v>9.2899999999999991</v>
      </c>
      <c r="Q1512" s="10">
        <v>13.41</v>
      </c>
      <c r="R1512" s="11">
        <f t="shared" si="89"/>
        <v>0.1192</v>
      </c>
      <c r="S1512" t="s">
        <v>81</v>
      </c>
      <c r="T1512" t="s">
        <v>66</v>
      </c>
      <c r="U1512" t="s">
        <v>71</v>
      </c>
    </row>
    <row r="1513" spans="1:21" x14ac:dyDescent="0.35">
      <c r="A1513" t="s">
        <v>1642</v>
      </c>
      <c r="B1513" s="5">
        <v>45955</v>
      </c>
      <c r="C1513" t="s">
        <v>88</v>
      </c>
      <c r="D1513" t="s">
        <v>57</v>
      </c>
      <c r="E1513" s="9">
        <v>2</v>
      </c>
      <c r="F1513" s="10">
        <v>30</v>
      </c>
      <c r="G1513" s="11">
        <v>0.02</v>
      </c>
      <c r="H1513" s="10">
        <v>58.8</v>
      </c>
      <c r="I1513" s="9">
        <v>0</v>
      </c>
      <c r="J1513" s="10">
        <v>0</v>
      </c>
      <c r="K1513" s="9">
        <v>2</v>
      </c>
      <c r="L1513" s="10">
        <v>58.8</v>
      </c>
      <c r="M1513" s="10">
        <v>40.54</v>
      </c>
      <c r="N1513" s="10">
        <v>18.260000000000002</v>
      </c>
      <c r="O1513" s="11">
        <f t="shared" si="88"/>
        <v>0.31054421768707485</v>
      </c>
      <c r="P1513" s="10">
        <v>5</v>
      </c>
      <c r="Q1513" s="10">
        <v>13.26</v>
      </c>
      <c r="R1513" s="11">
        <f t="shared" si="89"/>
        <v>0.22551020408163266</v>
      </c>
      <c r="S1513" t="s">
        <v>75</v>
      </c>
      <c r="T1513" t="s">
        <v>86</v>
      </c>
      <c r="U1513" t="s">
        <v>61</v>
      </c>
    </row>
    <row r="1514" spans="1:21" x14ac:dyDescent="0.35">
      <c r="A1514" t="s">
        <v>1643</v>
      </c>
      <c r="B1514" s="5">
        <v>45729</v>
      </c>
      <c r="C1514" t="s">
        <v>73</v>
      </c>
      <c r="D1514" t="s">
        <v>74</v>
      </c>
      <c r="E1514" s="9">
        <v>8</v>
      </c>
      <c r="F1514" s="10">
        <v>280</v>
      </c>
      <c r="G1514" s="11">
        <v>0.05</v>
      </c>
      <c r="H1514" s="10">
        <v>2128</v>
      </c>
      <c r="I1514" s="9">
        <v>0</v>
      </c>
      <c r="J1514" s="10">
        <v>0</v>
      </c>
      <c r="K1514" s="9">
        <v>8</v>
      </c>
      <c r="L1514" s="10">
        <v>2128</v>
      </c>
      <c r="M1514" s="10">
        <v>1776.75</v>
      </c>
      <c r="N1514" s="10">
        <v>351.25</v>
      </c>
      <c r="O1514" s="11">
        <f t="shared" si="88"/>
        <v>0.16506109022556392</v>
      </c>
      <c r="P1514" s="10">
        <v>165.2</v>
      </c>
      <c r="Q1514" s="10">
        <v>186.05</v>
      </c>
      <c r="R1514" s="11">
        <f t="shared" si="89"/>
        <v>8.7429511278195496E-2</v>
      </c>
      <c r="S1514" t="s">
        <v>59</v>
      </c>
      <c r="T1514" t="s">
        <v>82</v>
      </c>
      <c r="U1514" t="s">
        <v>71</v>
      </c>
    </row>
    <row r="1515" spans="1:21" x14ac:dyDescent="0.35">
      <c r="A1515" t="s">
        <v>1644</v>
      </c>
      <c r="B1515" s="5">
        <v>46001</v>
      </c>
      <c r="C1515" t="s">
        <v>121</v>
      </c>
      <c r="D1515" t="s">
        <v>70</v>
      </c>
      <c r="E1515" s="9">
        <v>5</v>
      </c>
      <c r="F1515" s="10">
        <v>110</v>
      </c>
      <c r="G1515" s="11">
        <v>0</v>
      </c>
      <c r="H1515" s="10">
        <v>550</v>
      </c>
      <c r="I1515" s="9">
        <v>0</v>
      </c>
      <c r="J1515" s="10">
        <v>0</v>
      </c>
      <c r="K1515" s="9">
        <v>5</v>
      </c>
      <c r="L1515" s="10">
        <v>550</v>
      </c>
      <c r="M1515" s="10">
        <v>400.91</v>
      </c>
      <c r="N1515" s="10">
        <v>149.09</v>
      </c>
      <c r="O1515" s="11">
        <f t="shared" si="88"/>
        <v>0.2710727272727273</v>
      </c>
      <c r="P1515" s="10">
        <v>70.349999999999994</v>
      </c>
      <c r="Q1515" s="10">
        <v>78.739999999999995</v>
      </c>
      <c r="R1515" s="11">
        <f t="shared" si="89"/>
        <v>0.14316363636363635</v>
      </c>
      <c r="S1515" t="s">
        <v>81</v>
      </c>
      <c r="T1515" t="s">
        <v>60</v>
      </c>
      <c r="U1515" t="s">
        <v>61</v>
      </c>
    </row>
    <row r="1516" spans="1:21" x14ac:dyDescent="0.35">
      <c r="A1516" t="s">
        <v>1645</v>
      </c>
      <c r="B1516" s="5">
        <v>45667</v>
      </c>
      <c r="C1516" t="s">
        <v>264</v>
      </c>
      <c r="D1516" t="s">
        <v>85</v>
      </c>
      <c r="E1516" s="9">
        <v>10</v>
      </c>
      <c r="F1516" s="10">
        <v>20</v>
      </c>
      <c r="G1516" s="11">
        <v>0.02</v>
      </c>
      <c r="H1516" s="10">
        <v>196</v>
      </c>
      <c r="I1516" s="9">
        <v>0</v>
      </c>
      <c r="J1516" s="10">
        <v>0</v>
      </c>
      <c r="K1516" s="9">
        <v>10</v>
      </c>
      <c r="L1516" s="10">
        <v>196</v>
      </c>
      <c r="M1516" s="10">
        <v>143.32</v>
      </c>
      <c r="N1516" s="10">
        <v>52.68</v>
      </c>
      <c r="O1516" s="11">
        <f t="shared" ref="O1516:O1547" si="90">N1516/L1516</f>
        <v>0.26877551020408164</v>
      </c>
      <c r="P1516" s="10">
        <v>14.07</v>
      </c>
      <c r="Q1516" s="10">
        <v>38.61</v>
      </c>
      <c r="R1516" s="11">
        <f t="shared" ref="R1516:R1547" si="91">Q1516/L1516</f>
        <v>0.19698979591836735</v>
      </c>
      <c r="S1516" t="s">
        <v>81</v>
      </c>
      <c r="T1516" t="s">
        <v>86</v>
      </c>
      <c r="U1516" t="s">
        <v>67</v>
      </c>
    </row>
    <row r="1517" spans="1:21" x14ac:dyDescent="0.35">
      <c r="A1517" t="s">
        <v>1646</v>
      </c>
      <c r="B1517" s="5">
        <v>45790</v>
      </c>
      <c r="C1517" t="s">
        <v>109</v>
      </c>
      <c r="D1517" t="s">
        <v>85</v>
      </c>
      <c r="E1517" s="9">
        <v>2</v>
      </c>
      <c r="F1517" s="10">
        <v>180</v>
      </c>
      <c r="G1517" s="11">
        <v>0.05</v>
      </c>
      <c r="H1517" s="10">
        <v>342</v>
      </c>
      <c r="I1517" s="9">
        <v>0</v>
      </c>
      <c r="J1517" s="10">
        <v>0</v>
      </c>
      <c r="K1517" s="9">
        <v>2</v>
      </c>
      <c r="L1517" s="10">
        <v>342</v>
      </c>
      <c r="M1517" s="10">
        <v>261.94</v>
      </c>
      <c r="N1517" s="10">
        <v>80.06</v>
      </c>
      <c r="O1517" s="11">
        <f t="shared" si="90"/>
        <v>0.23409356725146199</v>
      </c>
      <c r="P1517" s="10">
        <v>40.42</v>
      </c>
      <c r="Q1517" s="10">
        <v>39.64</v>
      </c>
      <c r="R1517" s="11">
        <f t="shared" si="91"/>
        <v>0.11590643274853801</v>
      </c>
      <c r="S1517" t="s">
        <v>81</v>
      </c>
      <c r="T1517" t="s">
        <v>82</v>
      </c>
      <c r="U1517" t="s">
        <v>61</v>
      </c>
    </row>
    <row r="1518" spans="1:21" x14ac:dyDescent="0.35">
      <c r="A1518" t="s">
        <v>1647</v>
      </c>
      <c r="B1518" s="5">
        <v>45729</v>
      </c>
      <c r="C1518" t="s">
        <v>78</v>
      </c>
      <c r="D1518" t="s">
        <v>79</v>
      </c>
      <c r="E1518" s="9">
        <v>5</v>
      </c>
      <c r="F1518" s="10">
        <v>120</v>
      </c>
      <c r="G1518" s="11">
        <v>0</v>
      </c>
      <c r="H1518" s="10">
        <v>600</v>
      </c>
      <c r="I1518" s="9">
        <v>0</v>
      </c>
      <c r="J1518" s="10">
        <v>0</v>
      </c>
      <c r="K1518" s="9">
        <v>5</v>
      </c>
      <c r="L1518" s="10">
        <v>600</v>
      </c>
      <c r="M1518" s="10">
        <v>437.25</v>
      </c>
      <c r="N1518" s="10">
        <v>162.75</v>
      </c>
      <c r="O1518" s="11">
        <f t="shared" si="90"/>
        <v>0.27124999999999999</v>
      </c>
      <c r="P1518" s="10">
        <v>75.959999999999994</v>
      </c>
      <c r="Q1518" s="10">
        <v>86.79</v>
      </c>
      <c r="R1518" s="11">
        <f t="shared" si="91"/>
        <v>0.14465</v>
      </c>
      <c r="S1518" t="s">
        <v>75</v>
      </c>
      <c r="T1518" t="s">
        <v>66</v>
      </c>
      <c r="U1518" t="s">
        <v>61</v>
      </c>
    </row>
    <row r="1519" spans="1:21" x14ac:dyDescent="0.35">
      <c r="A1519" t="s">
        <v>1648</v>
      </c>
      <c r="B1519" s="5">
        <v>45941</v>
      </c>
      <c r="C1519" t="s">
        <v>109</v>
      </c>
      <c r="D1519" t="s">
        <v>85</v>
      </c>
      <c r="E1519" s="9">
        <v>2</v>
      </c>
      <c r="F1519" s="10">
        <v>180</v>
      </c>
      <c r="G1519" s="11">
        <v>0</v>
      </c>
      <c r="H1519" s="10">
        <v>360</v>
      </c>
      <c r="I1519" s="9">
        <v>0</v>
      </c>
      <c r="J1519" s="10">
        <v>0</v>
      </c>
      <c r="K1519" s="9">
        <v>2</v>
      </c>
      <c r="L1519" s="10">
        <v>360</v>
      </c>
      <c r="M1519" s="10">
        <v>235.13</v>
      </c>
      <c r="N1519" s="10">
        <v>124.87</v>
      </c>
      <c r="O1519" s="11">
        <f t="shared" si="90"/>
        <v>0.34686111111111112</v>
      </c>
      <c r="P1519" s="10">
        <v>35.17</v>
      </c>
      <c r="Q1519" s="10">
        <v>89.7</v>
      </c>
      <c r="R1519" s="11">
        <f t="shared" si="91"/>
        <v>0.24916666666666668</v>
      </c>
      <c r="S1519" t="s">
        <v>59</v>
      </c>
      <c r="T1519" t="s">
        <v>82</v>
      </c>
      <c r="U1519" t="s">
        <v>76</v>
      </c>
    </row>
    <row r="1520" spans="1:21" x14ac:dyDescent="0.35">
      <c r="A1520" t="s">
        <v>1649</v>
      </c>
      <c r="B1520" s="5">
        <v>45959</v>
      </c>
      <c r="C1520" t="s">
        <v>73</v>
      </c>
      <c r="D1520" t="s">
        <v>74</v>
      </c>
      <c r="E1520" s="9">
        <v>2</v>
      </c>
      <c r="F1520" s="10">
        <v>280</v>
      </c>
      <c r="G1520" s="11">
        <v>0</v>
      </c>
      <c r="H1520" s="10">
        <v>560</v>
      </c>
      <c r="I1520" s="9">
        <v>0</v>
      </c>
      <c r="J1520" s="10">
        <v>0</v>
      </c>
      <c r="K1520" s="9">
        <v>2</v>
      </c>
      <c r="L1520" s="10">
        <v>560</v>
      </c>
      <c r="M1520" s="10">
        <v>397.84</v>
      </c>
      <c r="N1520" s="10">
        <v>162.16</v>
      </c>
      <c r="O1520" s="11">
        <f t="shared" si="90"/>
        <v>0.28957142857142859</v>
      </c>
      <c r="P1520" s="10">
        <v>52.52</v>
      </c>
      <c r="Q1520" s="10">
        <v>109.64</v>
      </c>
      <c r="R1520" s="11">
        <f t="shared" si="91"/>
        <v>0.19578571428571429</v>
      </c>
      <c r="S1520" t="s">
        <v>75</v>
      </c>
      <c r="T1520" t="s">
        <v>86</v>
      </c>
      <c r="U1520" t="s">
        <v>67</v>
      </c>
    </row>
    <row r="1521" spans="1:21" x14ac:dyDescent="0.35">
      <c r="A1521" t="s">
        <v>1650</v>
      </c>
      <c r="B1521" s="5">
        <v>45713</v>
      </c>
      <c r="C1521" t="s">
        <v>117</v>
      </c>
      <c r="D1521" t="s">
        <v>74</v>
      </c>
      <c r="E1521" s="9">
        <v>6</v>
      </c>
      <c r="F1521" s="10">
        <v>95</v>
      </c>
      <c r="G1521" s="11">
        <v>0.05</v>
      </c>
      <c r="H1521" s="10">
        <v>541.5</v>
      </c>
      <c r="I1521" s="9">
        <v>0</v>
      </c>
      <c r="J1521" s="10">
        <v>0</v>
      </c>
      <c r="K1521" s="9">
        <v>6</v>
      </c>
      <c r="L1521" s="10">
        <v>541.5</v>
      </c>
      <c r="M1521" s="10">
        <v>407.65</v>
      </c>
      <c r="N1521" s="10">
        <v>133.85</v>
      </c>
      <c r="O1521" s="11">
        <f t="shared" si="90"/>
        <v>0.24718374884579869</v>
      </c>
      <c r="P1521" s="10">
        <v>42.89</v>
      </c>
      <c r="Q1521" s="10">
        <v>90.96</v>
      </c>
      <c r="R1521" s="11">
        <f t="shared" si="91"/>
        <v>0.16797783933518004</v>
      </c>
      <c r="S1521" t="s">
        <v>59</v>
      </c>
      <c r="T1521" t="s">
        <v>82</v>
      </c>
      <c r="U1521" t="s">
        <v>61</v>
      </c>
    </row>
    <row r="1522" spans="1:21" x14ac:dyDescent="0.35">
      <c r="A1522" t="s">
        <v>1651</v>
      </c>
      <c r="B1522" s="5">
        <v>45786</v>
      </c>
      <c r="C1522" t="s">
        <v>117</v>
      </c>
      <c r="D1522" t="s">
        <v>74</v>
      </c>
      <c r="E1522" s="9">
        <v>5</v>
      </c>
      <c r="F1522" s="10">
        <v>95</v>
      </c>
      <c r="G1522" s="11">
        <v>0</v>
      </c>
      <c r="H1522" s="10">
        <v>475</v>
      </c>
      <c r="I1522" s="9">
        <v>0</v>
      </c>
      <c r="J1522" s="10">
        <v>0</v>
      </c>
      <c r="K1522" s="9">
        <v>5</v>
      </c>
      <c r="L1522" s="10">
        <v>475</v>
      </c>
      <c r="M1522" s="10">
        <v>342.91</v>
      </c>
      <c r="N1522" s="10">
        <v>132.09</v>
      </c>
      <c r="O1522" s="11">
        <f t="shared" si="90"/>
        <v>0.27808421052631582</v>
      </c>
      <c r="P1522" s="10">
        <v>43.26</v>
      </c>
      <c r="Q1522" s="10">
        <v>88.83</v>
      </c>
      <c r="R1522" s="11">
        <f t="shared" si="91"/>
        <v>0.18701052631578946</v>
      </c>
      <c r="S1522" t="s">
        <v>65</v>
      </c>
      <c r="T1522" t="s">
        <v>60</v>
      </c>
      <c r="U1522" t="s">
        <v>61</v>
      </c>
    </row>
    <row r="1523" spans="1:21" x14ac:dyDescent="0.35">
      <c r="A1523" t="s">
        <v>1652</v>
      </c>
      <c r="B1523" s="5">
        <v>45776</v>
      </c>
      <c r="C1523" t="s">
        <v>92</v>
      </c>
      <c r="D1523" t="s">
        <v>79</v>
      </c>
      <c r="E1523" s="9">
        <v>3</v>
      </c>
      <c r="F1523" s="10">
        <v>85</v>
      </c>
      <c r="G1523" s="11">
        <v>0</v>
      </c>
      <c r="H1523" s="10">
        <v>255</v>
      </c>
      <c r="I1523" s="9">
        <v>0</v>
      </c>
      <c r="J1523" s="10">
        <v>0</v>
      </c>
      <c r="K1523" s="9">
        <v>3</v>
      </c>
      <c r="L1523" s="10">
        <v>255</v>
      </c>
      <c r="M1523" s="10">
        <v>208.47</v>
      </c>
      <c r="N1523" s="10">
        <v>46.53</v>
      </c>
      <c r="O1523" s="11">
        <f t="shared" si="90"/>
        <v>0.18247058823529413</v>
      </c>
      <c r="P1523" s="10">
        <v>25.79</v>
      </c>
      <c r="Q1523" s="10">
        <v>20.74</v>
      </c>
      <c r="R1523" s="11">
        <f t="shared" si="91"/>
        <v>8.1333333333333327E-2</v>
      </c>
      <c r="S1523" t="s">
        <v>65</v>
      </c>
      <c r="T1523" t="s">
        <v>66</v>
      </c>
      <c r="U1523" t="s">
        <v>76</v>
      </c>
    </row>
    <row r="1524" spans="1:21" x14ac:dyDescent="0.35">
      <c r="A1524" t="s">
        <v>1653</v>
      </c>
      <c r="B1524" s="5">
        <v>45985</v>
      </c>
      <c r="C1524" t="s">
        <v>125</v>
      </c>
      <c r="D1524" t="s">
        <v>85</v>
      </c>
      <c r="E1524" s="9">
        <v>3</v>
      </c>
      <c r="F1524" s="10">
        <v>125</v>
      </c>
      <c r="G1524" s="11">
        <v>0</v>
      </c>
      <c r="H1524" s="10">
        <v>375</v>
      </c>
      <c r="I1524" s="9">
        <v>0</v>
      </c>
      <c r="J1524" s="10">
        <v>0</v>
      </c>
      <c r="K1524" s="9">
        <v>3</v>
      </c>
      <c r="L1524" s="10">
        <v>375</v>
      </c>
      <c r="M1524" s="10">
        <v>317.20999999999998</v>
      </c>
      <c r="N1524" s="10">
        <v>57.79</v>
      </c>
      <c r="O1524" s="11">
        <f t="shared" si="90"/>
        <v>0.15410666666666667</v>
      </c>
      <c r="P1524" s="10">
        <v>28.09</v>
      </c>
      <c r="Q1524" s="10">
        <v>29.7</v>
      </c>
      <c r="R1524" s="11">
        <f t="shared" si="91"/>
        <v>7.9199999999999993E-2</v>
      </c>
      <c r="S1524" t="s">
        <v>65</v>
      </c>
      <c r="T1524" t="s">
        <v>66</v>
      </c>
      <c r="U1524" t="s">
        <v>76</v>
      </c>
    </row>
    <row r="1525" spans="1:21" x14ac:dyDescent="0.35">
      <c r="A1525" t="s">
        <v>1654</v>
      </c>
      <c r="B1525" s="5">
        <v>45813</v>
      </c>
      <c r="C1525" t="s">
        <v>125</v>
      </c>
      <c r="D1525" t="s">
        <v>85</v>
      </c>
      <c r="E1525" s="9">
        <v>2</v>
      </c>
      <c r="F1525" s="10">
        <v>125</v>
      </c>
      <c r="G1525" s="11">
        <v>0.02</v>
      </c>
      <c r="H1525" s="10">
        <v>245</v>
      </c>
      <c r="I1525" s="9">
        <v>0</v>
      </c>
      <c r="J1525" s="10">
        <v>0</v>
      </c>
      <c r="K1525" s="9">
        <v>2</v>
      </c>
      <c r="L1525" s="10">
        <v>245</v>
      </c>
      <c r="M1525" s="10">
        <v>170.45</v>
      </c>
      <c r="N1525" s="10">
        <v>74.55</v>
      </c>
      <c r="O1525" s="11">
        <f t="shared" si="90"/>
        <v>0.30428571428571427</v>
      </c>
      <c r="P1525" s="10">
        <v>14.81</v>
      </c>
      <c r="Q1525" s="10">
        <v>59.74</v>
      </c>
      <c r="R1525" s="11">
        <f t="shared" si="91"/>
        <v>0.24383673469387757</v>
      </c>
      <c r="S1525" t="s">
        <v>75</v>
      </c>
      <c r="T1525" t="s">
        <v>86</v>
      </c>
      <c r="U1525" t="s">
        <v>67</v>
      </c>
    </row>
    <row r="1526" spans="1:21" x14ac:dyDescent="0.35">
      <c r="A1526" t="s">
        <v>1655</v>
      </c>
      <c r="B1526" s="5">
        <v>45660</v>
      </c>
      <c r="C1526" t="s">
        <v>90</v>
      </c>
      <c r="D1526" t="s">
        <v>70</v>
      </c>
      <c r="E1526" s="9">
        <v>8</v>
      </c>
      <c r="F1526" s="10">
        <v>38</v>
      </c>
      <c r="G1526" s="11">
        <v>0.1</v>
      </c>
      <c r="H1526" s="10">
        <v>273.60000000000002</v>
      </c>
      <c r="I1526" s="9">
        <v>0</v>
      </c>
      <c r="J1526" s="10">
        <v>0</v>
      </c>
      <c r="K1526" s="9">
        <v>8</v>
      </c>
      <c r="L1526" s="10">
        <v>273.60000000000002</v>
      </c>
      <c r="M1526" s="10">
        <v>220.61</v>
      </c>
      <c r="N1526" s="10">
        <v>52.99</v>
      </c>
      <c r="O1526" s="11">
        <f t="shared" si="90"/>
        <v>0.19367690058479531</v>
      </c>
      <c r="P1526" s="10">
        <v>19.48</v>
      </c>
      <c r="Q1526" s="10">
        <v>33.51</v>
      </c>
      <c r="R1526" s="11">
        <f t="shared" si="91"/>
        <v>0.12247807017543857</v>
      </c>
      <c r="S1526" t="s">
        <v>59</v>
      </c>
      <c r="T1526" t="s">
        <v>60</v>
      </c>
      <c r="U1526" t="s">
        <v>61</v>
      </c>
    </row>
    <row r="1527" spans="1:21" x14ac:dyDescent="0.35">
      <c r="A1527" t="s">
        <v>1656</v>
      </c>
      <c r="B1527" s="5">
        <v>45695</v>
      </c>
      <c r="C1527" t="s">
        <v>97</v>
      </c>
      <c r="D1527" t="s">
        <v>57</v>
      </c>
      <c r="E1527" s="9">
        <v>3</v>
      </c>
      <c r="F1527" s="10">
        <v>55</v>
      </c>
      <c r="G1527" s="11">
        <v>0</v>
      </c>
      <c r="H1527" s="10">
        <v>165</v>
      </c>
      <c r="I1527" s="9">
        <v>0</v>
      </c>
      <c r="J1527" s="10">
        <v>0</v>
      </c>
      <c r="K1527" s="9">
        <v>3</v>
      </c>
      <c r="L1527" s="10">
        <v>165</v>
      </c>
      <c r="M1527" s="10">
        <v>102.5</v>
      </c>
      <c r="N1527" s="10">
        <v>62.5</v>
      </c>
      <c r="O1527" s="11">
        <f t="shared" si="90"/>
        <v>0.37878787878787878</v>
      </c>
      <c r="P1527" s="10">
        <v>15.51</v>
      </c>
      <c r="Q1527" s="10">
        <v>46.99</v>
      </c>
      <c r="R1527" s="11">
        <f t="shared" si="91"/>
        <v>0.28478787878787881</v>
      </c>
      <c r="S1527" t="s">
        <v>81</v>
      </c>
      <c r="T1527" t="s">
        <v>60</v>
      </c>
      <c r="U1527" t="s">
        <v>67</v>
      </c>
    </row>
    <row r="1528" spans="1:21" x14ac:dyDescent="0.35">
      <c r="A1528" t="s">
        <v>1657</v>
      </c>
      <c r="B1528" s="5">
        <v>45953</v>
      </c>
      <c r="C1528" t="s">
        <v>109</v>
      </c>
      <c r="D1528" t="s">
        <v>85</v>
      </c>
      <c r="E1528" s="9">
        <v>1</v>
      </c>
      <c r="F1528" s="10">
        <v>180</v>
      </c>
      <c r="G1528" s="11">
        <v>0</v>
      </c>
      <c r="H1528" s="10">
        <v>180</v>
      </c>
      <c r="I1528" s="9">
        <v>0</v>
      </c>
      <c r="J1528" s="10">
        <v>0</v>
      </c>
      <c r="K1528" s="9">
        <v>1</v>
      </c>
      <c r="L1528" s="10">
        <v>180</v>
      </c>
      <c r="M1528" s="10">
        <v>145.5</v>
      </c>
      <c r="N1528" s="10">
        <v>34.5</v>
      </c>
      <c r="O1528" s="11">
        <f t="shared" si="90"/>
        <v>0.19166666666666668</v>
      </c>
      <c r="P1528" s="10">
        <v>13.83</v>
      </c>
      <c r="Q1528" s="10">
        <v>20.67</v>
      </c>
      <c r="R1528" s="11">
        <f t="shared" si="91"/>
        <v>0.11483333333333334</v>
      </c>
      <c r="S1528" t="s">
        <v>75</v>
      </c>
      <c r="T1528" t="s">
        <v>66</v>
      </c>
      <c r="U1528" t="s">
        <v>71</v>
      </c>
    </row>
    <row r="1529" spans="1:21" x14ac:dyDescent="0.35">
      <c r="A1529" t="s">
        <v>1658</v>
      </c>
      <c r="B1529" s="5">
        <v>45973</v>
      </c>
      <c r="C1529" t="s">
        <v>97</v>
      </c>
      <c r="D1529" t="s">
        <v>57</v>
      </c>
      <c r="E1529" s="9">
        <v>3</v>
      </c>
      <c r="F1529" s="10">
        <v>55</v>
      </c>
      <c r="G1529" s="11">
        <v>0.15</v>
      </c>
      <c r="H1529" s="10">
        <v>140.25</v>
      </c>
      <c r="I1529" s="9">
        <v>0</v>
      </c>
      <c r="J1529" s="10">
        <v>0</v>
      </c>
      <c r="K1529" s="9">
        <v>3</v>
      </c>
      <c r="L1529" s="10">
        <v>140.25</v>
      </c>
      <c r="M1529" s="10">
        <v>90.7</v>
      </c>
      <c r="N1529" s="10">
        <v>49.55</v>
      </c>
      <c r="O1529" s="11">
        <f t="shared" si="90"/>
        <v>0.35329768270944739</v>
      </c>
      <c r="P1529" s="10">
        <v>12.32</v>
      </c>
      <c r="Q1529" s="10">
        <v>37.229999999999997</v>
      </c>
      <c r="R1529" s="11">
        <f t="shared" si="91"/>
        <v>0.26545454545454544</v>
      </c>
      <c r="S1529" t="s">
        <v>65</v>
      </c>
      <c r="T1529" t="s">
        <v>82</v>
      </c>
      <c r="U1529" t="s">
        <v>71</v>
      </c>
    </row>
    <row r="1530" spans="1:21" x14ac:dyDescent="0.35">
      <c r="A1530" t="s">
        <v>1659</v>
      </c>
      <c r="B1530" s="5">
        <v>45993</v>
      </c>
      <c r="C1530" t="s">
        <v>109</v>
      </c>
      <c r="D1530" t="s">
        <v>85</v>
      </c>
      <c r="E1530" s="9">
        <v>3</v>
      </c>
      <c r="F1530" s="10">
        <v>180</v>
      </c>
      <c r="G1530" s="11">
        <v>0.05</v>
      </c>
      <c r="H1530" s="10">
        <v>513</v>
      </c>
      <c r="I1530" s="9">
        <v>0</v>
      </c>
      <c r="J1530" s="10">
        <v>0</v>
      </c>
      <c r="K1530" s="9">
        <v>3</v>
      </c>
      <c r="L1530" s="10">
        <v>513</v>
      </c>
      <c r="M1530" s="10">
        <v>322.88</v>
      </c>
      <c r="N1530" s="10">
        <v>190.12</v>
      </c>
      <c r="O1530" s="11">
        <f t="shared" si="90"/>
        <v>0.37060428849902532</v>
      </c>
      <c r="P1530" s="10">
        <v>29.55</v>
      </c>
      <c r="Q1530" s="10">
        <v>160.57</v>
      </c>
      <c r="R1530" s="11">
        <f t="shared" si="91"/>
        <v>0.31300194931773878</v>
      </c>
      <c r="S1530" t="s">
        <v>75</v>
      </c>
      <c r="T1530" t="s">
        <v>66</v>
      </c>
      <c r="U1530" t="s">
        <v>61</v>
      </c>
    </row>
    <row r="1531" spans="1:21" x14ac:dyDescent="0.35">
      <c r="A1531" t="s">
        <v>1660</v>
      </c>
      <c r="B1531" s="5">
        <v>45978</v>
      </c>
      <c r="C1531" t="s">
        <v>109</v>
      </c>
      <c r="D1531" t="s">
        <v>85</v>
      </c>
      <c r="E1531" s="9">
        <v>1</v>
      </c>
      <c r="F1531" s="10">
        <v>180</v>
      </c>
      <c r="G1531" s="11">
        <v>0.02</v>
      </c>
      <c r="H1531" s="10">
        <v>176.4</v>
      </c>
      <c r="I1531" s="9">
        <v>0</v>
      </c>
      <c r="J1531" s="10">
        <v>0</v>
      </c>
      <c r="K1531" s="9">
        <v>1</v>
      </c>
      <c r="L1531" s="10">
        <v>176.4</v>
      </c>
      <c r="M1531" s="10">
        <v>109.75</v>
      </c>
      <c r="N1531" s="10">
        <v>66.650000000000006</v>
      </c>
      <c r="O1531" s="11">
        <f t="shared" si="90"/>
        <v>0.37783446712018143</v>
      </c>
      <c r="P1531" s="10">
        <v>18</v>
      </c>
      <c r="Q1531" s="10">
        <v>48.65</v>
      </c>
      <c r="R1531" s="11">
        <f t="shared" si="91"/>
        <v>0.27579365079365076</v>
      </c>
      <c r="S1531" t="s">
        <v>59</v>
      </c>
      <c r="T1531" t="s">
        <v>66</v>
      </c>
      <c r="U1531" t="s">
        <v>67</v>
      </c>
    </row>
    <row r="1532" spans="1:21" x14ac:dyDescent="0.35">
      <c r="A1532" t="s">
        <v>1661</v>
      </c>
      <c r="B1532" s="5">
        <v>45866</v>
      </c>
      <c r="C1532" t="s">
        <v>114</v>
      </c>
      <c r="D1532" t="s">
        <v>64</v>
      </c>
      <c r="E1532" s="9">
        <v>3</v>
      </c>
      <c r="F1532" s="10">
        <v>420</v>
      </c>
      <c r="G1532" s="11">
        <v>0</v>
      </c>
      <c r="H1532" s="10">
        <v>1260</v>
      </c>
      <c r="I1532" s="9">
        <v>0</v>
      </c>
      <c r="J1532" s="10">
        <v>0</v>
      </c>
      <c r="K1532" s="9">
        <v>3</v>
      </c>
      <c r="L1532" s="10">
        <v>1260</v>
      </c>
      <c r="M1532" s="10">
        <v>950.88</v>
      </c>
      <c r="N1532" s="10">
        <v>309.12</v>
      </c>
      <c r="O1532" s="11">
        <f t="shared" si="90"/>
        <v>0.24533333333333335</v>
      </c>
      <c r="P1532" s="10">
        <v>146</v>
      </c>
      <c r="Q1532" s="10">
        <v>163.12</v>
      </c>
      <c r="R1532" s="11">
        <f t="shared" si="91"/>
        <v>0.12946031746031747</v>
      </c>
      <c r="S1532" t="s">
        <v>75</v>
      </c>
      <c r="T1532" t="s">
        <v>60</v>
      </c>
      <c r="U1532" t="s">
        <v>71</v>
      </c>
    </row>
    <row r="1533" spans="1:21" x14ac:dyDescent="0.35">
      <c r="A1533" t="s">
        <v>1662</v>
      </c>
      <c r="B1533" s="5">
        <v>45979</v>
      </c>
      <c r="C1533" t="s">
        <v>95</v>
      </c>
      <c r="D1533" t="s">
        <v>64</v>
      </c>
      <c r="E1533" s="9">
        <v>1</v>
      </c>
      <c r="F1533" s="10">
        <v>52</v>
      </c>
      <c r="G1533" s="11">
        <v>0.05</v>
      </c>
      <c r="H1533" s="10">
        <v>49.4</v>
      </c>
      <c r="I1533" s="9">
        <v>0</v>
      </c>
      <c r="J1533" s="10">
        <v>0</v>
      </c>
      <c r="K1533" s="9">
        <v>1</v>
      </c>
      <c r="L1533" s="10">
        <v>49.4</v>
      </c>
      <c r="M1533" s="10">
        <v>35.03</v>
      </c>
      <c r="N1533" s="10">
        <v>14.37</v>
      </c>
      <c r="O1533" s="11">
        <f t="shared" si="90"/>
        <v>0.2908906882591093</v>
      </c>
      <c r="P1533" s="10">
        <v>3.91</v>
      </c>
      <c r="Q1533" s="10">
        <v>10.46</v>
      </c>
      <c r="R1533" s="11">
        <f t="shared" si="91"/>
        <v>0.21174089068825913</v>
      </c>
      <c r="S1533" t="s">
        <v>75</v>
      </c>
      <c r="T1533" t="s">
        <v>86</v>
      </c>
      <c r="U1533" t="s">
        <v>71</v>
      </c>
    </row>
    <row r="1534" spans="1:21" x14ac:dyDescent="0.35">
      <c r="A1534" t="s">
        <v>1663</v>
      </c>
      <c r="B1534" s="5">
        <v>45809</v>
      </c>
      <c r="C1534" t="s">
        <v>97</v>
      </c>
      <c r="D1534" t="s">
        <v>57</v>
      </c>
      <c r="E1534" s="9">
        <v>8</v>
      </c>
      <c r="F1534" s="10">
        <v>55</v>
      </c>
      <c r="G1534" s="11">
        <v>0.05</v>
      </c>
      <c r="H1534" s="10">
        <v>418</v>
      </c>
      <c r="I1534" s="9">
        <v>0</v>
      </c>
      <c r="J1534" s="10">
        <v>0</v>
      </c>
      <c r="K1534" s="9">
        <v>8</v>
      </c>
      <c r="L1534" s="10">
        <v>418</v>
      </c>
      <c r="M1534" s="10">
        <v>292.24</v>
      </c>
      <c r="N1534" s="10">
        <v>125.76</v>
      </c>
      <c r="O1534" s="11">
        <f t="shared" si="90"/>
        <v>0.30086124401913877</v>
      </c>
      <c r="P1534" s="10">
        <v>45.67</v>
      </c>
      <c r="Q1534" s="10">
        <v>80.09</v>
      </c>
      <c r="R1534" s="11">
        <f t="shared" si="91"/>
        <v>0.19160287081339714</v>
      </c>
      <c r="S1534" t="s">
        <v>75</v>
      </c>
      <c r="T1534" t="s">
        <v>60</v>
      </c>
      <c r="U1534" t="s">
        <v>61</v>
      </c>
    </row>
    <row r="1535" spans="1:21" x14ac:dyDescent="0.35">
      <c r="A1535" t="s">
        <v>1664</v>
      </c>
      <c r="B1535" s="5">
        <v>45917</v>
      </c>
      <c r="C1535" t="s">
        <v>117</v>
      </c>
      <c r="D1535" t="s">
        <v>74</v>
      </c>
      <c r="E1535" s="9">
        <v>3</v>
      </c>
      <c r="F1535" s="10">
        <v>95</v>
      </c>
      <c r="G1535" s="11">
        <v>0.15</v>
      </c>
      <c r="H1535" s="10">
        <v>242.25</v>
      </c>
      <c r="I1535" s="9">
        <v>0</v>
      </c>
      <c r="J1535" s="10">
        <v>0</v>
      </c>
      <c r="K1535" s="9">
        <v>3</v>
      </c>
      <c r="L1535" s="10">
        <v>242.25</v>
      </c>
      <c r="M1535" s="10">
        <v>162.63</v>
      </c>
      <c r="N1535" s="10">
        <v>79.62</v>
      </c>
      <c r="O1535" s="11">
        <f t="shared" si="90"/>
        <v>0.32866873065015484</v>
      </c>
      <c r="P1535" s="10">
        <v>17.77</v>
      </c>
      <c r="Q1535" s="10">
        <v>61.85</v>
      </c>
      <c r="R1535" s="11">
        <f t="shared" si="91"/>
        <v>0.25531475748194016</v>
      </c>
      <c r="S1535" t="s">
        <v>65</v>
      </c>
      <c r="T1535" t="s">
        <v>82</v>
      </c>
      <c r="U1535" t="s">
        <v>71</v>
      </c>
    </row>
    <row r="1536" spans="1:21" x14ac:dyDescent="0.35">
      <c r="A1536" t="s">
        <v>1665</v>
      </c>
      <c r="B1536" s="5">
        <v>45724</v>
      </c>
      <c r="C1536" t="s">
        <v>121</v>
      </c>
      <c r="D1536" t="s">
        <v>70</v>
      </c>
      <c r="E1536" s="9">
        <v>1</v>
      </c>
      <c r="F1536" s="10">
        <v>110</v>
      </c>
      <c r="G1536" s="11">
        <v>0</v>
      </c>
      <c r="H1536" s="10">
        <v>110</v>
      </c>
      <c r="I1536" s="9">
        <v>0</v>
      </c>
      <c r="J1536" s="10">
        <v>0</v>
      </c>
      <c r="K1536" s="9">
        <v>1</v>
      </c>
      <c r="L1536" s="10">
        <v>110</v>
      </c>
      <c r="M1536" s="10">
        <v>79.03</v>
      </c>
      <c r="N1536" s="10">
        <v>30.97</v>
      </c>
      <c r="O1536" s="11">
        <f t="shared" si="90"/>
        <v>0.28154545454545454</v>
      </c>
      <c r="P1536" s="10">
        <v>9.6300000000000008</v>
      </c>
      <c r="Q1536" s="10">
        <v>21.34</v>
      </c>
      <c r="R1536" s="11">
        <f t="shared" si="91"/>
        <v>0.19400000000000001</v>
      </c>
      <c r="S1536" t="s">
        <v>65</v>
      </c>
      <c r="T1536" t="s">
        <v>82</v>
      </c>
      <c r="U1536" t="s">
        <v>76</v>
      </c>
    </row>
    <row r="1537" spans="1:21" x14ac:dyDescent="0.35">
      <c r="A1537" t="s">
        <v>1666</v>
      </c>
      <c r="B1537" s="5">
        <v>45672</v>
      </c>
      <c r="C1537" t="s">
        <v>107</v>
      </c>
      <c r="D1537" t="s">
        <v>74</v>
      </c>
      <c r="E1537" s="9">
        <v>3</v>
      </c>
      <c r="F1537" s="10">
        <v>125</v>
      </c>
      <c r="G1537" s="11">
        <v>0</v>
      </c>
      <c r="H1537" s="10">
        <v>375</v>
      </c>
      <c r="I1537" s="9">
        <v>0</v>
      </c>
      <c r="J1537" s="10">
        <v>0</v>
      </c>
      <c r="K1537" s="9">
        <v>3</v>
      </c>
      <c r="L1537" s="10">
        <v>375</v>
      </c>
      <c r="M1537" s="10">
        <v>318.39</v>
      </c>
      <c r="N1537" s="10">
        <v>56.61</v>
      </c>
      <c r="O1537" s="11">
        <f t="shared" si="90"/>
        <v>0.15096000000000001</v>
      </c>
      <c r="P1537" s="10">
        <v>28.1</v>
      </c>
      <c r="Q1537" s="10">
        <v>28.51</v>
      </c>
      <c r="R1537" s="11">
        <f t="shared" si="91"/>
        <v>7.6026666666666673E-2</v>
      </c>
      <c r="S1537" t="s">
        <v>2133</v>
      </c>
      <c r="T1537" t="s">
        <v>60</v>
      </c>
      <c r="U1537" t="s">
        <v>71</v>
      </c>
    </row>
    <row r="1538" spans="1:21" x14ac:dyDescent="0.35">
      <c r="A1538" t="s">
        <v>1667</v>
      </c>
      <c r="B1538" s="5">
        <v>45793</v>
      </c>
      <c r="C1538" t="s">
        <v>69</v>
      </c>
      <c r="D1538" t="s">
        <v>70</v>
      </c>
      <c r="E1538" s="9">
        <v>2</v>
      </c>
      <c r="F1538" s="10">
        <v>210</v>
      </c>
      <c r="G1538" s="11">
        <v>0</v>
      </c>
      <c r="H1538" s="10">
        <v>420</v>
      </c>
      <c r="I1538" s="9">
        <v>0</v>
      </c>
      <c r="J1538" s="10">
        <v>0</v>
      </c>
      <c r="K1538" s="9">
        <v>2</v>
      </c>
      <c r="L1538" s="10">
        <v>420</v>
      </c>
      <c r="M1538" s="10">
        <v>357.04</v>
      </c>
      <c r="N1538" s="10">
        <v>62.96</v>
      </c>
      <c r="O1538" s="11">
        <f t="shared" si="90"/>
        <v>0.1499047619047619</v>
      </c>
      <c r="P1538" s="10">
        <v>45.18</v>
      </c>
      <c r="Q1538" s="10">
        <v>17.78</v>
      </c>
      <c r="R1538" s="11">
        <f t="shared" si="91"/>
        <v>4.2333333333333334E-2</v>
      </c>
      <c r="S1538" t="s">
        <v>81</v>
      </c>
      <c r="T1538" t="s">
        <v>82</v>
      </c>
      <c r="U1538" t="s">
        <v>76</v>
      </c>
    </row>
    <row r="1539" spans="1:21" x14ac:dyDescent="0.35">
      <c r="A1539" t="s">
        <v>1668</v>
      </c>
      <c r="B1539" s="5">
        <v>45662</v>
      </c>
      <c r="C1539" t="s">
        <v>121</v>
      </c>
      <c r="D1539" t="s">
        <v>70</v>
      </c>
      <c r="E1539" s="9">
        <v>2</v>
      </c>
      <c r="F1539" s="10">
        <v>110</v>
      </c>
      <c r="G1539" s="11">
        <v>0.02</v>
      </c>
      <c r="H1539" s="10">
        <v>215.6</v>
      </c>
      <c r="I1539" s="9">
        <v>0</v>
      </c>
      <c r="J1539" s="10">
        <v>0</v>
      </c>
      <c r="K1539" s="9">
        <v>2</v>
      </c>
      <c r="L1539" s="10">
        <v>215.6</v>
      </c>
      <c r="M1539" s="10">
        <v>144.83000000000001</v>
      </c>
      <c r="N1539" s="10">
        <v>70.77</v>
      </c>
      <c r="O1539" s="11">
        <f t="shared" si="90"/>
        <v>0.32824675324675323</v>
      </c>
      <c r="P1539" s="10">
        <v>14.03</v>
      </c>
      <c r="Q1539" s="10">
        <v>56.74</v>
      </c>
      <c r="R1539" s="11">
        <f t="shared" si="91"/>
        <v>0.26317254174397031</v>
      </c>
      <c r="S1539" t="s">
        <v>59</v>
      </c>
      <c r="T1539" t="s">
        <v>60</v>
      </c>
      <c r="U1539" t="s">
        <v>71</v>
      </c>
    </row>
    <row r="1540" spans="1:21" x14ac:dyDescent="0.35">
      <c r="A1540" t="s">
        <v>1669</v>
      </c>
      <c r="B1540" s="5">
        <v>45751</v>
      </c>
      <c r="C1540" t="s">
        <v>88</v>
      </c>
      <c r="D1540" t="s">
        <v>57</v>
      </c>
      <c r="E1540" s="9">
        <v>8</v>
      </c>
      <c r="F1540" s="10">
        <v>30</v>
      </c>
      <c r="G1540" s="11">
        <v>0</v>
      </c>
      <c r="H1540" s="10">
        <v>240</v>
      </c>
      <c r="I1540" s="9">
        <v>0</v>
      </c>
      <c r="J1540" s="10">
        <v>0</v>
      </c>
      <c r="K1540" s="9">
        <v>8</v>
      </c>
      <c r="L1540" s="10">
        <v>240</v>
      </c>
      <c r="M1540" s="10">
        <v>182.63</v>
      </c>
      <c r="N1540" s="10">
        <v>57.37</v>
      </c>
      <c r="O1540" s="11">
        <f t="shared" si="90"/>
        <v>0.23904166666666665</v>
      </c>
      <c r="P1540" s="10">
        <v>27.17</v>
      </c>
      <c r="Q1540" s="10">
        <v>30.2</v>
      </c>
      <c r="R1540" s="11">
        <f t="shared" si="91"/>
        <v>0.12583333333333332</v>
      </c>
      <c r="S1540" t="s">
        <v>59</v>
      </c>
      <c r="T1540" t="s">
        <v>86</v>
      </c>
      <c r="U1540" t="s">
        <v>76</v>
      </c>
    </row>
    <row r="1541" spans="1:21" x14ac:dyDescent="0.35">
      <c r="A1541" t="s">
        <v>1670</v>
      </c>
      <c r="B1541" s="5">
        <v>46010</v>
      </c>
      <c r="C1541" t="s">
        <v>78</v>
      </c>
      <c r="D1541" t="s">
        <v>79</v>
      </c>
      <c r="E1541" s="9">
        <v>4</v>
      </c>
      <c r="F1541" s="10">
        <v>120</v>
      </c>
      <c r="G1541" s="11">
        <v>0</v>
      </c>
      <c r="H1541" s="10">
        <v>480</v>
      </c>
      <c r="I1541" s="9">
        <v>0</v>
      </c>
      <c r="J1541" s="10">
        <v>0</v>
      </c>
      <c r="K1541" s="9">
        <v>4</v>
      </c>
      <c r="L1541" s="10">
        <v>480</v>
      </c>
      <c r="M1541" s="10">
        <v>309.54000000000002</v>
      </c>
      <c r="N1541" s="10">
        <v>170.46</v>
      </c>
      <c r="O1541" s="11">
        <f t="shared" si="90"/>
        <v>0.35512500000000002</v>
      </c>
      <c r="P1541" s="10">
        <v>27.51</v>
      </c>
      <c r="Q1541" s="10">
        <v>142.94999999999999</v>
      </c>
      <c r="R1541" s="11">
        <f t="shared" si="91"/>
        <v>0.29781249999999998</v>
      </c>
      <c r="S1541" t="s">
        <v>59</v>
      </c>
      <c r="T1541" t="s">
        <v>60</v>
      </c>
      <c r="U1541" t="s">
        <v>61</v>
      </c>
    </row>
    <row r="1542" spans="1:21" x14ac:dyDescent="0.35">
      <c r="A1542" t="s">
        <v>1671</v>
      </c>
      <c r="B1542" s="5">
        <v>45982</v>
      </c>
      <c r="C1542" t="s">
        <v>114</v>
      </c>
      <c r="D1542" t="s">
        <v>64</v>
      </c>
      <c r="E1542" s="9">
        <v>1</v>
      </c>
      <c r="F1542" s="10">
        <v>420</v>
      </c>
      <c r="G1542" s="11">
        <v>0</v>
      </c>
      <c r="H1542" s="10">
        <v>420</v>
      </c>
      <c r="I1542" s="9">
        <v>0</v>
      </c>
      <c r="J1542" s="10">
        <v>0</v>
      </c>
      <c r="K1542" s="9">
        <v>1</v>
      </c>
      <c r="L1542" s="10">
        <v>420</v>
      </c>
      <c r="M1542" s="10">
        <v>340.36</v>
      </c>
      <c r="N1542" s="10">
        <v>79.64</v>
      </c>
      <c r="O1542" s="11">
        <f t="shared" si="90"/>
        <v>0.18961904761904763</v>
      </c>
      <c r="P1542" s="10">
        <v>43.17</v>
      </c>
      <c r="Q1542" s="10">
        <v>36.47</v>
      </c>
      <c r="R1542" s="11">
        <f t="shared" si="91"/>
        <v>8.6833333333333332E-2</v>
      </c>
      <c r="S1542" t="s">
        <v>59</v>
      </c>
      <c r="T1542" t="s">
        <v>60</v>
      </c>
      <c r="U1542" t="s">
        <v>67</v>
      </c>
    </row>
    <row r="1543" spans="1:21" x14ac:dyDescent="0.35">
      <c r="A1543" t="s">
        <v>1672</v>
      </c>
      <c r="B1543" s="5">
        <v>45669</v>
      </c>
      <c r="C1543" t="s">
        <v>114</v>
      </c>
      <c r="D1543" t="s">
        <v>64</v>
      </c>
      <c r="E1543" s="9">
        <v>6</v>
      </c>
      <c r="F1543" s="10">
        <v>420</v>
      </c>
      <c r="G1543" s="11">
        <v>0</v>
      </c>
      <c r="H1543" s="10">
        <v>2520</v>
      </c>
      <c r="I1543" s="9">
        <v>0</v>
      </c>
      <c r="J1543" s="10">
        <v>0</v>
      </c>
      <c r="K1543" s="9">
        <v>6</v>
      </c>
      <c r="L1543" s="10">
        <v>2520</v>
      </c>
      <c r="M1543" s="10">
        <v>1955.71</v>
      </c>
      <c r="N1543" s="10">
        <v>564.29</v>
      </c>
      <c r="O1543" s="11">
        <f t="shared" si="90"/>
        <v>0.22392460317460317</v>
      </c>
      <c r="P1543" s="10">
        <v>127.14</v>
      </c>
      <c r="Q1543" s="10">
        <v>437.15</v>
      </c>
      <c r="R1543" s="11">
        <f t="shared" si="91"/>
        <v>0.17347222222222222</v>
      </c>
      <c r="S1543" t="s">
        <v>75</v>
      </c>
      <c r="T1543" t="s">
        <v>82</v>
      </c>
      <c r="U1543" t="s">
        <v>76</v>
      </c>
    </row>
    <row r="1544" spans="1:21" x14ac:dyDescent="0.35">
      <c r="A1544" t="s">
        <v>1673</v>
      </c>
      <c r="B1544" s="5">
        <v>45945</v>
      </c>
      <c r="C1544" t="s">
        <v>264</v>
      </c>
      <c r="D1544" t="s">
        <v>85</v>
      </c>
      <c r="E1544" s="9">
        <v>6</v>
      </c>
      <c r="F1544" s="10">
        <v>20</v>
      </c>
      <c r="G1544" s="11">
        <v>0</v>
      </c>
      <c r="H1544" s="10">
        <v>120</v>
      </c>
      <c r="I1544" s="9">
        <v>0</v>
      </c>
      <c r="J1544" s="10">
        <v>0</v>
      </c>
      <c r="K1544" s="9">
        <v>6</v>
      </c>
      <c r="L1544" s="10">
        <v>120</v>
      </c>
      <c r="M1544" s="10">
        <v>83.82</v>
      </c>
      <c r="N1544" s="10">
        <v>36.18</v>
      </c>
      <c r="O1544" s="11">
        <f t="shared" si="90"/>
        <v>0.30149999999999999</v>
      </c>
      <c r="P1544" s="10">
        <v>8.0299999999999994</v>
      </c>
      <c r="Q1544" s="10">
        <v>28.15</v>
      </c>
      <c r="R1544" s="11">
        <f t="shared" si="91"/>
        <v>0.23458333333333331</v>
      </c>
      <c r="S1544" t="s">
        <v>81</v>
      </c>
      <c r="T1544" t="s">
        <v>66</v>
      </c>
      <c r="U1544" t="s">
        <v>61</v>
      </c>
    </row>
    <row r="1545" spans="1:21" x14ac:dyDescent="0.35">
      <c r="A1545" t="s">
        <v>1674</v>
      </c>
      <c r="B1545" s="5">
        <v>45909</v>
      </c>
      <c r="C1545" t="s">
        <v>88</v>
      </c>
      <c r="D1545" t="s">
        <v>57</v>
      </c>
      <c r="E1545" s="9">
        <v>5</v>
      </c>
      <c r="F1545" s="10">
        <v>30</v>
      </c>
      <c r="G1545" s="11">
        <v>0</v>
      </c>
      <c r="H1545" s="10">
        <v>150</v>
      </c>
      <c r="I1545" s="9">
        <v>0</v>
      </c>
      <c r="J1545" s="10">
        <v>0</v>
      </c>
      <c r="K1545" s="9">
        <v>5</v>
      </c>
      <c r="L1545" s="10">
        <v>150</v>
      </c>
      <c r="M1545" s="10">
        <v>102.07</v>
      </c>
      <c r="N1545" s="10">
        <v>47.93</v>
      </c>
      <c r="O1545" s="11">
        <f t="shared" si="90"/>
        <v>0.31953333333333334</v>
      </c>
      <c r="P1545" s="10">
        <v>8.43</v>
      </c>
      <c r="Q1545" s="10">
        <v>39.5</v>
      </c>
      <c r="R1545" s="11">
        <f t="shared" si="91"/>
        <v>0.26333333333333331</v>
      </c>
      <c r="S1545" t="s">
        <v>59</v>
      </c>
      <c r="T1545" t="s">
        <v>82</v>
      </c>
      <c r="U1545" t="s">
        <v>61</v>
      </c>
    </row>
    <row r="1546" spans="1:21" x14ac:dyDescent="0.35">
      <c r="A1546" t="s">
        <v>1675</v>
      </c>
      <c r="B1546" s="5">
        <v>45998</v>
      </c>
      <c r="C1546" t="s">
        <v>114</v>
      </c>
      <c r="D1546" t="s">
        <v>64</v>
      </c>
      <c r="E1546" s="9">
        <v>2</v>
      </c>
      <c r="F1546" s="10">
        <v>420</v>
      </c>
      <c r="G1546" s="11">
        <v>0</v>
      </c>
      <c r="H1546" s="10">
        <v>840</v>
      </c>
      <c r="I1546" s="9">
        <v>0</v>
      </c>
      <c r="J1546" s="10">
        <v>0</v>
      </c>
      <c r="K1546" s="9">
        <v>2</v>
      </c>
      <c r="L1546" s="10">
        <v>840</v>
      </c>
      <c r="M1546" s="10">
        <v>690.32</v>
      </c>
      <c r="N1546" s="10">
        <v>149.68</v>
      </c>
      <c r="O1546" s="11">
        <f t="shared" si="90"/>
        <v>0.1781904761904762</v>
      </c>
      <c r="P1546" s="10">
        <v>68.650000000000006</v>
      </c>
      <c r="Q1546" s="10">
        <v>81.03</v>
      </c>
      <c r="R1546" s="11">
        <f t="shared" si="91"/>
        <v>9.6464285714285711E-2</v>
      </c>
      <c r="S1546" t="s">
        <v>2133</v>
      </c>
      <c r="T1546" t="s">
        <v>66</v>
      </c>
      <c r="U1546" t="s">
        <v>61</v>
      </c>
    </row>
    <row r="1547" spans="1:21" x14ac:dyDescent="0.35">
      <c r="A1547" t="s">
        <v>1676</v>
      </c>
      <c r="B1547" s="5">
        <v>45696</v>
      </c>
      <c r="C1547" t="s">
        <v>117</v>
      </c>
      <c r="D1547" t="s">
        <v>74</v>
      </c>
      <c r="E1547" s="9">
        <v>8</v>
      </c>
      <c r="F1547" s="10">
        <v>95</v>
      </c>
      <c r="G1547" s="11">
        <v>0.1</v>
      </c>
      <c r="H1547" s="10">
        <v>684</v>
      </c>
      <c r="I1547" s="9">
        <v>0</v>
      </c>
      <c r="J1547" s="10">
        <v>0</v>
      </c>
      <c r="K1547" s="9">
        <v>8</v>
      </c>
      <c r="L1547" s="10">
        <v>684</v>
      </c>
      <c r="M1547" s="10">
        <v>565.98</v>
      </c>
      <c r="N1547" s="10">
        <v>118.02</v>
      </c>
      <c r="O1547" s="11">
        <f t="shared" si="90"/>
        <v>0.1725438596491228</v>
      </c>
      <c r="P1547" s="10">
        <v>68.400000000000006</v>
      </c>
      <c r="Q1547" s="10">
        <v>49.62</v>
      </c>
      <c r="R1547" s="11">
        <f t="shared" si="91"/>
        <v>7.2543859649122799E-2</v>
      </c>
      <c r="S1547" t="s">
        <v>81</v>
      </c>
      <c r="T1547" t="s">
        <v>82</v>
      </c>
      <c r="U1547" t="s">
        <v>67</v>
      </c>
    </row>
    <row r="1548" spans="1:21" x14ac:dyDescent="0.35">
      <c r="A1548" t="s">
        <v>1677</v>
      </c>
      <c r="B1548" s="5">
        <v>45805</v>
      </c>
      <c r="C1548" t="s">
        <v>73</v>
      </c>
      <c r="D1548" t="s">
        <v>74</v>
      </c>
      <c r="E1548" s="9">
        <v>3</v>
      </c>
      <c r="F1548" s="10">
        <v>280</v>
      </c>
      <c r="G1548" s="11">
        <v>0</v>
      </c>
      <c r="H1548" s="10">
        <v>840</v>
      </c>
      <c r="I1548" s="9">
        <v>0</v>
      </c>
      <c r="J1548" s="10">
        <v>0</v>
      </c>
      <c r="K1548" s="9">
        <v>3</v>
      </c>
      <c r="L1548" s="10">
        <v>840</v>
      </c>
      <c r="M1548" s="10">
        <v>562.25</v>
      </c>
      <c r="N1548" s="10">
        <v>277.75</v>
      </c>
      <c r="O1548" s="11">
        <f t="shared" ref="O1548:O1561" si="92">N1548/L1548</f>
        <v>0.3306547619047619</v>
      </c>
      <c r="P1548" s="10">
        <v>72.33</v>
      </c>
      <c r="Q1548" s="10">
        <v>205.42</v>
      </c>
      <c r="R1548" s="11">
        <f t="shared" ref="R1548:R1561" si="93">Q1548/L1548</f>
        <v>0.24454761904761904</v>
      </c>
      <c r="S1548" t="s">
        <v>65</v>
      </c>
      <c r="T1548" t="s">
        <v>86</v>
      </c>
      <c r="U1548" t="s">
        <v>67</v>
      </c>
    </row>
    <row r="1549" spans="1:21" x14ac:dyDescent="0.35">
      <c r="A1549" t="s">
        <v>1678</v>
      </c>
      <c r="B1549" s="5">
        <v>45896</v>
      </c>
      <c r="C1549" t="s">
        <v>92</v>
      </c>
      <c r="D1549" t="s">
        <v>79</v>
      </c>
      <c r="E1549" s="9">
        <v>8</v>
      </c>
      <c r="F1549" s="10">
        <v>85</v>
      </c>
      <c r="G1549" s="11">
        <v>0.02</v>
      </c>
      <c r="H1549" s="10">
        <v>666.4</v>
      </c>
      <c r="I1549" s="9">
        <v>0</v>
      </c>
      <c r="J1549" s="10">
        <v>0</v>
      </c>
      <c r="K1549" s="9">
        <v>8</v>
      </c>
      <c r="L1549" s="10">
        <v>666.4</v>
      </c>
      <c r="M1549" s="10">
        <v>552.52</v>
      </c>
      <c r="N1549" s="10">
        <v>113.88</v>
      </c>
      <c r="O1549" s="11">
        <f t="shared" si="92"/>
        <v>0.17088835534213687</v>
      </c>
      <c r="P1549" s="10">
        <v>52.52</v>
      </c>
      <c r="Q1549" s="10">
        <v>61.36</v>
      </c>
      <c r="R1549" s="11">
        <f t="shared" si="93"/>
        <v>9.2076830732292919E-2</v>
      </c>
      <c r="S1549" t="s">
        <v>65</v>
      </c>
      <c r="T1549" t="s">
        <v>66</v>
      </c>
      <c r="U1549" t="s">
        <v>67</v>
      </c>
    </row>
    <row r="1550" spans="1:21" x14ac:dyDescent="0.35">
      <c r="A1550" t="s">
        <v>1679</v>
      </c>
      <c r="B1550" s="5">
        <v>45693</v>
      </c>
      <c r="C1550" t="s">
        <v>121</v>
      </c>
      <c r="D1550" t="s">
        <v>70</v>
      </c>
      <c r="E1550" s="9">
        <v>2</v>
      </c>
      <c r="F1550" s="10">
        <v>110</v>
      </c>
      <c r="G1550" s="11">
        <v>0.05</v>
      </c>
      <c r="H1550" s="10">
        <v>209</v>
      </c>
      <c r="I1550" s="9">
        <v>0</v>
      </c>
      <c r="J1550" s="10">
        <v>0</v>
      </c>
      <c r="K1550" s="9">
        <v>2</v>
      </c>
      <c r="L1550" s="10">
        <v>209</v>
      </c>
      <c r="M1550" s="10">
        <v>156.07</v>
      </c>
      <c r="N1550" s="10">
        <v>52.93</v>
      </c>
      <c r="O1550" s="11">
        <f t="shared" si="92"/>
        <v>0.2532535885167464</v>
      </c>
      <c r="P1550" s="10">
        <v>14.94</v>
      </c>
      <c r="Q1550" s="10">
        <v>37.99</v>
      </c>
      <c r="R1550" s="11">
        <f t="shared" si="93"/>
        <v>0.18177033492822967</v>
      </c>
      <c r="S1550" t="s">
        <v>59</v>
      </c>
      <c r="T1550" t="s">
        <v>86</v>
      </c>
      <c r="U1550" t="s">
        <v>76</v>
      </c>
    </row>
    <row r="1551" spans="1:21" x14ac:dyDescent="0.35">
      <c r="A1551" t="s">
        <v>1680</v>
      </c>
      <c r="B1551" s="5">
        <v>45861</v>
      </c>
      <c r="C1551" t="s">
        <v>92</v>
      </c>
      <c r="D1551" t="s">
        <v>79</v>
      </c>
      <c r="E1551" s="9">
        <v>3</v>
      </c>
      <c r="F1551" s="10">
        <v>85</v>
      </c>
      <c r="G1551" s="11">
        <v>0.02</v>
      </c>
      <c r="H1551" s="10">
        <v>249.9</v>
      </c>
      <c r="I1551" s="9">
        <v>0</v>
      </c>
      <c r="J1551" s="10">
        <v>0</v>
      </c>
      <c r="K1551" s="9">
        <v>3</v>
      </c>
      <c r="L1551" s="10">
        <v>249.9</v>
      </c>
      <c r="M1551" s="10">
        <v>162.16</v>
      </c>
      <c r="N1551" s="10">
        <v>87.74</v>
      </c>
      <c r="O1551" s="11">
        <f t="shared" si="92"/>
        <v>0.35110044017607039</v>
      </c>
      <c r="P1551" s="10">
        <v>23.8</v>
      </c>
      <c r="Q1551" s="10">
        <v>63.94</v>
      </c>
      <c r="R1551" s="11">
        <f t="shared" si="93"/>
        <v>0.25586234493797516</v>
      </c>
      <c r="S1551" t="s">
        <v>65</v>
      </c>
      <c r="T1551" t="s">
        <v>82</v>
      </c>
      <c r="U1551" t="s">
        <v>76</v>
      </c>
    </row>
    <row r="1552" spans="1:21" x14ac:dyDescent="0.35">
      <c r="A1552" t="s">
        <v>1681</v>
      </c>
      <c r="B1552" s="5">
        <v>45782</v>
      </c>
      <c r="C1552" t="s">
        <v>69</v>
      </c>
      <c r="D1552" t="s">
        <v>70</v>
      </c>
      <c r="E1552" s="9">
        <v>1</v>
      </c>
      <c r="F1552" s="10">
        <v>210</v>
      </c>
      <c r="G1552" s="11">
        <v>0</v>
      </c>
      <c r="H1552" s="10">
        <v>210</v>
      </c>
      <c r="I1552" s="9">
        <v>0</v>
      </c>
      <c r="J1552" s="10">
        <v>0</v>
      </c>
      <c r="K1552" s="9">
        <v>1</v>
      </c>
      <c r="L1552" s="10">
        <v>210</v>
      </c>
      <c r="M1552" s="10">
        <v>135.86000000000001</v>
      </c>
      <c r="N1552" s="10">
        <v>74.14</v>
      </c>
      <c r="O1552" s="11">
        <f t="shared" si="92"/>
        <v>0.35304761904761905</v>
      </c>
      <c r="P1552" s="10">
        <v>23.62</v>
      </c>
      <c r="Q1552" s="10">
        <v>50.52</v>
      </c>
      <c r="R1552" s="11">
        <f t="shared" si="93"/>
        <v>0.24057142857142857</v>
      </c>
      <c r="S1552" t="s">
        <v>75</v>
      </c>
      <c r="T1552" t="s">
        <v>66</v>
      </c>
      <c r="U1552" t="s">
        <v>67</v>
      </c>
    </row>
    <row r="1553" spans="1:21" x14ac:dyDescent="0.35">
      <c r="A1553" t="s">
        <v>1682</v>
      </c>
      <c r="B1553" s="5">
        <v>45872</v>
      </c>
      <c r="C1553" t="s">
        <v>90</v>
      </c>
      <c r="D1553" t="s">
        <v>70</v>
      </c>
      <c r="E1553" s="9">
        <v>8</v>
      </c>
      <c r="F1553" s="10">
        <v>38</v>
      </c>
      <c r="G1553" s="11">
        <v>0.02</v>
      </c>
      <c r="H1553" s="10">
        <v>297.92</v>
      </c>
      <c r="I1553" s="9">
        <v>0</v>
      </c>
      <c r="J1553" s="10">
        <v>0</v>
      </c>
      <c r="K1553" s="9">
        <v>8</v>
      </c>
      <c r="L1553" s="10">
        <v>297.92</v>
      </c>
      <c r="M1553" s="10">
        <v>203.66</v>
      </c>
      <c r="N1553" s="10">
        <v>94.26</v>
      </c>
      <c r="O1553" s="11">
        <f t="shared" si="92"/>
        <v>0.3163936627282492</v>
      </c>
      <c r="P1553" s="10">
        <v>25.44</v>
      </c>
      <c r="Q1553" s="10">
        <v>68.819999999999993</v>
      </c>
      <c r="R1553" s="11">
        <f t="shared" si="93"/>
        <v>0.23100161117078408</v>
      </c>
      <c r="S1553" t="s">
        <v>81</v>
      </c>
      <c r="T1553" t="s">
        <v>82</v>
      </c>
      <c r="U1553" t="s">
        <v>76</v>
      </c>
    </row>
    <row r="1554" spans="1:21" x14ac:dyDescent="0.35">
      <c r="A1554" t="s">
        <v>1683</v>
      </c>
      <c r="B1554" s="5">
        <v>45889</v>
      </c>
      <c r="C1554" t="s">
        <v>56</v>
      </c>
      <c r="D1554" t="s">
        <v>57</v>
      </c>
      <c r="E1554" s="9">
        <v>1</v>
      </c>
      <c r="F1554" s="10">
        <v>40</v>
      </c>
      <c r="G1554" s="11">
        <v>0.1</v>
      </c>
      <c r="H1554" s="10">
        <v>36</v>
      </c>
      <c r="I1554" s="9">
        <v>0</v>
      </c>
      <c r="J1554" s="10">
        <v>0</v>
      </c>
      <c r="K1554" s="9">
        <v>1</v>
      </c>
      <c r="L1554" s="10">
        <v>36</v>
      </c>
      <c r="M1554" s="10">
        <v>27.18</v>
      </c>
      <c r="N1554" s="10">
        <v>8.82</v>
      </c>
      <c r="O1554" s="11">
        <f t="shared" si="92"/>
        <v>0.245</v>
      </c>
      <c r="P1554" s="10">
        <v>4.55</v>
      </c>
      <c r="Q1554" s="10">
        <v>4.2699999999999996</v>
      </c>
      <c r="R1554" s="11">
        <f t="shared" si="93"/>
        <v>0.1186111111111111</v>
      </c>
      <c r="S1554" t="s">
        <v>65</v>
      </c>
      <c r="T1554" t="s">
        <v>82</v>
      </c>
      <c r="U1554" t="s">
        <v>71</v>
      </c>
    </row>
    <row r="1555" spans="1:21" x14ac:dyDescent="0.35">
      <c r="A1555" t="s">
        <v>1684</v>
      </c>
      <c r="B1555" s="5">
        <v>45954</v>
      </c>
      <c r="C1555" t="s">
        <v>109</v>
      </c>
      <c r="D1555" t="s">
        <v>85</v>
      </c>
      <c r="E1555" s="9">
        <v>2</v>
      </c>
      <c r="F1555" s="10">
        <v>180</v>
      </c>
      <c r="G1555" s="11">
        <v>0</v>
      </c>
      <c r="H1555" s="10">
        <v>360</v>
      </c>
      <c r="I1555" s="9">
        <v>0</v>
      </c>
      <c r="J1555" s="10">
        <v>0</v>
      </c>
      <c r="K1555" s="9">
        <v>2</v>
      </c>
      <c r="L1555" s="10">
        <v>360</v>
      </c>
      <c r="M1555" s="10">
        <v>267.35000000000002</v>
      </c>
      <c r="N1555" s="10">
        <v>92.65</v>
      </c>
      <c r="O1555" s="11">
        <f t="shared" si="92"/>
        <v>0.25736111111111115</v>
      </c>
      <c r="P1555" s="10">
        <v>35.75</v>
      </c>
      <c r="Q1555" s="10">
        <v>56.9</v>
      </c>
      <c r="R1555" s="11">
        <f t="shared" si="93"/>
        <v>0.15805555555555556</v>
      </c>
      <c r="S1555" t="s">
        <v>81</v>
      </c>
      <c r="T1555" t="s">
        <v>86</v>
      </c>
      <c r="U1555" t="s">
        <v>67</v>
      </c>
    </row>
    <row r="1556" spans="1:21" x14ac:dyDescent="0.35">
      <c r="A1556" t="s">
        <v>1685</v>
      </c>
      <c r="B1556" s="5">
        <v>45765</v>
      </c>
      <c r="C1556" t="s">
        <v>73</v>
      </c>
      <c r="D1556" t="s">
        <v>74</v>
      </c>
      <c r="E1556" s="9">
        <v>10</v>
      </c>
      <c r="F1556" s="10">
        <v>280</v>
      </c>
      <c r="G1556" s="11">
        <v>0.02</v>
      </c>
      <c r="H1556" s="10">
        <v>2744</v>
      </c>
      <c r="I1556" s="9">
        <v>0</v>
      </c>
      <c r="J1556" s="10">
        <v>0</v>
      </c>
      <c r="K1556" s="9">
        <v>10</v>
      </c>
      <c r="L1556" s="10">
        <v>2744</v>
      </c>
      <c r="M1556" s="10">
        <v>1904.38</v>
      </c>
      <c r="N1556" s="10">
        <v>839.62</v>
      </c>
      <c r="O1556" s="11">
        <f t="shared" si="92"/>
        <v>0.30598396501457725</v>
      </c>
      <c r="P1556" s="10">
        <v>308.8</v>
      </c>
      <c r="Q1556" s="10">
        <v>530.82000000000005</v>
      </c>
      <c r="R1556" s="11">
        <f t="shared" si="93"/>
        <v>0.19344752186588923</v>
      </c>
      <c r="S1556" t="s">
        <v>75</v>
      </c>
      <c r="T1556" t="s">
        <v>82</v>
      </c>
      <c r="U1556" t="s">
        <v>61</v>
      </c>
    </row>
    <row r="1557" spans="1:21" x14ac:dyDescent="0.35">
      <c r="A1557" t="s">
        <v>1686</v>
      </c>
      <c r="B1557" s="5">
        <v>45748</v>
      </c>
      <c r="C1557" t="s">
        <v>104</v>
      </c>
      <c r="D1557" t="s">
        <v>105</v>
      </c>
      <c r="E1557" s="9">
        <v>2</v>
      </c>
      <c r="F1557" s="10">
        <v>65</v>
      </c>
      <c r="G1557" s="11">
        <v>0</v>
      </c>
      <c r="H1557" s="10">
        <v>130</v>
      </c>
      <c r="I1557" s="9">
        <v>0</v>
      </c>
      <c r="J1557" s="10">
        <v>0</v>
      </c>
      <c r="K1557" s="9">
        <v>2</v>
      </c>
      <c r="L1557" s="10">
        <v>130</v>
      </c>
      <c r="M1557" s="10">
        <v>103.37</v>
      </c>
      <c r="N1557" s="10">
        <v>26.63</v>
      </c>
      <c r="O1557" s="11">
        <f t="shared" si="92"/>
        <v>0.20484615384615384</v>
      </c>
      <c r="P1557" s="10">
        <v>16.59</v>
      </c>
      <c r="Q1557" s="10">
        <v>10.039999999999999</v>
      </c>
      <c r="R1557" s="11">
        <f t="shared" si="93"/>
        <v>7.7230769230769228E-2</v>
      </c>
      <c r="S1557" t="s">
        <v>75</v>
      </c>
      <c r="T1557" t="s">
        <v>60</v>
      </c>
      <c r="U1557" t="s">
        <v>61</v>
      </c>
    </row>
    <row r="1558" spans="1:21" x14ac:dyDescent="0.35">
      <c r="A1558" t="s">
        <v>1687</v>
      </c>
      <c r="B1558" s="5">
        <v>45869</v>
      </c>
      <c r="C1558" t="s">
        <v>95</v>
      </c>
      <c r="D1558" t="s">
        <v>64</v>
      </c>
      <c r="E1558" s="9">
        <v>2</v>
      </c>
      <c r="F1558" s="10">
        <v>52</v>
      </c>
      <c r="G1558" s="11">
        <v>0</v>
      </c>
      <c r="H1558" s="10">
        <v>104</v>
      </c>
      <c r="I1558" s="9">
        <v>0</v>
      </c>
      <c r="J1558" s="10">
        <v>0</v>
      </c>
      <c r="K1558" s="9">
        <v>2</v>
      </c>
      <c r="L1558" s="10">
        <v>104</v>
      </c>
      <c r="M1558" s="10">
        <v>69.91</v>
      </c>
      <c r="N1558" s="10">
        <v>34.090000000000003</v>
      </c>
      <c r="O1558" s="11">
        <f t="shared" si="92"/>
        <v>0.32778846153846158</v>
      </c>
      <c r="P1558" s="10">
        <v>9.7899999999999991</v>
      </c>
      <c r="Q1558" s="10">
        <v>24.3</v>
      </c>
      <c r="R1558" s="11">
        <f t="shared" si="93"/>
        <v>0.23365384615384616</v>
      </c>
      <c r="S1558" t="s">
        <v>59</v>
      </c>
      <c r="T1558" t="s">
        <v>66</v>
      </c>
      <c r="U1558" t="s">
        <v>71</v>
      </c>
    </row>
    <row r="1559" spans="1:21" x14ac:dyDescent="0.35">
      <c r="A1559" t="s">
        <v>1688</v>
      </c>
      <c r="B1559" s="5">
        <v>45864</v>
      </c>
      <c r="C1559" t="s">
        <v>78</v>
      </c>
      <c r="D1559" t="s">
        <v>79</v>
      </c>
      <c r="E1559" s="9">
        <v>4</v>
      </c>
      <c r="F1559" s="10">
        <v>120</v>
      </c>
      <c r="G1559" s="11">
        <v>0</v>
      </c>
      <c r="H1559" s="10">
        <v>480</v>
      </c>
      <c r="I1559" s="9">
        <v>0</v>
      </c>
      <c r="J1559" s="10">
        <v>0</v>
      </c>
      <c r="K1559" s="9">
        <v>4</v>
      </c>
      <c r="L1559" s="10">
        <v>480</v>
      </c>
      <c r="M1559" s="10">
        <v>343.79</v>
      </c>
      <c r="N1559" s="10">
        <v>136.21</v>
      </c>
      <c r="O1559" s="11">
        <f t="shared" si="92"/>
        <v>0.28377083333333336</v>
      </c>
      <c r="P1559" s="10">
        <v>26.21</v>
      </c>
      <c r="Q1559" s="10">
        <v>110</v>
      </c>
      <c r="R1559" s="11">
        <f t="shared" si="93"/>
        <v>0.22916666666666666</v>
      </c>
      <c r="S1559" t="s">
        <v>81</v>
      </c>
      <c r="T1559" t="s">
        <v>60</v>
      </c>
      <c r="U1559" t="s">
        <v>71</v>
      </c>
    </row>
    <row r="1560" spans="1:21" x14ac:dyDescent="0.35">
      <c r="A1560" t="s">
        <v>1689</v>
      </c>
      <c r="B1560" s="5">
        <v>45884</v>
      </c>
      <c r="C1560" t="s">
        <v>78</v>
      </c>
      <c r="D1560" t="s">
        <v>79</v>
      </c>
      <c r="E1560" s="9">
        <v>1</v>
      </c>
      <c r="F1560" s="10">
        <v>120</v>
      </c>
      <c r="G1560" s="11">
        <v>0</v>
      </c>
      <c r="H1560" s="10">
        <v>120</v>
      </c>
      <c r="I1560" s="9">
        <v>0</v>
      </c>
      <c r="J1560" s="10">
        <v>0</v>
      </c>
      <c r="K1560" s="9">
        <v>1</v>
      </c>
      <c r="L1560" s="10">
        <v>120</v>
      </c>
      <c r="M1560" s="10">
        <v>95.68</v>
      </c>
      <c r="N1560" s="10">
        <v>24.32</v>
      </c>
      <c r="O1560" s="11">
        <f t="shared" si="92"/>
        <v>0.20266666666666666</v>
      </c>
      <c r="P1560" s="10">
        <v>9.7799999999999994</v>
      </c>
      <c r="Q1560" s="10">
        <v>14.54</v>
      </c>
      <c r="R1560" s="11">
        <f t="shared" si="93"/>
        <v>0.12116666666666666</v>
      </c>
      <c r="S1560" t="s">
        <v>81</v>
      </c>
      <c r="T1560" t="s">
        <v>66</v>
      </c>
      <c r="U1560" t="s">
        <v>67</v>
      </c>
    </row>
    <row r="1561" spans="1:21" x14ac:dyDescent="0.35">
      <c r="A1561" t="s">
        <v>1690</v>
      </c>
      <c r="B1561" s="5">
        <v>45726</v>
      </c>
      <c r="C1561" t="s">
        <v>125</v>
      </c>
      <c r="D1561" t="s">
        <v>85</v>
      </c>
      <c r="E1561" s="9">
        <v>2</v>
      </c>
      <c r="F1561" s="10">
        <v>125</v>
      </c>
      <c r="G1561" s="11">
        <v>0</v>
      </c>
      <c r="H1561" s="10">
        <v>250</v>
      </c>
      <c r="I1561" s="9">
        <v>0</v>
      </c>
      <c r="J1561" s="10">
        <v>0</v>
      </c>
      <c r="K1561" s="9">
        <v>2</v>
      </c>
      <c r="L1561" s="10">
        <v>250</v>
      </c>
      <c r="M1561" s="10">
        <v>196.98</v>
      </c>
      <c r="N1561" s="10">
        <v>53.02</v>
      </c>
      <c r="O1561" s="11">
        <f t="shared" si="92"/>
        <v>0.21208000000000002</v>
      </c>
      <c r="P1561" s="10">
        <v>24.92</v>
      </c>
      <c r="Q1561" s="10">
        <v>28.1</v>
      </c>
      <c r="R1561" s="11">
        <f t="shared" si="93"/>
        <v>0.1124</v>
      </c>
      <c r="S1561" t="s">
        <v>81</v>
      </c>
      <c r="T1561" t="s">
        <v>66</v>
      </c>
      <c r="U1561" t="s">
        <v>61</v>
      </c>
    </row>
    <row r="1562" spans="1:21" x14ac:dyDescent="0.35">
      <c r="A1562" t="s">
        <v>1691</v>
      </c>
      <c r="B1562" s="5">
        <v>45915</v>
      </c>
      <c r="C1562" t="s">
        <v>121</v>
      </c>
      <c r="D1562" t="s">
        <v>70</v>
      </c>
      <c r="E1562" s="9">
        <v>5</v>
      </c>
      <c r="F1562" s="10">
        <v>110</v>
      </c>
      <c r="G1562" s="11">
        <v>0.05</v>
      </c>
      <c r="H1562" s="10">
        <v>522.5</v>
      </c>
      <c r="I1562" s="9">
        <v>5</v>
      </c>
      <c r="J1562" s="10">
        <v>522.5</v>
      </c>
      <c r="K1562" s="9">
        <v>0</v>
      </c>
      <c r="L1562" s="10">
        <v>0</v>
      </c>
      <c r="M1562" s="10">
        <v>0</v>
      </c>
      <c r="N1562" s="10">
        <v>0</v>
      </c>
      <c r="O1562" s="11">
        <v>0</v>
      </c>
      <c r="P1562" s="10">
        <v>0</v>
      </c>
      <c r="Q1562" s="10">
        <v>0</v>
      </c>
      <c r="R1562" s="11">
        <v>0</v>
      </c>
      <c r="S1562" t="s">
        <v>81</v>
      </c>
      <c r="T1562" t="s">
        <v>86</v>
      </c>
      <c r="U1562" t="s">
        <v>76</v>
      </c>
    </row>
    <row r="1563" spans="1:21" x14ac:dyDescent="0.35">
      <c r="A1563" t="s">
        <v>1692</v>
      </c>
      <c r="B1563" s="5">
        <v>45906</v>
      </c>
      <c r="C1563" t="s">
        <v>73</v>
      </c>
      <c r="D1563" t="s">
        <v>74</v>
      </c>
      <c r="E1563" s="9">
        <v>3</v>
      </c>
      <c r="F1563" s="10">
        <v>280</v>
      </c>
      <c r="G1563" s="11">
        <v>0</v>
      </c>
      <c r="H1563" s="10">
        <v>840</v>
      </c>
      <c r="I1563" s="9">
        <v>0</v>
      </c>
      <c r="J1563" s="10">
        <v>0</v>
      </c>
      <c r="K1563" s="9">
        <v>3</v>
      </c>
      <c r="L1563" s="10">
        <v>840</v>
      </c>
      <c r="M1563" s="10">
        <v>536.95000000000005</v>
      </c>
      <c r="N1563" s="10">
        <v>303.05</v>
      </c>
      <c r="O1563" s="11">
        <f t="shared" ref="O1563:O1594" si="94">N1563/L1563</f>
        <v>0.36077380952380955</v>
      </c>
      <c r="P1563" s="10">
        <v>67.14</v>
      </c>
      <c r="Q1563" s="10">
        <v>235.91</v>
      </c>
      <c r="R1563" s="11">
        <f t="shared" ref="R1563:R1594" si="95">Q1563/L1563</f>
        <v>0.28084523809523809</v>
      </c>
      <c r="S1563" t="s">
        <v>59</v>
      </c>
      <c r="T1563" t="s">
        <v>66</v>
      </c>
      <c r="U1563" t="s">
        <v>76</v>
      </c>
    </row>
    <row r="1564" spans="1:21" x14ac:dyDescent="0.35">
      <c r="A1564" t="s">
        <v>1693</v>
      </c>
      <c r="B1564" s="5">
        <v>45974</v>
      </c>
      <c r="C1564" t="s">
        <v>56</v>
      </c>
      <c r="D1564" t="s">
        <v>57</v>
      </c>
      <c r="E1564" s="9">
        <v>10</v>
      </c>
      <c r="F1564" s="10">
        <v>40</v>
      </c>
      <c r="G1564" s="11">
        <v>0.05</v>
      </c>
      <c r="H1564" s="10">
        <v>380</v>
      </c>
      <c r="I1564" s="9">
        <v>0</v>
      </c>
      <c r="J1564" s="10">
        <v>0</v>
      </c>
      <c r="K1564" s="9">
        <v>10</v>
      </c>
      <c r="L1564" s="10">
        <v>380</v>
      </c>
      <c r="M1564" s="10">
        <v>242.11</v>
      </c>
      <c r="N1564" s="10">
        <v>137.88999999999999</v>
      </c>
      <c r="O1564" s="11">
        <f t="shared" si="94"/>
        <v>0.36286842105263156</v>
      </c>
      <c r="P1564" s="10">
        <v>38.25</v>
      </c>
      <c r="Q1564" s="10">
        <v>99.64</v>
      </c>
      <c r="R1564" s="11">
        <f t="shared" si="95"/>
        <v>0.26221052631578945</v>
      </c>
      <c r="S1564" t="s">
        <v>59</v>
      </c>
      <c r="T1564" t="s">
        <v>82</v>
      </c>
      <c r="U1564" t="s">
        <v>76</v>
      </c>
    </row>
    <row r="1565" spans="1:21" x14ac:dyDescent="0.35">
      <c r="A1565" t="s">
        <v>1694</v>
      </c>
      <c r="B1565" s="5">
        <v>45687</v>
      </c>
      <c r="C1565" t="s">
        <v>125</v>
      </c>
      <c r="D1565" t="s">
        <v>85</v>
      </c>
      <c r="E1565" s="9">
        <v>2</v>
      </c>
      <c r="F1565" s="10">
        <v>125</v>
      </c>
      <c r="G1565" s="11">
        <v>0.1</v>
      </c>
      <c r="H1565" s="10">
        <v>225</v>
      </c>
      <c r="I1565" s="9">
        <v>0</v>
      </c>
      <c r="J1565" s="10">
        <v>0</v>
      </c>
      <c r="K1565" s="9">
        <v>2</v>
      </c>
      <c r="L1565" s="10">
        <v>225</v>
      </c>
      <c r="M1565" s="10">
        <v>184.24</v>
      </c>
      <c r="N1565" s="10">
        <v>40.76</v>
      </c>
      <c r="O1565" s="11">
        <f t="shared" si="94"/>
        <v>0.18115555555555554</v>
      </c>
      <c r="P1565" s="10">
        <v>17.09</v>
      </c>
      <c r="Q1565" s="10">
        <v>23.67</v>
      </c>
      <c r="R1565" s="11">
        <f t="shared" si="95"/>
        <v>0.1052</v>
      </c>
      <c r="S1565" t="s">
        <v>59</v>
      </c>
      <c r="T1565" t="s">
        <v>66</v>
      </c>
      <c r="U1565" t="s">
        <v>61</v>
      </c>
    </row>
    <row r="1566" spans="1:21" x14ac:dyDescent="0.35">
      <c r="A1566" t="s">
        <v>1695</v>
      </c>
      <c r="B1566" s="5">
        <v>45902</v>
      </c>
      <c r="C1566" t="s">
        <v>125</v>
      </c>
      <c r="D1566" t="s">
        <v>85</v>
      </c>
      <c r="E1566" s="9">
        <v>4</v>
      </c>
      <c r="F1566" s="10">
        <v>125</v>
      </c>
      <c r="G1566" s="11">
        <v>0</v>
      </c>
      <c r="H1566" s="10">
        <v>500</v>
      </c>
      <c r="I1566" s="9">
        <v>0</v>
      </c>
      <c r="J1566" s="10">
        <v>0</v>
      </c>
      <c r="K1566" s="9">
        <v>4</v>
      </c>
      <c r="L1566" s="10">
        <v>500</v>
      </c>
      <c r="M1566" s="10">
        <v>347.61</v>
      </c>
      <c r="N1566" s="10">
        <v>152.38999999999999</v>
      </c>
      <c r="O1566" s="11">
        <f t="shared" si="94"/>
        <v>0.30478</v>
      </c>
      <c r="P1566" s="10">
        <v>48.21</v>
      </c>
      <c r="Q1566" s="10">
        <v>104.18</v>
      </c>
      <c r="R1566" s="11">
        <f t="shared" si="95"/>
        <v>0.20836000000000002</v>
      </c>
      <c r="S1566" t="s">
        <v>65</v>
      </c>
      <c r="T1566" t="s">
        <v>60</v>
      </c>
      <c r="U1566" t="s">
        <v>67</v>
      </c>
    </row>
    <row r="1567" spans="1:21" x14ac:dyDescent="0.35">
      <c r="A1567" t="s">
        <v>1696</v>
      </c>
      <c r="B1567" s="5">
        <v>45919</v>
      </c>
      <c r="C1567" t="s">
        <v>73</v>
      </c>
      <c r="D1567" t="s">
        <v>74</v>
      </c>
      <c r="E1567" s="9">
        <v>1</v>
      </c>
      <c r="F1567" s="10">
        <v>280</v>
      </c>
      <c r="G1567" s="11">
        <v>0.1</v>
      </c>
      <c r="H1567" s="10">
        <v>252</v>
      </c>
      <c r="I1567" s="9">
        <v>0</v>
      </c>
      <c r="J1567" s="10">
        <v>0</v>
      </c>
      <c r="K1567" s="9">
        <v>1</v>
      </c>
      <c r="L1567" s="10">
        <v>252</v>
      </c>
      <c r="M1567" s="10">
        <v>196.49</v>
      </c>
      <c r="N1567" s="10">
        <v>55.51</v>
      </c>
      <c r="O1567" s="11">
        <f t="shared" si="94"/>
        <v>0.22027777777777777</v>
      </c>
      <c r="P1567" s="10">
        <v>25.22</v>
      </c>
      <c r="Q1567" s="10">
        <v>30.29</v>
      </c>
      <c r="R1567" s="11">
        <f t="shared" si="95"/>
        <v>0.12019841269841269</v>
      </c>
      <c r="S1567" t="s">
        <v>81</v>
      </c>
      <c r="T1567" t="s">
        <v>82</v>
      </c>
      <c r="U1567" t="s">
        <v>67</v>
      </c>
    </row>
    <row r="1568" spans="1:21" x14ac:dyDescent="0.35">
      <c r="A1568" t="s">
        <v>1697</v>
      </c>
      <c r="B1568" s="5">
        <v>45858</v>
      </c>
      <c r="C1568" t="s">
        <v>90</v>
      </c>
      <c r="D1568" t="s">
        <v>70</v>
      </c>
      <c r="E1568" s="9">
        <v>3</v>
      </c>
      <c r="F1568" s="10">
        <v>38</v>
      </c>
      <c r="G1568" s="11">
        <v>0.02</v>
      </c>
      <c r="H1568" s="10">
        <v>111.72</v>
      </c>
      <c r="I1568" s="9">
        <v>0</v>
      </c>
      <c r="J1568" s="10">
        <v>0</v>
      </c>
      <c r="K1568" s="9">
        <v>3</v>
      </c>
      <c r="L1568" s="10">
        <v>111.72</v>
      </c>
      <c r="M1568" s="10">
        <v>86.51</v>
      </c>
      <c r="N1568" s="10">
        <v>25.21</v>
      </c>
      <c r="O1568" s="11">
        <f t="shared" si="94"/>
        <v>0.22565341926244184</v>
      </c>
      <c r="P1568" s="10">
        <v>9.93</v>
      </c>
      <c r="Q1568" s="10">
        <v>15.28</v>
      </c>
      <c r="R1568" s="11">
        <f t="shared" si="95"/>
        <v>0.13677049767275332</v>
      </c>
      <c r="S1568" t="s">
        <v>75</v>
      </c>
      <c r="T1568" t="s">
        <v>60</v>
      </c>
      <c r="U1568" t="s">
        <v>76</v>
      </c>
    </row>
    <row r="1569" spans="1:21" x14ac:dyDescent="0.35">
      <c r="A1569" t="s">
        <v>1698</v>
      </c>
      <c r="B1569" s="5">
        <v>46007</v>
      </c>
      <c r="C1569" t="s">
        <v>104</v>
      </c>
      <c r="D1569" t="s">
        <v>105</v>
      </c>
      <c r="E1569" s="9">
        <v>3</v>
      </c>
      <c r="F1569" s="10">
        <v>65</v>
      </c>
      <c r="G1569" s="11">
        <v>0</v>
      </c>
      <c r="H1569" s="10">
        <v>195</v>
      </c>
      <c r="I1569" s="9">
        <v>0</v>
      </c>
      <c r="J1569" s="10">
        <v>0</v>
      </c>
      <c r="K1569" s="9">
        <v>3</v>
      </c>
      <c r="L1569" s="10">
        <v>195</v>
      </c>
      <c r="M1569" s="10">
        <v>152.86000000000001</v>
      </c>
      <c r="N1569" s="10">
        <v>42.14</v>
      </c>
      <c r="O1569" s="11">
        <f t="shared" si="94"/>
        <v>0.21610256410256409</v>
      </c>
      <c r="P1569" s="10">
        <v>23.5</v>
      </c>
      <c r="Q1569" s="10">
        <v>18.64</v>
      </c>
      <c r="R1569" s="11">
        <f t="shared" si="95"/>
        <v>9.5589743589743592E-2</v>
      </c>
      <c r="S1569" t="s">
        <v>59</v>
      </c>
      <c r="T1569" t="s">
        <v>82</v>
      </c>
      <c r="U1569" t="s">
        <v>71</v>
      </c>
    </row>
    <row r="1570" spans="1:21" x14ac:dyDescent="0.35">
      <c r="A1570" t="s">
        <v>1699</v>
      </c>
      <c r="B1570" s="5">
        <v>45800</v>
      </c>
      <c r="C1570" t="s">
        <v>114</v>
      </c>
      <c r="D1570" t="s">
        <v>64</v>
      </c>
      <c r="E1570" s="9">
        <v>6</v>
      </c>
      <c r="F1570" s="10">
        <v>420</v>
      </c>
      <c r="G1570" s="11">
        <v>0</v>
      </c>
      <c r="H1570" s="10">
        <v>2520</v>
      </c>
      <c r="I1570" s="9">
        <v>0</v>
      </c>
      <c r="J1570" s="10">
        <v>0</v>
      </c>
      <c r="K1570" s="9">
        <v>6</v>
      </c>
      <c r="L1570" s="10">
        <v>2520</v>
      </c>
      <c r="M1570" s="10">
        <v>2033.6</v>
      </c>
      <c r="N1570" s="10">
        <v>486.4</v>
      </c>
      <c r="O1570" s="11">
        <f t="shared" si="94"/>
        <v>0.193015873015873</v>
      </c>
      <c r="P1570" s="10">
        <v>138</v>
      </c>
      <c r="Q1570" s="10">
        <v>348.4</v>
      </c>
      <c r="R1570" s="11">
        <f t="shared" si="95"/>
        <v>0.13825396825396824</v>
      </c>
      <c r="S1570" t="s">
        <v>81</v>
      </c>
      <c r="T1570" t="s">
        <v>82</v>
      </c>
      <c r="U1570" t="s">
        <v>71</v>
      </c>
    </row>
    <row r="1571" spans="1:21" x14ac:dyDescent="0.35">
      <c r="A1571" t="s">
        <v>1700</v>
      </c>
      <c r="B1571" s="5">
        <v>45926</v>
      </c>
      <c r="C1571" t="s">
        <v>107</v>
      </c>
      <c r="D1571" t="s">
        <v>74</v>
      </c>
      <c r="E1571" s="9">
        <v>3</v>
      </c>
      <c r="F1571" s="10">
        <v>125</v>
      </c>
      <c r="G1571" s="11">
        <v>0</v>
      </c>
      <c r="H1571" s="10">
        <v>375</v>
      </c>
      <c r="I1571" s="9">
        <v>0</v>
      </c>
      <c r="J1571" s="10">
        <v>0</v>
      </c>
      <c r="K1571" s="9">
        <v>3</v>
      </c>
      <c r="L1571" s="10">
        <v>375</v>
      </c>
      <c r="M1571" s="10">
        <v>277.83999999999997</v>
      </c>
      <c r="N1571" s="10">
        <v>97.16</v>
      </c>
      <c r="O1571" s="11">
        <f t="shared" si="94"/>
        <v>0.25909333333333334</v>
      </c>
      <c r="P1571" s="10">
        <v>29.83</v>
      </c>
      <c r="Q1571" s="10">
        <v>67.33</v>
      </c>
      <c r="R1571" s="11">
        <f t="shared" si="95"/>
        <v>0.17954666666666666</v>
      </c>
      <c r="S1571" t="s">
        <v>59</v>
      </c>
      <c r="T1571" t="s">
        <v>86</v>
      </c>
      <c r="U1571" t="s">
        <v>76</v>
      </c>
    </row>
    <row r="1572" spans="1:21" x14ac:dyDescent="0.35">
      <c r="A1572" t="s">
        <v>1701</v>
      </c>
      <c r="B1572" s="5">
        <v>45753</v>
      </c>
      <c r="C1572" t="s">
        <v>92</v>
      </c>
      <c r="D1572" t="s">
        <v>79</v>
      </c>
      <c r="E1572" s="9">
        <v>5</v>
      </c>
      <c r="F1572" s="10">
        <v>85</v>
      </c>
      <c r="G1572" s="11">
        <v>0.1</v>
      </c>
      <c r="H1572" s="10">
        <v>382.5</v>
      </c>
      <c r="I1572" s="9">
        <v>0</v>
      </c>
      <c r="J1572" s="10">
        <v>0</v>
      </c>
      <c r="K1572" s="9">
        <v>5</v>
      </c>
      <c r="L1572" s="10">
        <v>382.5</v>
      </c>
      <c r="M1572" s="10">
        <v>306.61</v>
      </c>
      <c r="N1572" s="10">
        <v>75.89</v>
      </c>
      <c r="O1572" s="11">
        <f t="shared" si="94"/>
        <v>0.19840522875816993</v>
      </c>
      <c r="P1572" s="10">
        <v>25.75</v>
      </c>
      <c r="Q1572" s="10">
        <v>50.14</v>
      </c>
      <c r="R1572" s="11">
        <f t="shared" si="95"/>
        <v>0.13108496732026145</v>
      </c>
      <c r="S1572" t="s">
        <v>75</v>
      </c>
      <c r="T1572" t="s">
        <v>86</v>
      </c>
      <c r="U1572" t="s">
        <v>71</v>
      </c>
    </row>
    <row r="1573" spans="1:21" x14ac:dyDescent="0.35">
      <c r="A1573" t="s">
        <v>1702</v>
      </c>
      <c r="B1573" s="5">
        <v>45811</v>
      </c>
      <c r="C1573" t="s">
        <v>95</v>
      </c>
      <c r="D1573" t="s">
        <v>64</v>
      </c>
      <c r="E1573" s="9">
        <v>8</v>
      </c>
      <c r="F1573" s="10">
        <v>52</v>
      </c>
      <c r="G1573" s="11">
        <v>0.05</v>
      </c>
      <c r="H1573" s="10">
        <v>395.2</v>
      </c>
      <c r="I1573" s="9">
        <v>0</v>
      </c>
      <c r="J1573" s="10">
        <v>0</v>
      </c>
      <c r="K1573" s="9">
        <v>8</v>
      </c>
      <c r="L1573" s="10">
        <v>395.2</v>
      </c>
      <c r="M1573" s="10">
        <v>328.63</v>
      </c>
      <c r="N1573" s="10">
        <v>66.569999999999993</v>
      </c>
      <c r="O1573" s="11">
        <f t="shared" si="94"/>
        <v>0.16844635627530363</v>
      </c>
      <c r="P1573" s="10">
        <v>32.020000000000003</v>
      </c>
      <c r="Q1573" s="10">
        <v>34.549999999999997</v>
      </c>
      <c r="R1573" s="11">
        <f t="shared" si="95"/>
        <v>8.74240890688259E-2</v>
      </c>
      <c r="S1573" t="s">
        <v>81</v>
      </c>
      <c r="T1573" t="s">
        <v>82</v>
      </c>
      <c r="U1573" t="s">
        <v>71</v>
      </c>
    </row>
    <row r="1574" spans="1:21" x14ac:dyDescent="0.35">
      <c r="A1574" t="s">
        <v>1703</v>
      </c>
      <c r="B1574" s="5">
        <v>45660</v>
      </c>
      <c r="C1574" t="s">
        <v>56</v>
      </c>
      <c r="D1574" t="s">
        <v>57</v>
      </c>
      <c r="E1574" s="9">
        <v>4</v>
      </c>
      <c r="F1574" s="10">
        <v>40</v>
      </c>
      <c r="G1574" s="11">
        <v>0</v>
      </c>
      <c r="H1574" s="10">
        <v>160</v>
      </c>
      <c r="I1574" s="9">
        <v>0</v>
      </c>
      <c r="J1574" s="10">
        <v>0</v>
      </c>
      <c r="K1574" s="9">
        <v>4</v>
      </c>
      <c r="L1574" s="10">
        <v>160</v>
      </c>
      <c r="M1574" s="10">
        <v>120.41</v>
      </c>
      <c r="N1574" s="10">
        <v>39.590000000000003</v>
      </c>
      <c r="O1574" s="11">
        <f t="shared" si="94"/>
        <v>0.24743750000000003</v>
      </c>
      <c r="P1574" s="10">
        <v>11.55</v>
      </c>
      <c r="Q1574" s="10">
        <v>28.04</v>
      </c>
      <c r="R1574" s="11">
        <f t="shared" si="95"/>
        <v>0.17524999999999999</v>
      </c>
      <c r="S1574" t="s">
        <v>81</v>
      </c>
      <c r="T1574" t="s">
        <v>86</v>
      </c>
      <c r="U1574" t="s">
        <v>61</v>
      </c>
    </row>
    <row r="1575" spans="1:21" x14ac:dyDescent="0.35">
      <c r="A1575" t="s">
        <v>1704</v>
      </c>
      <c r="B1575" s="5">
        <v>45684</v>
      </c>
      <c r="C1575" t="s">
        <v>63</v>
      </c>
      <c r="D1575" t="s">
        <v>64</v>
      </c>
      <c r="E1575" s="9">
        <v>5</v>
      </c>
      <c r="F1575" s="10">
        <v>145</v>
      </c>
      <c r="G1575" s="11">
        <v>0</v>
      </c>
      <c r="H1575" s="10">
        <v>725</v>
      </c>
      <c r="I1575" s="9">
        <v>0</v>
      </c>
      <c r="J1575" s="10">
        <v>0</v>
      </c>
      <c r="K1575" s="9">
        <v>5</v>
      </c>
      <c r="L1575" s="10">
        <v>725</v>
      </c>
      <c r="M1575" s="10">
        <v>554.53</v>
      </c>
      <c r="N1575" s="10">
        <v>170.47</v>
      </c>
      <c r="O1575" s="11">
        <f t="shared" si="94"/>
        <v>0.23513103448275863</v>
      </c>
      <c r="P1575" s="10">
        <v>86.49</v>
      </c>
      <c r="Q1575" s="10">
        <v>83.98</v>
      </c>
      <c r="R1575" s="11">
        <f t="shared" si="95"/>
        <v>0.1158344827586207</v>
      </c>
      <c r="S1575" t="s">
        <v>59</v>
      </c>
      <c r="T1575" t="s">
        <v>60</v>
      </c>
      <c r="U1575" t="s">
        <v>61</v>
      </c>
    </row>
    <row r="1576" spans="1:21" x14ac:dyDescent="0.35">
      <c r="A1576" t="s">
        <v>1705</v>
      </c>
      <c r="B1576" s="5">
        <v>45678</v>
      </c>
      <c r="C1576" t="s">
        <v>88</v>
      </c>
      <c r="D1576" t="s">
        <v>57</v>
      </c>
      <c r="E1576" s="9">
        <v>4</v>
      </c>
      <c r="F1576" s="10">
        <v>30</v>
      </c>
      <c r="G1576" s="11">
        <v>0.05</v>
      </c>
      <c r="H1576" s="10">
        <v>114</v>
      </c>
      <c r="I1576" s="9">
        <v>0</v>
      </c>
      <c r="J1576" s="10">
        <v>0</v>
      </c>
      <c r="K1576" s="9">
        <v>4</v>
      </c>
      <c r="L1576" s="10">
        <v>114</v>
      </c>
      <c r="M1576" s="10">
        <v>97.67</v>
      </c>
      <c r="N1576" s="10">
        <v>16.329999999999998</v>
      </c>
      <c r="O1576" s="11">
        <f t="shared" si="94"/>
        <v>0.1432456140350877</v>
      </c>
      <c r="P1576" s="10">
        <v>13.24</v>
      </c>
      <c r="Q1576" s="10">
        <v>3.09</v>
      </c>
      <c r="R1576" s="11">
        <f t="shared" si="95"/>
        <v>2.7105263157894736E-2</v>
      </c>
      <c r="S1576" t="s">
        <v>59</v>
      </c>
      <c r="T1576" t="s">
        <v>86</v>
      </c>
      <c r="U1576" t="s">
        <v>67</v>
      </c>
    </row>
    <row r="1577" spans="1:21" x14ac:dyDescent="0.35">
      <c r="A1577" t="s">
        <v>1706</v>
      </c>
      <c r="B1577" s="5">
        <v>45730</v>
      </c>
      <c r="C1577" t="s">
        <v>69</v>
      </c>
      <c r="D1577" t="s">
        <v>70</v>
      </c>
      <c r="E1577" s="9">
        <v>4</v>
      </c>
      <c r="F1577" s="10">
        <v>210</v>
      </c>
      <c r="G1577" s="11">
        <v>0.02</v>
      </c>
      <c r="H1577" s="10">
        <v>823.2</v>
      </c>
      <c r="I1577" s="9">
        <v>0</v>
      </c>
      <c r="J1577" s="10">
        <v>0</v>
      </c>
      <c r="K1577" s="9">
        <v>4</v>
      </c>
      <c r="L1577" s="10">
        <v>823.2</v>
      </c>
      <c r="M1577" s="10">
        <v>653.22</v>
      </c>
      <c r="N1577" s="10">
        <v>169.98</v>
      </c>
      <c r="O1577" s="11">
        <f t="shared" si="94"/>
        <v>0.20648688046647229</v>
      </c>
      <c r="P1577" s="10">
        <v>47.52</v>
      </c>
      <c r="Q1577" s="10">
        <v>122.46</v>
      </c>
      <c r="R1577" s="11">
        <f t="shared" si="95"/>
        <v>0.14876093294460641</v>
      </c>
      <c r="S1577" t="s">
        <v>81</v>
      </c>
      <c r="T1577" t="s">
        <v>66</v>
      </c>
      <c r="U1577" t="s">
        <v>67</v>
      </c>
    </row>
    <row r="1578" spans="1:21" x14ac:dyDescent="0.35">
      <c r="A1578" t="s">
        <v>1707</v>
      </c>
      <c r="B1578" s="5">
        <v>45956</v>
      </c>
      <c r="C1578" t="s">
        <v>97</v>
      </c>
      <c r="D1578" t="s">
        <v>57</v>
      </c>
      <c r="E1578" s="9">
        <v>1</v>
      </c>
      <c r="F1578" s="10">
        <v>55</v>
      </c>
      <c r="G1578" s="11">
        <v>0</v>
      </c>
      <c r="H1578" s="10">
        <v>55</v>
      </c>
      <c r="I1578" s="9">
        <v>0</v>
      </c>
      <c r="J1578" s="10">
        <v>0</v>
      </c>
      <c r="K1578" s="9">
        <v>1</v>
      </c>
      <c r="L1578" s="10">
        <v>55</v>
      </c>
      <c r="M1578" s="10">
        <v>38.35</v>
      </c>
      <c r="N1578" s="10">
        <v>16.649999999999999</v>
      </c>
      <c r="O1578" s="11">
        <f t="shared" si="94"/>
        <v>0.30272727272727268</v>
      </c>
      <c r="P1578" s="10">
        <v>3.98</v>
      </c>
      <c r="Q1578" s="10">
        <v>12.67</v>
      </c>
      <c r="R1578" s="11">
        <f t="shared" si="95"/>
        <v>0.23036363636363635</v>
      </c>
      <c r="S1578" t="s">
        <v>65</v>
      </c>
      <c r="T1578" t="s">
        <v>66</v>
      </c>
      <c r="U1578" t="s">
        <v>71</v>
      </c>
    </row>
    <row r="1579" spans="1:21" x14ac:dyDescent="0.35">
      <c r="A1579" t="s">
        <v>1708</v>
      </c>
      <c r="B1579" s="5">
        <v>45915</v>
      </c>
      <c r="C1579" t="s">
        <v>84</v>
      </c>
      <c r="D1579" t="s">
        <v>85</v>
      </c>
      <c r="E1579" s="9">
        <v>4</v>
      </c>
      <c r="F1579" s="10">
        <v>48</v>
      </c>
      <c r="G1579" s="11">
        <v>0.05</v>
      </c>
      <c r="H1579" s="10">
        <v>182.4</v>
      </c>
      <c r="I1579" s="9">
        <v>0</v>
      </c>
      <c r="J1579" s="10">
        <v>0</v>
      </c>
      <c r="K1579" s="9">
        <v>4</v>
      </c>
      <c r="L1579" s="10">
        <v>182.4</v>
      </c>
      <c r="M1579" s="10">
        <v>131.12</v>
      </c>
      <c r="N1579" s="10">
        <v>51.28</v>
      </c>
      <c r="O1579" s="11">
        <f t="shared" si="94"/>
        <v>0.28114035087719297</v>
      </c>
      <c r="P1579" s="10">
        <v>15.02</v>
      </c>
      <c r="Q1579" s="10">
        <v>36.26</v>
      </c>
      <c r="R1579" s="11">
        <f t="shared" si="95"/>
        <v>0.1987938596491228</v>
      </c>
      <c r="S1579" t="s">
        <v>65</v>
      </c>
      <c r="T1579" t="s">
        <v>86</v>
      </c>
      <c r="U1579" t="s">
        <v>61</v>
      </c>
    </row>
    <row r="1580" spans="1:21" x14ac:dyDescent="0.35">
      <c r="A1580" t="s">
        <v>1709</v>
      </c>
      <c r="B1580" s="5">
        <v>45817</v>
      </c>
      <c r="C1580" t="s">
        <v>121</v>
      </c>
      <c r="D1580" t="s">
        <v>70</v>
      </c>
      <c r="E1580" s="9">
        <v>2</v>
      </c>
      <c r="F1580" s="10">
        <v>110</v>
      </c>
      <c r="G1580" s="11">
        <v>0</v>
      </c>
      <c r="H1580" s="10">
        <v>220</v>
      </c>
      <c r="I1580" s="9">
        <v>0</v>
      </c>
      <c r="J1580" s="10">
        <v>0</v>
      </c>
      <c r="K1580" s="9">
        <v>2</v>
      </c>
      <c r="L1580" s="10">
        <v>220</v>
      </c>
      <c r="M1580" s="10">
        <v>145.13999999999999</v>
      </c>
      <c r="N1580" s="10">
        <v>74.86</v>
      </c>
      <c r="O1580" s="11">
        <f t="shared" si="94"/>
        <v>0.34027272727272728</v>
      </c>
      <c r="P1580" s="10">
        <v>23.2</v>
      </c>
      <c r="Q1580" s="10">
        <v>51.66</v>
      </c>
      <c r="R1580" s="11">
        <f t="shared" si="95"/>
        <v>0.23481818181818181</v>
      </c>
      <c r="S1580" t="s">
        <v>65</v>
      </c>
      <c r="T1580" t="s">
        <v>2133</v>
      </c>
      <c r="U1580" t="s">
        <v>76</v>
      </c>
    </row>
    <row r="1581" spans="1:21" x14ac:dyDescent="0.35">
      <c r="A1581" t="s">
        <v>1710</v>
      </c>
      <c r="B1581" s="5">
        <v>45896</v>
      </c>
      <c r="C1581" t="s">
        <v>114</v>
      </c>
      <c r="D1581" t="s">
        <v>64</v>
      </c>
      <c r="E1581" s="9">
        <v>8</v>
      </c>
      <c r="F1581" s="10">
        <v>420</v>
      </c>
      <c r="G1581" s="11">
        <v>0.05</v>
      </c>
      <c r="H1581" s="10">
        <v>3192</v>
      </c>
      <c r="I1581" s="9">
        <v>0</v>
      </c>
      <c r="J1581" s="10">
        <v>0</v>
      </c>
      <c r="K1581" s="9">
        <v>8</v>
      </c>
      <c r="L1581" s="10">
        <v>3192</v>
      </c>
      <c r="M1581" s="10">
        <v>2626.33</v>
      </c>
      <c r="N1581" s="10">
        <v>565.66999999999996</v>
      </c>
      <c r="O1581" s="11">
        <f t="shared" si="94"/>
        <v>0.17721491228070174</v>
      </c>
      <c r="P1581" s="10">
        <v>288.62</v>
      </c>
      <c r="Q1581" s="10">
        <v>277.05</v>
      </c>
      <c r="R1581" s="11">
        <f t="shared" si="95"/>
        <v>8.6795112781954897E-2</v>
      </c>
      <c r="S1581" t="s">
        <v>65</v>
      </c>
      <c r="T1581" t="s">
        <v>82</v>
      </c>
      <c r="U1581" t="s">
        <v>76</v>
      </c>
    </row>
    <row r="1582" spans="1:21" x14ac:dyDescent="0.35">
      <c r="A1582" t="s">
        <v>1711</v>
      </c>
      <c r="B1582" s="5">
        <v>45846</v>
      </c>
      <c r="C1582" t="s">
        <v>95</v>
      </c>
      <c r="D1582" t="s">
        <v>64</v>
      </c>
      <c r="E1582" s="9">
        <v>3</v>
      </c>
      <c r="F1582" s="10">
        <v>52</v>
      </c>
      <c r="G1582" s="11">
        <v>0.02</v>
      </c>
      <c r="H1582" s="10">
        <v>152.88</v>
      </c>
      <c r="I1582" s="9">
        <v>0</v>
      </c>
      <c r="J1582" s="10">
        <v>0</v>
      </c>
      <c r="K1582" s="9">
        <v>3</v>
      </c>
      <c r="L1582" s="10">
        <v>152.88</v>
      </c>
      <c r="M1582" s="10">
        <v>118.82</v>
      </c>
      <c r="N1582" s="10">
        <v>34.06</v>
      </c>
      <c r="O1582" s="11">
        <f t="shared" si="94"/>
        <v>0.22278911564625853</v>
      </c>
      <c r="P1582" s="10">
        <v>11.88</v>
      </c>
      <c r="Q1582" s="10">
        <v>22.18</v>
      </c>
      <c r="R1582" s="11">
        <f t="shared" si="95"/>
        <v>0.14508110936682367</v>
      </c>
      <c r="S1582" t="s">
        <v>59</v>
      </c>
      <c r="T1582" t="s">
        <v>66</v>
      </c>
      <c r="U1582" t="s">
        <v>67</v>
      </c>
    </row>
    <row r="1583" spans="1:21" x14ac:dyDescent="0.35">
      <c r="A1583" t="s">
        <v>1712</v>
      </c>
      <c r="B1583" s="5">
        <v>45911</v>
      </c>
      <c r="C1583" t="s">
        <v>84</v>
      </c>
      <c r="D1583" t="s">
        <v>85</v>
      </c>
      <c r="E1583" s="9">
        <v>3</v>
      </c>
      <c r="F1583" s="10">
        <v>48</v>
      </c>
      <c r="G1583" s="11">
        <v>0</v>
      </c>
      <c r="H1583" s="10">
        <v>144</v>
      </c>
      <c r="I1583" s="9">
        <v>0</v>
      </c>
      <c r="J1583" s="10">
        <v>0</v>
      </c>
      <c r="K1583" s="9">
        <v>3</v>
      </c>
      <c r="L1583" s="10">
        <v>144</v>
      </c>
      <c r="M1583" s="10">
        <v>110.12</v>
      </c>
      <c r="N1583" s="10">
        <v>33.880000000000003</v>
      </c>
      <c r="O1583" s="11">
        <f t="shared" si="94"/>
        <v>0.23527777777777781</v>
      </c>
      <c r="P1583" s="10">
        <v>11.58</v>
      </c>
      <c r="Q1583" s="10">
        <v>22.3</v>
      </c>
      <c r="R1583" s="11">
        <f t="shared" si="95"/>
        <v>0.15486111111111112</v>
      </c>
      <c r="S1583" t="s">
        <v>81</v>
      </c>
      <c r="T1583" t="s">
        <v>86</v>
      </c>
      <c r="U1583" t="s">
        <v>76</v>
      </c>
    </row>
    <row r="1584" spans="1:21" x14ac:dyDescent="0.35">
      <c r="A1584" t="s">
        <v>1713</v>
      </c>
      <c r="B1584" s="5">
        <v>45728</v>
      </c>
      <c r="C1584" t="s">
        <v>109</v>
      </c>
      <c r="D1584" t="s">
        <v>85</v>
      </c>
      <c r="E1584" s="9">
        <v>1</v>
      </c>
      <c r="F1584" s="10">
        <v>180</v>
      </c>
      <c r="G1584" s="11">
        <v>0.1</v>
      </c>
      <c r="H1584" s="10">
        <v>162</v>
      </c>
      <c r="I1584" s="9">
        <v>0</v>
      </c>
      <c r="J1584" s="10">
        <v>0</v>
      </c>
      <c r="K1584" s="9">
        <v>1</v>
      </c>
      <c r="L1584" s="10">
        <v>162</v>
      </c>
      <c r="M1584" s="10">
        <v>106.93</v>
      </c>
      <c r="N1584" s="10">
        <v>55.07</v>
      </c>
      <c r="O1584" s="11">
        <f t="shared" si="94"/>
        <v>0.33993827160493828</v>
      </c>
      <c r="P1584" s="10">
        <v>9.76</v>
      </c>
      <c r="Q1584" s="10">
        <v>45.31</v>
      </c>
      <c r="R1584" s="11">
        <f t="shared" si="95"/>
        <v>0.27969135802469136</v>
      </c>
      <c r="S1584" t="s">
        <v>59</v>
      </c>
      <c r="T1584" t="s">
        <v>66</v>
      </c>
      <c r="U1584" t="s">
        <v>71</v>
      </c>
    </row>
    <row r="1585" spans="1:21" x14ac:dyDescent="0.35">
      <c r="A1585" t="s">
        <v>1714</v>
      </c>
      <c r="B1585" s="5">
        <v>45957</v>
      </c>
      <c r="C1585" t="s">
        <v>73</v>
      </c>
      <c r="D1585" t="s">
        <v>74</v>
      </c>
      <c r="E1585" s="9">
        <v>2</v>
      </c>
      <c r="F1585" s="10">
        <v>280</v>
      </c>
      <c r="G1585" s="11">
        <v>0.05</v>
      </c>
      <c r="H1585" s="10">
        <v>532</v>
      </c>
      <c r="I1585" s="9">
        <v>0</v>
      </c>
      <c r="J1585" s="10">
        <v>0</v>
      </c>
      <c r="K1585" s="9">
        <v>2</v>
      </c>
      <c r="L1585" s="10">
        <v>532</v>
      </c>
      <c r="M1585" s="10">
        <v>408.72</v>
      </c>
      <c r="N1585" s="10">
        <v>123.28</v>
      </c>
      <c r="O1585" s="11">
        <f t="shared" si="94"/>
        <v>0.23172932330827067</v>
      </c>
      <c r="P1585" s="10">
        <v>35.71</v>
      </c>
      <c r="Q1585" s="10">
        <v>87.57</v>
      </c>
      <c r="R1585" s="11">
        <f t="shared" si="95"/>
        <v>0.16460526315789473</v>
      </c>
      <c r="S1585" t="s">
        <v>59</v>
      </c>
      <c r="T1585" t="s">
        <v>82</v>
      </c>
      <c r="U1585" t="s">
        <v>61</v>
      </c>
    </row>
    <row r="1586" spans="1:21" x14ac:dyDescent="0.35">
      <c r="A1586" t="s">
        <v>1715</v>
      </c>
      <c r="B1586" s="5">
        <v>45869</v>
      </c>
      <c r="C1586" t="s">
        <v>84</v>
      </c>
      <c r="D1586" t="s">
        <v>85</v>
      </c>
      <c r="E1586" s="9">
        <v>3</v>
      </c>
      <c r="F1586" s="10">
        <v>48</v>
      </c>
      <c r="G1586" s="11">
        <v>0.05</v>
      </c>
      <c r="H1586" s="10">
        <v>136.80000000000001</v>
      </c>
      <c r="I1586" s="9">
        <v>0</v>
      </c>
      <c r="J1586" s="10">
        <v>0</v>
      </c>
      <c r="K1586" s="9">
        <v>3</v>
      </c>
      <c r="L1586" s="10">
        <v>136.80000000000001</v>
      </c>
      <c r="M1586" s="10">
        <v>108.53</v>
      </c>
      <c r="N1586" s="10">
        <v>28.27</v>
      </c>
      <c r="O1586" s="11">
        <f t="shared" si="94"/>
        <v>0.2066520467836257</v>
      </c>
      <c r="P1586" s="10">
        <v>8.49</v>
      </c>
      <c r="Q1586" s="10">
        <v>19.78</v>
      </c>
      <c r="R1586" s="11">
        <f t="shared" si="95"/>
        <v>0.1445906432748538</v>
      </c>
      <c r="S1586" t="s">
        <v>65</v>
      </c>
      <c r="T1586" t="s">
        <v>82</v>
      </c>
      <c r="U1586" t="s">
        <v>61</v>
      </c>
    </row>
    <row r="1587" spans="1:21" x14ac:dyDescent="0.35">
      <c r="A1587" t="s">
        <v>1716</v>
      </c>
      <c r="B1587" s="5">
        <v>45700</v>
      </c>
      <c r="C1587" t="s">
        <v>92</v>
      </c>
      <c r="D1587" t="s">
        <v>79</v>
      </c>
      <c r="E1587" s="9">
        <v>4</v>
      </c>
      <c r="F1587" s="10">
        <v>85</v>
      </c>
      <c r="G1587" s="11">
        <v>0</v>
      </c>
      <c r="H1587" s="10">
        <v>340</v>
      </c>
      <c r="I1587" s="9">
        <v>0</v>
      </c>
      <c r="J1587" s="10">
        <v>0</v>
      </c>
      <c r="K1587" s="9">
        <v>4</v>
      </c>
      <c r="L1587" s="10">
        <v>340</v>
      </c>
      <c r="M1587" s="10">
        <v>272.17</v>
      </c>
      <c r="N1587" s="10">
        <v>67.83</v>
      </c>
      <c r="O1587" s="11">
        <f t="shared" si="94"/>
        <v>0.19949999999999998</v>
      </c>
      <c r="P1587" s="10">
        <v>22.49</v>
      </c>
      <c r="Q1587" s="10">
        <v>45.34</v>
      </c>
      <c r="R1587" s="11">
        <f t="shared" si="95"/>
        <v>0.13335294117647059</v>
      </c>
      <c r="S1587" t="s">
        <v>81</v>
      </c>
      <c r="T1587" t="s">
        <v>60</v>
      </c>
      <c r="U1587" t="s">
        <v>61</v>
      </c>
    </row>
    <row r="1588" spans="1:21" x14ac:dyDescent="0.35">
      <c r="A1588" t="s">
        <v>1717</v>
      </c>
      <c r="B1588" s="5">
        <v>45903</v>
      </c>
      <c r="C1588" t="s">
        <v>121</v>
      </c>
      <c r="D1588" t="s">
        <v>70</v>
      </c>
      <c r="E1588" s="9">
        <v>2</v>
      </c>
      <c r="F1588" s="10">
        <v>110</v>
      </c>
      <c r="G1588" s="11">
        <v>0</v>
      </c>
      <c r="H1588" s="10">
        <v>220</v>
      </c>
      <c r="I1588" s="9">
        <v>0</v>
      </c>
      <c r="J1588" s="10">
        <v>0</v>
      </c>
      <c r="K1588" s="9">
        <v>2</v>
      </c>
      <c r="L1588" s="10">
        <v>220</v>
      </c>
      <c r="M1588" s="10">
        <v>170.21</v>
      </c>
      <c r="N1588" s="10">
        <v>49.79</v>
      </c>
      <c r="O1588" s="11">
        <f t="shared" si="94"/>
        <v>0.22631818181818181</v>
      </c>
      <c r="P1588" s="10">
        <v>12.63</v>
      </c>
      <c r="Q1588" s="10">
        <v>37.159999999999997</v>
      </c>
      <c r="R1588" s="11">
        <f t="shared" si="95"/>
        <v>0.1689090909090909</v>
      </c>
      <c r="S1588" t="s">
        <v>75</v>
      </c>
      <c r="T1588" t="s">
        <v>60</v>
      </c>
      <c r="U1588" t="s">
        <v>76</v>
      </c>
    </row>
    <row r="1589" spans="1:21" x14ac:dyDescent="0.35">
      <c r="A1589" t="s">
        <v>1718</v>
      </c>
      <c r="B1589" s="5">
        <v>45897</v>
      </c>
      <c r="C1589" t="s">
        <v>107</v>
      </c>
      <c r="D1589" t="s">
        <v>74</v>
      </c>
      <c r="E1589" s="9">
        <v>3</v>
      </c>
      <c r="F1589" s="10">
        <v>125</v>
      </c>
      <c r="G1589" s="11">
        <v>0</v>
      </c>
      <c r="H1589" s="10">
        <v>375</v>
      </c>
      <c r="I1589" s="9">
        <v>0</v>
      </c>
      <c r="J1589" s="10">
        <v>0</v>
      </c>
      <c r="K1589" s="9">
        <v>3</v>
      </c>
      <c r="L1589" s="10">
        <v>375</v>
      </c>
      <c r="M1589" s="10">
        <v>307.86</v>
      </c>
      <c r="N1589" s="10">
        <v>67.14</v>
      </c>
      <c r="O1589" s="11">
        <f t="shared" si="94"/>
        <v>0.17904</v>
      </c>
      <c r="P1589" s="10">
        <v>23.92</v>
      </c>
      <c r="Q1589" s="10">
        <v>43.22</v>
      </c>
      <c r="R1589" s="11">
        <f t="shared" si="95"/>
        <v>0.11525333333333333</v>
      </c>
      <c r="S1589" t="s">
        <v>75</v>
      </c>
      <c r="T1589" t="s">
        <v>66</v>
      </c>
      <c r="U1589" t="s">
        <v>76</v>
      </c>
    </row>
    <row r="1590" spans="1:21" x14ac:dyDescent="0.35">
      <c r="A1590" t="s">
        <v>1719</v>
      </c>
      <c r="B1590" s="5">
        <v>45681</v>
      </c>
      <c r="C1590" t="s">
        <v>95</v>
      </c>
      <c r="D1590" t="s">
        <v>64</v>
      </c>
      <c r="E1590" s="9">
        <v>4</v>
      </c>
      <c r="F1590" s="10">
        <v>52</v>
      </c>
      <c r="G1590" s="11">
        <v>0</v>
      </c>
      <c r="H1590" s="10">
        <v>208</v>
      </c>
      <c r="I1590" s="9">
        <v>0</v>
      </c>
      <c r="J1590" s="10">
        <v>0</v>
      </c>
      <c r="K1590" s="9">
        <v>4</v>
      </c>
      <c r="L1590" s="10">
        <v>208</v>
      </c>
      <c r="M1590" s="10">
        <v>140.01</v>
      </c>
      <c r="N1590" s="10">
        <v>67.989999999999995</v>
      </c>
      <c r="O1590" s="11">
        <f t="shared" si="94"/>
        <v>0.32687499999999997</v>
      </c>
      <c r="P1590" s="10">
        <v>14.03</v>
      </c>
      <c r="Q1590" s="10">
        <v>53.96</v>
      </c>
      <c r="R1590" s="11">
        <f t="shared" si="95"/>
        <v>0.25942307692307692</v>
      </c>
      <c r="S1590" t="s">
        <v>59</v>
      </c>
      <c r="T1590" t="s">
        <v>60</v>
      </c>
      <c r="U1590" t="s">
        <v>61</v>
      </c>
    </row>
    <row r="1591" spans="1:21" x14ac:dyDescent="0.35">
      <c r="A1591" t="s">
        <v>1720</v>
      </c>
      <c r="B1591" s="5">
        <v>45854</v>
      </c>
      <c r="C1591" t="s">
        <v>100</v>
      </c>
      <c r="D1591" t="s">
        <v>64</v>
      </c>
      <c r="E1591" s="9">
        <v>8</v>
      </c>
      <c r="F1591" s="10">
        <v>310</v>
      </c>
      <c r="G1591" s="11">
        <v>0.1</v>
      </c>
      <c r="H1591" s="10">
        <v>2232</v>
      </c>
      <c r="I1591" s="9">
        <v>0</v>
      </c>
      <c r="J1591" s="10">
        <v>0</v>
      </c>
      <c r="K1591" s="9">
        <v>8</v>
      </c>
      <c r="L1591" s="10">
        <v>2232</v>
      </c>
      <c r="M1591" s="10">
        <v>1689.25</v>
      </c>
      <c r="N1591" s="10">
        <v>542.75</v>
      </c>
      <c r="O1591" s="11">
        <f t="shared" si="94"/>
        <v>0.24316756272401432</v>
      </c>
      <c r="P1591" s="10">
        <v>281.39</v>
      </c>
      <c r="Q1591" s="10">
        <v>261.36</v>
      </c>
      <c r="R1591" s="11">
        <f t="shared" si="95"/>
        <v>0.11709677419354839</v>
      </c>
      <c r="S1591" t="s">
        <v>59</v>
      </c>
      <c r="T1591" t="s">
        <v>60</v>
      </c>
      <c r="U1591" t="s">
        <v>61</v>
      </c>
    </row>
    <row r="1592" spans="1:21" x14ac:dyDescent="0.35">
      <c r="A1592" t="s">
        <v>1721</v>
      </c>
      <c r="B1592" s="5">
        <v>45857</v>
      </c>
      <c r="C1592" t="s">
        <v>56</v>
      </c>
      <c r="D1592" t="s">
        <v>57</v>
      </c>
      <c r="E1592" s="9">
        <v>3</v>
      </c>
      <c r="F1592" s="10">
        <v>40</v>
      </c>
      <c r="G1592" s="11">
        <v>0</v>
      </c>
      <c r="H1592" s="10">
        <v>120</v>
      </c>
      <c r="I1592" s="9">
        <v>0</v>
      </c>
      <c r="J1592" s="10">
        <v>0</v>
      </c>
      <c r="K1592" s="9">
        <v>3</v>
      </c>
      <c r="L1592" s="10">
        <v>120</v>
      </c>
      <c r="M1592" s="10">
        <v>79.77</v>
      </c>
      <c r="N1592" s="10">
        <v>40.229999999999997</v>
      </c>
      <c r="O1592" s="11">
        <f t="shared" si="94"/>
        <v>0.33524999999999999</v>
      </c>
      <c r="P1592" s="10">
        <v>8.39</v>
      </c>
      <c r="Q1592" s="10">
        <v>31.84</v>
      </c>
      <c r="R1592" s="11">
        <f t="shared" si="95"/>
        <v>0.26533333333333331</v>
      </c>
      <c r="S1592" t="s">
        <v>65</v>
      </c>
      <c r="T1592" t="s">
        <v>82</v>
      </c>
      <c r="U1592" t="s">
        <v>76</v>
      </c>
    </row>
    <row r="1593" spans="1:21" x14ac:dyDescent="0.35">
      <c r="A1593" t="s">
        <v>1722</v>
      </c>
      <c r="B1593" s="5">
        <v>45982</v>
      </c>
      <c r="C1593" t="s">
        <v>109</v>
      </c>
      <c r="D1593" t="s">
        <v>85</v>
      </c>
      <c r="E1593" s="9">
        <v>1</v>
      </c>
      <c r="F1593" s="10">
        <v>180</v>
      </c>
      <c r="G1593" s="11">
        <v>0</v>
      </c>
      <c r="H1593" s="10">
        <v>180</v>
      </c>
      <c r="I1593" s="9">
        <v>0</v>
      </c>
      <c r="J1593" s="10">
        <v>0</v>
      </c>
      <c r="K1593" s="9">
        <v>1</v>
      </c>
      <c r="L1593" s="10">
        <v>180</v>
      </c>
      <c r="M1593" s="10">
        <v>146.66999999999999</v>
      </c>
      <c r="N1593" s="10">
        <v>33.33</v>
      </c>
      <c r="O1593" s="11">
        <f t="shared" si="94"/>
        <v>0.18516666666666665</v>
      </c>
      <c r="P1593" s="10">
        <v>20.55</v>
      </c>
      <c r="Q1593" s="10">
        <v>12.78</v>
      </c>
      <c r="R1593" s="11">
        <f t="shared" si="95"/>
        <v>7.0999999999999994E-2</v>
      </c>
      <c r="S1593" t="s">
        <v>75</v>
      </c>
      <c r="T1593" t="s">
        <v>86</v>
      </c>
      <c r="U1593" t="s">
        <v>67</v>
      </c>
    </row>
    <row r="1594" spans="1:21" x14ac:dyDescent="0.35">
      <c r="A1594" t="s">
        <v>1723</v>
      </c>
      <c r="B1594" s="5">
        <v>45822</v>
      </c>
      <c r="C1594" t="s">
        <v>104</v>
      </c>
      <c r="D1594" t="s">
        <v>105</v>
      </c>
      <c r="E1594" s="9">
        <v>4</v>
      </c>
      <c r="F1594" s="10">
        <v>65</v>
      </c>
      <c r="G1594" s="11">
        <v>0.02</v>
      </c>
      <c r="H1594" s="10">
        <v>254.8</v>
      </c>
      <c r="I1594" s="9">
        <v>0</v>
      </c>
      <c r="J1594" s="10">
        <v>0</v>
      </c>
      <c r="K1594" s="9">
        <v>4</v>
      </c>
      <c r="L1594" s="10">
        <v>254.8</v>
      </c>
      <c r="M1594" s="10">
        <v>189.41</v>
      </c>
      <c r="N1594" s="10">
        <v>65.39</v>
      </c>
      <c r="O1594" s="11">
        <f t="shared" si="94"/>
        <v>0.25663265306122446</v>
      </c>
      <c r="P1594" s="10">
        <v>27.62</v>
      </c>
      <c r="Q1594" s="10">
        <v>37.770000000000003</v>
      </c>
      <c r="R1594" s="11">
        <f t="shared" si="95"/>
        <v>0.14823390894819466</v>
      </c>
      <c r="S1594" t="s">
        <v>75</v>
      </c>
      <c r="T1594" t="s">
        <v>66</v>
      </c>
      <c r="U1594" t="s">
        <v>67</v>
      </c>
    </row>
    <row r="1595" spans="1:21" x14ac:dyDescent="0.35">
      <c r="A1595" t="s">
        <v>1724</v>
      </c>
      <c r="B1595" s="5">
        <v>45728</v>
      </c>
      <c r="C1595" t="s">
        <v>104</v>
      </c>
      <c r="D1595" t="s">
        <v>105</v>
      </c>
      <c r="E1595" s="9">
        <v>3</v>
      </c>
      <c r="F1595" s="10">
        <v>65</v>
      </c>
      <c r="G1595" s="11">
        <v>0.02</v>
      </c>
      <c r="H1595" s="10">
        <v>191.1</v>
      </c>
      <c r="I1595" s="9">
        <v>0</v>
      </c>
      <c r="J1595" s="10">
        <v>0</v>
      </c>
      <c r="K1595" s="9">
        <v>3</v>
      </c>
      <c r="L1595" s="10">
        <v>191.1</v>
      </c>
      <c r="M1595" s="10">
        <v>161.38</v>
      </c>
      <c r="N1595" s="10">
        <v>29.72</v>
      </c>
      <c r="O1595" s="11">
        <f t="shared" ref="O1595:O1626" si="96">N1595/L1595</f>
        <v>0.1555206698063841</v>
      </c>
      <c r="P1595" s="10">
        <v>15.05</v>
      </c>
      <c r="Q1595" s="10">
        <v>14.67</v>
      </c>
      <c r="R1595" s="11">
        <f t="shared" ref="R1595:R1626" si="97">Q1595/L1595</f>
        <v>7.6766091051805346E-2</v>
      </c>
      <c r="S1595" t="s">
        <v>75</v>
      </c>
      <c r="T1595" t="s">
        <v>60</v>
      </c>
      <c r="U1595" t="s">
        <v>76</v>
      </c>
    </row>
    <row r="1596" spans="1:21" x14ac:dyDescent="0.35">
      <c r="A1596" t="s">
        <v>1725</v>
      </c>
      <c r="B1596" s="5">
        <v>45870</v>
      </c>
      <c r="C1596" t="s">
        <v>109</v>
      </c>
      <c r="D1596" t="s">
        <v>85</v>
      </c>
      <c r="E1596" s="9">
        <v>2</v>
      </c>
      <c r="F1596" s="10">
        <v>180</v>
      </c>
      <c r="G1596" s="11">
        <v>0</v>
      </c>
      <c r="H1596" s="10">
        <v>360</v>
      </c>
      <c r="I1596" s="9">
        <v>0</v>
      </c>
      <c r="J1596" s="10">
        <v>0</v>
      </c>
      <c r="K1596" s="9">
        <v>2</v>
      </c>
      <c r="L1596" s="10">
        <v>360</v>
      </c>
      <c r="M1596" s="10">
        <v>240.34</v>
      </c>
      <c r="N1596" s="10">
        <v>119.66</v>
      </c>
      <c r="O1596" s="11">
        <f t="shared" si="96"/>
        <v>0.3323888888888889</v>
      </c>
      <c r="P1596" s="10">
        <v>35.69</v>
      </c>
      <c r="Q1596" s="10">
        <v>83.97</v>
      </c>
      <c r="R1596" s="11">
        <f t="shared" si="97"/>
        <v>0.23324999999999999</v>
      </c>
      <c r="S1596" t="s">
        <v>65</v>
      </c>
      <c r="T1596" t="s">
        <v>82</v>
      </c>
      <c r="U1596" t="s">
        <v>71</v>
      </c>
    </row>
    <row r="1597" spans="1:21" x14ac:dyDescent="0.35">
      <c r="A1597" t="s">
        <v>1726</v>
      </c>
      <c r="B1597" s="5">
        <v>45927</v>
      </c>
      <c r="C1597" t="s">
        <v>73</v>
      </c>
      <c r="D1597" t="s">
        <v>74</v>
      </c>
      <c r="E1597" s="9">
        <v>4</v>
      </c>
      <c r="F1597" s="10">
        <v>280</v>
      </c>
      <c r="G1597" s="11">
        <v>0</v>
      </c>
      <c r="H1597" s="10">
        <v>1120</v>
      </c>
      <c r="I1597" s="9">
        <v>0</v>
      </c>
      <c r="J1597" s="10">
        <v>0</v>
      </c>
      <c r="K1597" s="9">
        <v>4</v>
      </c>
      <c r="L1597" s="10">
        <v>1120</v>
      </c>
      <c r="M1597" s="10">
        <v>699.32</v>
      </c>
      <c r="N1597" s="10">
        <v>420.68</v>
      </c>
      <c r="O1597" s="11">
        <f t="shared" si="96"/>
        <v>0.37560714285714286</v>
      </c>
      <c r="P1597" s="10">
        <v>117.94</v>
      </c>
      <c r="Q1597" s="10">
        <v>302.74</v>
      </c>
      <c r="R1597" s="11">
        <f t="shared" si="97"/>
        <v>0.27030357142857142</v>
      </c>
      <c r="S1597" t="s">
        <v>59</v>
      </c>
      <c r="T1597" t="s">
        <v>60</v>
      </c>
      <c r="U1597" t="s">
        <v>2133</v>
      </c>
    </row>
    <row r="1598" spans="1:21" x14ac:dyDescent="0.35">
      <c r="A1598" t="s">
        <v>1727</v>
      </c>
      <c r="B1598" s="5">
        <v>45786</v>
      </c>
      <c r="C1598" t="s">
        <v>100</v>
      </c>
      <c r="D1598" t="s">
        <v>64</v>
      </c>
      <c r="E1598" s="9">
        <v>2</v>
      </c>
      <c r="F1598" s="10">
        <v>310</v>
      </c>
      <c r="G1598" s="11">
        <v>0</v>
      </c>
      <c r="H1598" s="10">
        <v>620</v>
      </c>
      <c r="I1598" s="9">
        <v>0</v>
      </c>
      <c r="J1598" s="10">
        <v>0</v>
      </c>
      <c r="K1598" s="9">
        <v>2</v>
      </c>
      <c r="L1598" s="10">
        <v>620</v>
      </c>
      <c r="M1598" s="10">
        <v>502.19</v>
      </c>
      <c r="N1598" s="10">
        <v>117.81</v>
      </c>
      <c r="O1598" s="11">
        <f t="shared" si="96"/>
        <v>0.19001612903225806</v>
      </c>
      <c r="P1598" s="10">
        <v>51.52</v>
      </c>
      <c r="Q1598" s="10">
        <v>66.290000000000006</v>
      </c>
      <c r="R1598" s="11">
        <f t="shared" si="97"/>
        <v>0.10691935483870969</v>
      </c>
      <c r="S1598" t="s">
        <v>75</v>
      </c>
      <c r="T1598" t="s">
        <v>60</v>
      </c>
      <c r="U1598" t="s">
        <v>76</v>
      </c>
    </row>
    <row r="1599" spans="1:21" x14ac:dyDescent="0.35">
      <c r="A1599" t="s">
        <v>1728</v>
      </c>
      <c r="B1599" s="5">
        <v>45843</v>
      </c>
      <c r="C1599" t="s">
        <v>56</v>
      </c>
      <c r="D1599" t="s">
        <v>57</v>
      </c>
      <c r="E1599" s="9">
        <v>2</v>
      </c>
      <c r="F1599" s="10">
        <v>40</v>
      </c>
      <c r="G1599" s="11">
        <v>0</v>
      </c>
      <c r="H1599" s="10">
        <v>80</v>
      </c>
      <c r="I1599" s="9">
        <v>0</v>
      </c>
      <c r="J1599" s="10">
        <v>0</v>
      </c>
      <c r="K1599" s="9">
        <v>2</v>
      </c>
      <c r="L1599" s="10">
        <v>80</v>
      </c>
      <c r="M1599" s="10">
        <v>57.87</v>
      </c>
      <c r="N1599" s="10">
        <v>22.13</v>
      </c>
      <c r="O1599" s="11">
        <f t="shared" si="96"/>
        <v>0.27662500000000001</v>
      </c>
      <c r="P1599" s="10">
        <v>8.76</v>
      </c>
      <c r="Q1599" s="10">
        <v>13.37</v>
      </c>
      <c r="R1599" s="11">
        <f t="shared" si="97"/>
        <v>0.167125</v>
      </c>
      <c r="S1599" t="s">
        <v>65</v>
      </c>
      <c r="T1599" t="s">
        <v>82</v>
      </c>
      <c r="U1599" t="s">
        <v>76</v>
      </c>
    </row>
    <row r="1600" spans="1:21" x14ac:dyDescent="0.35">
      <c r="A1600" t="s">
        <v>1729</v>
      </c>
      <c r="B1600" s="5">
        <v>45821</v>
      </c>
      <c r="C1600" t="s">
        <v>109</v>
      </c>
      <c r="D1600" t="s">
        <v>85</v>
      </c>
      <c r="E1600" s="9">
        <v>1</v>
      </c>
      <c r="F1600" s="10">
        <v>180</v>
      </c>
      <c r="G1600" s="11">
        <v>0</v>
      </c>
      <c r="H1600" s="10">
        <v>180</v>
      </c>
      <c r="I1600" s="9">
        <v>0</v>
      </c>
      <c r="J1600" s="10">
        <v>0</v>
      </c>
      <c r="K1600" s="9">
        <v>1</v>
      </c>
      <c r="L1600" s="10">
        <v>180</v>
      </c>
      <c r="M1600" s="10">
        <v>144.02000000000001</v>
      </c>
      <c r="N1600" s="10">
        <v>35.979999999999997</v>
      </c>
      <c r="O1600" s="11">
        <f t="shared" si="96"/>
        <v>0.19988888888888887</v>
      </c>
      <c r="P1600" s="10">
        <v>10.45</v>
      </c>
      <c r="Q1600" s="10">
        <v>25.53</v>
      </c>
      <c r="R1600" s="11">
        <f t="shared" si="97"/>
        <v>0.14183333333333334</v>
      </c>
      <c r="S1600" t="s">
        <v>75</v>
      </c>
      <c r="T1600" t="s">
        <v>66</v>
      </c>
      <c r="U1600" t="s">
        <v>67</v>
      </c>
    </row>
    <row r="1601" spans="1:21" x14ac:dyDescent="0.35">
      <c r="A1601" t="s">
        <v>1730</v>
      </c>
      <c r="B1601" s="5">
        <v>45881</v>
      </c>
      <c r="C1601" t="s">
        <v>95</v>
      </c>
      <c r="D1601" t="s">
        <v>64</v>
      </c>
      <c r="E1601" s="9">
        <v>1</v>
      </c>
      <c r="F1601" s="10">
        <v>52</v>
      </c>
      <c r="G1601" s="11">
        <v>0.05</v>
      </c>
      <c r="H1601" s="10">
        <v>49.4</v>
      </c>
      <c r="I1601" s="9">
        <v>0</v>
      </c>
      <c r="J1601" s="10">
        <v>0</v>
      </c>
      <c r="K1601" s="9">
        <v>1</v>
      </c>
      <c r="L1601" s="10">
        <v>49.4</v>
      </c>
      <c r="M1601" s="10">
        <v>42.03</v>
      </c>
      <c r="N1601" s="10">
        <v>7.37</v>
      </c>
      <c r="O1601" s="11">
        <f t="shared" si="96"/>
        <v>0.14919028340080973</v>
      </c>
      <c r="P1601" s="10">
        <v>4.5</v>
      </c>
      <c r="Q1601" s="10">
        <v>2.87</v>
      </c>
      <c r="R1601" s="11">
        <f t="shared" si="97"/>
        <v>5.8097165991902837E-2</v>
      </c>
      <c r="S1601" t="s">
        <v>59</v>
      </c>
      <c r="T1601" t="s">
        <v>86</v>
      </c>
      <c r="U1601" t="s">
        <v>67</v>
      </c>
    </row>
    <row r="1602" spans="1:21" x14ac:dyDescent="0.35">
      <c r="A1602" t="s">
        <v>1731</v>
      </c>
      <c r="B1602" s="5">
        <v>45727</v>
      </c>
      <c r="C1602" t="s">
        <v>121</v>
      </c>
      <c r="D1602" t="s">
        <v>70</v>
      </c>
      <c r="E1602" s="9">
        <v>3</v>
      </c>
      <c r="F1602" s="10">
        <v>110</v>
      </c>
      <c r="G1602" s="11">
        <v>0.1</v>
      </c>
      <c r="H1602" s="10">
        <v>297</v>
      </c>
      <c r="I1602" s="9">
        <v>0</v>
      </c>
      <c r="J1602" s="10">
        <v>0</v>
      </c>
      <c r="K1602" s="9">
        <v>3</v>
      </c>
      <c r="L1602" s="10">
        <v>297</v>
      </c>
      <c r="M1602" s="10">
        <v>198.09</v>
      </c>
      <c r="N1602" s="10">
        <v>98.91</v>
      </c>
      <c r="O1602" s="11">
        <f t="shared" si="96"/>
        <v>0.33303030303030301</v>
      </c>
      <c r="P1602" s="10">
        <v>15.41</v>
      </c>
      <c r="Q1602" s="10">
        <v>83.5</v>
      </c>
      <c r="R1602" s="11">
        <f t="shared" si="97"/>
        <v>0.28114478114478114</v>
      </c>
      <c r="S1602" t="s">
        <v>65</v>
      </c>
      <c r="T1602" t="s">
        <v>60</v>
      </c>
      <c r="U1602" t="s">
        <v>71</v>
      </c>
    </row>
    <row r="1603" spans="1:21" x14ac:dyDescent="0.35">
      <c r="A1603" t="s">
        <v>1732</v>
      </c>
      <c r="B1603" s="5">
        <v>45980</v>
      </c>
      <c r="C1603" t="s">
        <v>69</v>
      </c>
      <c r="D1603" t="s">
        <v>70</v>
      </c>
      <c r="E1603" s="9">
        <v>1</v>
      </c>
      <c r="F1603" s="10">
        <v>210</v>
      </c>
      <c r="G1603" s="11">
        <v>0</v>
      </c>
      <c r="H1603" s="10">
        <v>210</v>
      </c>
      <c r="I1603" s="9">
        <v>0</v>
      </c>
      <c r="J1603" s="10">
        <v>0</v>
      </c>
      <c r="K1603" s="9">
        <v>1</v>
      </c>
      <c r="L1603" s="10">
        <v>210</v>
      </c>
      <c r="M1603" s="10">
        <v>151.24</v>
      </c>
      <c r="N1603" s="10">
        <v>58.76</v>
      </c>
      <c r="O1603" s="11">
        <f t="shared" si="96"/>
        <v>0.27980952380952379</v>
      </c>
      <c r="P1603" s="10">
        <v>21.53</v>
      </c>
      <c r="Q1603" s="10">
        <v>37.229999999999997</v>
      </c>
      <c r="R1603" s="11">
        <f t="shared" si="97"/>
        <v>0.17728571428571427</v>
      </c>
      <c r="S1603" t="s">
        <v>81</v>
      </c>
      <c r="T1603" t="s">
        <v>82</v>
      </c>
      <c r="U1603" t="s">
        <v>76</v>
      </c>
    </row>
    <row r="1604" spans="1:21" x14ac:dyDescent="0.35">
      <c r="A1604" t="s">
        <v>1733</v>
      </c>
      <c r="B1604" s="5">
        <v>45836</v>
      </c>
      <c r="C1604" t="s">
        <v>92</v>
      </c>
      <c r="D1604" t="s">
        <v>79</v>
      </c>
      <c r="E1604" s="9">
        <v>3</v>
      </c>
      <c r="F1604" s="10">
        <v>85</v>
      </c>
      <c r="G1604" s="11">
        <v>0</v>
      </c>
      <c r="H1604" s="10">
        <v>255</v>
      </c>
      <c r="I1604" s="9">
        <v>0</v>
      </c>
      <c r="J1604" s="10">
        <v>0</v>
      </c>
      <c r="K1604" s="9">
        <v>3</v>
      </c>
      <c r="L1604" s="10">
        <v>255</v>
      </c>
      <c r="M1604" s="10">
        <v>172.78</v>
      </c>
      <c r="N1604" s="10">
        <v>82.22</v>
      </c>
      <c r="O1604" s="11">
        <f t="shared" si="96"/>
        <v>0.3224313725490196</v>
      </c>
      <c r="P1604" s="10">
        <v>32.56</v>
      </c>
      <c r="Q1604" s="10">
        <v>49.66</v>
      </c>
      <c r="R1604" s="11">
        <f t="shared" si="97"/>
        <v>0.19474509803921566</v>
      </c>
      <c r="S1604" t="s">
        <v>65</v>
      </c>
      <c r="T1604" t="s">
        <v>86</v>
      </c>
      <c r="U1604" t="s">
        <v>67</v>
      </c>
    </row>
    <row r="1605" spans="1:21" x14ac:dyDescent="0.35">
      <c r="A1605" t="s">
        <v>1734</v>
      </c>
      <c r="B1605" s="5">
        <v>45664</v>
      </c>
      <c r="C1605" t="s">
        <v>114</v>
      </c>
      <c r="D1605" t="s">
        <v>64</v>
      </c>
      <c r="E1605" s="9">
        <v>1</v>
      </c>
      <c r="F1605" s="10">
        <v>420</v>
      </c>
      <c r="G1605" s="11">
        <v>0</v>
      </c>
      <c r="H1605" s="10">
        <v>420</v>
      </c>
      <c r="I1605" s="9">
        <v>0</v>
      </c>
      <c r="J1605" s="10">
        <v>0</v>
      </c>
      <c r="K1605" s="9">
        <v>1</v>
      </c>
      <c r="L1605" s="10">
        <v>420</v>
      </c>
      <c r="M1605" s="10">
        <v>314.58999999999997</v>
      </c>
      <c r="N1605" s="10">
        <v>105.41</v>
      </c>
      <c r="O1605" s="11">
        <f t="shared" si="96"/>
        <v>0.25097619047619046</v>
      </c>
      <c r="P1605" s="10">
        <v>47.96</v>
      </c>
      <c r="Q1605" s="10">
        <v>57.45</v>
      </c>
      <c r="R1605" s="11">
        <f t="shared" si="97"/>
        <v>0.13678571428571429</v>
      </c>
      <c r="S1605" t="s">
        <v>65</v>
      </c>
      <c r="T1605" t="s">
        <v>66</v>
      </c>
      <c r="U1605" t="s">
        <v>76</v>
      </c>
    </row>
    <row r="1606" spans="1:21" x14ac:dyDescent="0.35">
      <c r="A1606" t="s">
        <v>1735</v>
      </c>
      <c r="B1606" s="5">
        <v>45803</v>
      </c>
      <c r="C1606" t="s">
        <v>264</v>
      </c>
      <c r="D1606" t="s">
        <v>85</v>
      </c>
      <c r="E1606" s="9">
        <v>2</v>
      </c>
      <c r="F1606" s="10">
        <v>20</v>
      </c>
      <c r="G1606" s="11">
        <v>0</v>
      </c>
      <c r="H1606" s="10">
        <v>40</v>
      </c>
      <c r="I1606" s="9">
        <v>0</v>
      </c>
      <c r="J1606" s="10">
        <v>0</v>
      </c>
      <c r="K1606" s="9">
        <v>2</v>
      </c>
      <c r="L1606" s="10">
        <v>40</v>
      </c>
      <c r="M1606" s="10">
        <v>32.479999999999997</v>
      </c>
      <c r="N1606" s="10">
        <v>7.52</v>
      </c>
      <c r="O1606" s="11">
        <f t="shared" si="96"/>
        <v>0.188</v>
      </c>
      <c r="P1606" s="10">
        <v>3.5</v>
      </c>
      <c r="Q1606" s="10">
        <v>4.0199999999999996</v>
      </c>
      <c r="R1606" s="11">
        <f t="shared" si="97"/>
        <v>0.10049999999999999</v>
      </c>
      <c r="S1606" t="s">
        <v>81</v>
      </c>
      <c r="T1606" t="s">
        <v>66</v>
      </c>
      <c r="U1606" t="s">
        <v>61</v>
      </c>
    </row>
    <row r="1607" spans="1:21" x14ac:dyDescent="0.35">
      <c r="A1607" t="s">
        <v>1736</v>
      </c>
      <c r="B1607" s="5">
        <v>45688</v>
      </c>
      <c r="C1607" t="s">
        <v>92</v>
      </c>
      <c r="D1607" t="s">
        <v>79</v>
      </c>
      <c r="E1607" s="9">
        <v>1</v>
      </c>
      <c r="F1607" s="10">
        <v>85</v>
      </c>
      <c r="G1607" s="11">
        <v>0.1</v>
      </c>
      <c r="H1607" s="10">
        <v>76.5</v>
      </c>
      <c r="I1607" s="9">
        <v>0</v>
      </c>
      <c r="J1607" s="10">
        <v>0</v>
      </c>
      <c r="K1607" s="9">
        <v>1</v>
      </c>
      <c r="L1607" s="10">
        <v>76.5</v>
      </c>
      <c r="M1607" s="10">
        <v>54.77</v>
      </c>
      <c r="N1607" s="10">
        <v>21.73</v>
      </c>
      <c r="O1607" s="11">
        <f t="shared" si="96"/>
        <v>0.28405228758169937</v>
      </c>
      <c r="P1607" s="10">
        <v>7.08</v>
      </c>
      <c r="Q1607" s="10">
        <v>14.65</v>
      </c>
      <c r="R1607" s="11">
        <f t="shared" si="97"/>
        <v>0.19150326797385622</v>
      </c>
      <c r="S1607" t="s">
        <v>59</v>
      </c>
      <c r="T1607" t="s">
        <v>60</v>
      </c>
      <c r="U1607" t="s">
        <v>71</v>
      </c>
    </row>
    <row r="1608" spans="1:21" x14ac:dyDescent="0.35">
      <c r="A1608" t="s">
        <v>1737</v>
      </c>
      <c r="B1608" s="5">
        <v>45869</v>
      </c>
      <c r="C1608" t="s">
        <v>97</v>
      </c>
      <c r="D1608" t="s">
        <v>57</v>
      </c>
      <c r="E1608" s="9">
        <v>3</v>
      </c>
      <c r="F1608" s="10">
        <v>55</v>
      </c>
      <c r="G1608" s="11">
        <v>0</v>
      </c>
      <c r="H1608" s="10">
        <v>165</v>
      </c>
      <c r="I1608" s="9">
        <v>0</v>
      </c>
      <c r="J1608" s="10">
        <v>0</v>
      </c>
      <c r="K1608" s="9">
        <v>3</v>
      </c>
      <c r="L1608" s="10">
        <v>165</v>
      </c>
      <c r="M1608" s="10">
        <v>140.53</v>
      </c>
      <c r="N1608" s="10">
        <v>24.47</v>
      </c>
      <c r="O1608" s="11">
        <f t="shared" si="96"/>
        <v>0.1483030303030303</v>
      </c>
      <c r="P1608" s="10">
        <v>15.56</v>
      </c>
      <c r="Q1608" s="10">
        <v>8.91</v>
      </c>
      <c r="R1608" s="11">
        <f t="shared" si="97"/>
        <v>5.3999999999999999E-2</v>
      </c>
      <c r="S1608" t="s">
        <v>65</v>
      </c>
      <c r="T1608" t="s">
        <v>66</v>
      </c>
      <c r="U1608" t="s">
        <v>76</v>
      </c>
    </row>
    <row r="1609" spans="1:21" x14ac:dyDescent="0.35">
      <c r="A1609" t="s">
        <v>1738</v>
      </c>
      <c r="B1609" s="5">
        <v>45930</v>
      </c>
      <c r="C1609" t="s">
        <v>100</v>
      </c>
      <c r="D1609" t="s">
        <v>64</v>
      </c>
      <c r="E1609" s="9">
        <v>1</v>
      </c>
      <c r="F1609" s="10">
        <v>310</v>
      </c>
      <c r="G1609" s="11">
        <v>0.05</v>
      </c>
      <c r="H1609" s="10">
        <v>294.5</v>
      </c>
      <c r="I1609" s="9">
        <v>0</v>
      </c>
      <c r="J1609" s="10">
        <v>0</v>
      </c>
      <c r="K1609" s="9">
        <v>1</v>
      </c>
      <c r="L1609" s="10">
        <v>294.5</v>
      </c>
      <c r="M1609" s="10">
        <v>239.4</v>
      </c>
      <c r="N1609" s="10">
        <v>55.1</v>
      </c>
      <c r="O1609" s="11">
        <f t="shared" si="96"/>
        <v>0.18709677419354839</v>
      </c>
      <c r="P1609" s="10">
        <v>26.24</v>
      </c>
      <c r="Q1609" s="10">
        <v>28.86</v>
      </c>
      <c r="R1609" s="11">
        <f t="shared" si="97"/>
        <v>9.799660441426146E-2</v>
      </c>
      <c r="S1609" t="s">
        <v>81</v>
      </c>
      <c r="T1609" t="s">
        <v>60</v>
      </c>
      <c r="U1609" t="s">
        <v>71</v>
      </c>
    </row>
    <row r="1610" spans="1:21" x14ac:dyDescent="0.35">
      <c r="A1610" t="s">
        <v>1739</v>
      </c>
      <c r="B1610" s="5">
        <v>45968</v>
      </c>
      <c r="C1610" t="s">
        <v>97</v>
      </c>
      <c r="D1610" t="s">
        <v>57</v>
      </c>
      <c r="E1610" s="9">
        <v>2</v>
      </c>
      <c r="F1610" s="10">
        <v>55</v>
      </c>
      <c r="G1610" s="11">
        <v>0.15</v>
      </c>
      <c r="H1610" s="10">
        <v>93.5</v>
      </c>
      <c r="I1610" s="9">
        <v>0</v>
      </c>
      <c r="J1610" s="10">
        <v>0</v>
      </c>
      <c r="K1610" s="9">
        <v>2</v>
      </c>
      <c r="L1610" s="10">
        <v>93.5</v>
      </c>
      <c r="M1610" s="10">
        <v>75.55</v>
      </c>
      <c r="N1610" s="10">
        <v>17.95</v>
      </c>
      <c r="O1610" s="11">
        <f t="shared" si="96"/>
        <v>0.19197860962566843</v>
      </c>
      <c r="P1610" s="10">
        <v>8.5500000000000007</v>
      </c>
      <c r="Q1610" s="10">
        <v>9.4</v>
      </c>
      <c r="R1610" s="11">
        <f t="shared" si="97"/>
        <v>0.10053475935828877</v>
      </c>
      <c r="S1610" t="s">
        <v>65</v>
      </c>
      <c r="T1610" t="s">
        <v>82</v>
      </c>
      <c r="U1610" t="s">
        <v>61</v>
      </c>
    </row>
    <row r="1611" spans="1:21" x14ac:dyDescent="0.35">
      <c r="A1611" t="s">
        <v>1740</v>
      </c>
      <c r="B1611" s="5">
        <v>45672</v>
      </c>
      <c r="C1611" t="s">
        <v>78</v>
      </c>
      <c r="D1611" t="s">
        <v>79</v>
      </c>
      <c r="E1611" s="9">
        <v>2</v>
      </c>
      <c r="F1611" s="10">
        <v>120</v>
      </c>
      <c r="G1611" s="11">
        <v>0.1</v>
      </c>
      <c r="H1611" s="10">
        <v>216</v>
      </c>
      <c r="I1611" s="9">
        <v>0</v>
      </c>
      <c r="J1611" s="10">
        <v>0</v>
      </c>
      <c r="K1611" s="9">
        <v>2</v>
      </c>
      <c r="L1611" s="10">
        <v>216</v>
      </c>
      <c r="M1611" s="10">
        <v>154.41</v>
      </c>
      <c r="N1611" s="10">
        <v>61.59</v>
      </c>
      <c r="O1611" s="11">
        <f t="shared" si="96"/>
        <v>0.28513888888888889</v>
      </c>
      <c r="P1611" s="10">
        <v>16.649999999999999</v>
      </c>
      <c r="Q1611" s="10">
        <v>44.94</v>
      </c>
      <c r="R1611" s="11">
        <f t="shared" si="97"/>
        <v>0.20805555555555555</v>
      </c>
      <c r="S1611" t="s">
        <v>59</v>
      </c>
      <c r="T1611" t="s">
        <v>82</v>
      </c>
      <c r="U1611" t="s">
        <v>76</v>
      </c>
    </row>
    <row r="1612" spans="1:21" x14ac:dyDescent="0.35">
      <c r="A1612" t="s">
        <v>1741</v>
      </c>
      <c r="B1612" s="5">
        <v>45977</v>
      </c>
      <c r="C1612" t="s">
        <v>84</v>
      </c>
      <c r="D1612" t="s">
        <v>85</v>
      </c>
      <c r="E1612" s="9">
        <v>5</v>
      </c>
      <c r="F1612" s="10">
        <v>48</v>
      </c>
      <c r="G1612" s="11">
        <v>0.1</v>
      </c>
      <c r="H1612" s="10">
        <v>216</v>
      </c>
      <c r="I1612" s="9">
        <v>0</v>
      </c>
      <c r="J1612" s="10">
        <v>0</v>
      </c>
      <c r="K1612" s="9">
        <v>5</v>
      </c>
      <c r="L1612" s="10">
        <v>216</v>
      </c>
      <c r="M1612" s="10">
        <v>164.83</v>
      </c>
      <c r="N1612" s="10">
        <v>51.17</v>
      </c>
      <c r="O1612" s="11">
        <f t="shared" si="96"/>
        <v>0.23689814814814816</v>
      </c>
      <c r="P1612" s="10">
        <v>24.85</v>
      </c>
      <c r="Q1612" s="10">
        <v>26.32</v>
      </c>
      <c r="R1612" s="11">
        <f t="shared" si="97"/>
        <v>0.12185185185185185</v>
      </c>
      <c r="S1612" t="s">
        <v>65</v>
      </c>
      <c r="T1612" t="s">
        <v>82</v>
      </c>
      <c r="U1612" t="s">
        <v>61</v>
      </c>
    </row>
    <row r="1613" spans="1:21" x14ac:dyDescent="0.35">
      <c r="A1613" t="s">
        <v>1742</v>
      </c>
      <c r="B1613" s="5">
        <v>45717</v>
      </c>
      <c r="C1613" t="s">
        <v>117</v>
      </c>
      <c r="D1613" t="s">
        <v>74</v>
      </c>
      <c r="E1613" s="9">
        <v>8</v>
      </c>
      <c r="F1613" s="10">
        <v>95</v>
      </c>
      <c r="G1613" s="11">
        <v>0.15</v>
      </c>
      <c r="H1613" s="10">
        <v>646</v>
      </c>
      <c r="I1613" s="9">
        <v>0</v>
      </c>
      <c r="J1613" s="10">
        <v>0</v>
      </c>
      <c r="K1613" s="9">
        <v>8</v>
      </c>
      <c r="L1613" s="10">
        <v>646</v>
      </c>
      <c r="M1613" s="10">
        <v>418.59</v>
      </c>
      <c r="N1613" s="10">
        <v>227.41</v>
      </c>
      <c r="O1613" s="11">
        <f t="shared" si="96"/>
        <v>0.35202786377708978</v>
      </c>
      <c r="P1613" s="10">
        <v>58.13</v>
      </c>
      <c r="Q1613" s="10">
        <v>169.28</v>
      </c>
      <c r="R1613" s="11">
        <f t="shared" si="97"/>
        <v>0.26204334365325077</v>
      </c>
      <c r="S1613" t="s">
        <v>59</v>
      </c>
      <c r="T1613" t="s">
        <v>60</v>
      </c>
      <c r="U1613" t="s">
        <v>76</v>
      </c>
    </row>
    <row r="1614" spans="1:21" x14ac:dyDescent="0.35">
      <c r="A1614" t="s">
        <v>1743</v>
      </c>
      <c r="B1614" s="5">
        <v>45719</v>
      </c>
      <c r="C1614" t="s">
        <v>109</v>
      </c>
      <c r="D1614" t="s">
        <v>85</v>
      </c>
      <c r="E1614" s="9">
        <v>8</v>
      </c>
      <c r="F1614" s="10">
        <v>180</v>
      </c>
      <c r="G1614" s="11">
        <v>0.02</v>
      </c>
      <c r="H1614" s="10">
        <v>1411.2</v>
      </c>
      <c r="I1614" s="9">
        <v>0</v>
      </c>
      <c r="J1614" s="10">
        <v>0</v>
      </c>
      <c r="K1614" s="9">
        <v>8</v>
      </c>
      <c r="L1614" s="10">
        <v>1411.2</v>
      </c>
      <c r="M1614" s="10">
        <v>1093.5999999999999</v>
      </c>
      <c r="N1614" s="10">
        <v>317.60000000000002</v>
      </c>
      <c r="O1614" s="11">
        <f t="shared" si="96"/>
        <v>0.22505668934240364</v>
      </c>
      <c r="P1614" s="10">
        <v>174.21</v>
      </c>
      <c r="Q1614" s="10">
        <v>143.38999999999999</v>
      </c>
      <c r="R1614" s="11">
        <f t="shared" si="97"/>
        <v>0.10160856009070293</v>
      </c>
      <c r="S1614" t="s">
        <v>59</v>
      </c>
      <c r="T1614" t="s">
        <v>86</v>
      </c>
      <c r="U1614" t="s">
        <v>61</v>
      </c>
    </row>
    <row r="1615" spans="1:21" x14ac:dyDescent="0.35">
      <c r="A1615" t="s">
        <v>1744</v>
      </c>
      <c r="B1615" s="5">
        <v>45721</v>
      </c>
      <c r="C1615" t="s">
        <v>121</v>
      </c>
      <c r="D1615" t="s">
        <v>70</v>
      </c>
      <c r="E1615" s="9">
        <v>3</v>
      </c>
      <c r="F1615" s="10">
        <v>110</v>
      </c>
      <c r="G1615" s="11">
        <v>0</v>
      </c>
      <c r="H1615" s="10">
        <v>330</v>
      </c>
      <c r="I1615" s="9">
        <v>0</v>
      </c>
      <c r="J1615" s="10">
        <v>0</v>
      </c>
      <c r="K1615" s="9">
        <v>3</v>
      </c>
      <c r="L1615" s="10">
        <v>330</v>
      </c>
      <c r="M1615" s="10">
        <v>254.65</v>
      </c>
      <c r="N1615" s="10">
        <v>75.349999999999994</v>
      </c>
      <c r="O1615" s="11">
        <f t="shared" si="96"/>
        <v>0.2283333333333333</v>
      </c>
      <c r="P1615" s="10">
        <v>28.44</v>
      </c>
      <c r="Q1615" s="10">
        <v>46.91</v>
      </c>
      <c r="R1615" s="11">
        <f t="shared" si="97"/>
        <v>0.14215151515151514</v>
      </c>
      <c r="S1615" t="s">
        <v>59</v>
      </c>
      <c r="T1615" t="s">
        <v>60</v>
      </c>
      <c r="U1615" t="s">
        <v>61</v>
      </c>
    </row>
    <row r="1616" spans="1:21" x14ac:dyDescent="0.35">
      <c r="A1616" t="s">
        <v>1745</v>
      </c>
      <c r="B1616" s="5">
        <v>45877</v>
      </c>
      <c r="C1616" t="s">
        <v>78</v>
      </c>
      <c r="D1616" t="s">
        <v>79</v>
      </c>
      <c r="E1616" s="9">
        <v>1</v>
      </c>
      <c r="F1616" s="10">
        <v>120</v>
      </c>
      <c r="G1616" s="11">
        <v>0</v>
      </c>
      <c r="H1616" s="10">
        <v>120</v>
      </c>
      <c r="I1616" s="9">
        <v>0</v>
      </c>
      <c r="J1616" s="10">
        <v>0</v>
      </c>
      <c r="K1616" s="9">
        <v>1</v>
      </c>
      <c r="L1616" s="10">
        <v>120</v>
      </c>
      <c r="M1616" s="10">
        <v>84.96</v>
      </c>
      <c r="N1616" s="10">
        <v>35.04</v>
      </c>
      <c r="O1616" s="11">
        <f t="shared" si="96"/>
        <v>0.29199999999999998</v>
      </c>
      <c r="P1616" s="10">
        <v>6.62</v>
      </c>
      <c r="Q1616" s="10">
        <v>28.42</v>
      </c>
      <c r="R1616" s="11">
        <f t="shared" si="97"/>
        <v>0.23683333333333334</v>
      </c>
      <c r="S1616" t="s">
        <v>75</v>
      </c>
      <c r="T1616" t="s">
        <v>60</v>
      </c>
      <c r="U1616" t="s">
        <v>61</v>
      </c>
    </row>
    <row r="1617" spans="1:21" x14ac:dyDescent="0.35">
      <c r="A1617" t="s">
        <v>1746</v>
      </c>
      <c r="B1617" s="5">
        <v>45780</v>
      </c>
      <c r="C1617" t="s">
        <v>109</v>
      </c>
      <c r="D1617" t="s">
        <v>85</v>
      </c>
      <c r="E1617" s="9">
        <v>1</v>
      </c>
      <c r="F1617" s="10">
        <v>180</v>
      </c>
      <c r="G1617" s="11">
        <v>0</v>
      </c>
      <c r="H1617" s="10">
        <v>180</v>
      </c>
      <c r="I1617" s="9">
        <v>0</v>
      </c>
      <c r="J1617" s="10">
        <v>0</v>
      </c>
      <c r="K1617" s="9">
        <v>1</v>
      </c>
      <c r="L1617" s="10">
        <v>180</v>
      </c>
      <c r="M1617" s="10">
        <v>147.43</v>
      </c>
      <c r="N1617" s="10">
        <v>32.57</v>
      </c>
      <c r="O1617" s="11">
        <f t="shared" si="96"/>
        <v>0.18094444444444444</v>
      </c>
      <c r="P1617" s="10">
        <v>17.28</v>
      </c>
      <c r="Q1617" s="10">
        <v>15.29</v>
      </c>
      <c r="R1617" s="11">
        <f t="shared" si="97"/>
        <v>8.4944444444444434E-2</v>
      </c>
      <c r="S1617" t="s">
        <v>75</v>
      </c>
      <c r="T1617" t="s">
        <v>86</v>
      </c>
      <c r="U1617" t="s">
        <v>71</v>
      </c>
    </row>
    <row r="1618" spans="1:21" x14ac:dyDescent="0.35">
      <c r="A1618" t="s">
        <v>1747</v>
      </c>
      <c r="B1618" s="5">
        <v>45834</v>
      </c>
      <c r="C1618" t="s">
        <v>109</v>
      </c>
      <c r="D1618" t="s">
        <v>85</v>
      </c>
      <c r="E1618" s="9">
        <v>1</v>
      </c>
      <c r="F1618" s="10">
        <v>180</v>
      </c>
      <c r="G1618" s="11">
        <v>0</v>
      </c>
      <c r="H1618" s="10">
        <v>180</v>
      </c>
      <c r="I1618" s="9">
        <v>0</v>
      </c>
      <c r="J1618" s="10">
        <v>0</v>
      </c>
      <c r="K1618" s="9">
        <v>1</v>
      </c>
      <c r="L1618" s="10">
        <v>180</v>
      </c>
      <c r="M1618" s="10">
        <v>130.77000000000001</v>
      </c>
      <c r="N1618" s="10">
        <v>49.23</v>
      </c>
      <c r="O1618" s="11">
        <f t="shared" si="96"/>
        <v>0.27349999999999997</v>
      </c>
      <c r="P1618" s="10">
        <v>10.73</v>
      </c>
      <c r="Q1618" s="10">
        <v>38.5</v>
      </c>
      <c r="R1618" s="11">
        <f t="shared" si="97"/>
        <v>0.21388888888888888</v>
      </c>
      <c r="S1618" t="s">
        <v>81</v>
      </c>
      <c r="T1618" t="s">
        <v>60</v>
      </c>
      <c r="U1618" t="s">
        <v>61</v>
      </c>
    </row>
    <row r="1619" spans="1:21" x14ac:dyDescent="0.35">
      <c r="A1619" t="s">
        <v>1748</v>
      </c>
      <c r="B1619" s="5">
        <v>45959</v>
      </c>
      <c r="C1619" t="s">
        <v>109</v>
      </c>
      <c r="D1619" t="s">
        <v>85</v>
      </c>
      <c r="E1619" s="9">
        <v>10</v>
      </c>
      <c r="F1619" s="10">
        <v>180</v>
      </c>
      <c r="G1619" s="11">
        <v>0</v>
      </c>
      <c r="H1619" s="10">
        <v>1800</v>
      </c>
      <c r="I1619" s="9">
        <v>0</v>
      </c>
      <c r="J1619" s="10">
        <v>0</v>
      </c>
      <c r="K1619" s="9">
        <v>10</v>
      </c>
      <c r="L1619" s="10">
        <v>1800</v>
      </c>
      <c r="M1619" s="10">
        <v>1127.94</v>
      </c>
      <c r="N1619" s="10">
        <v>672.06</v>
      </c>
      <c r="O1619" s="11">
        <f t="shared" si="96"/>
        <v>0.37336666666666662</v>
      </c>
      <c r="P1619" s="10">
        <v>118.72</v>
      </c>
      <c r="Q1619" s="10">
        <v>553.34</v>
      </c>
      <c r="R1619" s="11">
        <f t="shared" si="97"/>
        <v>0.30741111111111113</v>
      </c>
      <c r="S1619" t="s">
        <v>81</v>
      </c>
      <c r="T1619" t="s">
        <v>60</v>
      </c>
      <c r="U1619" t="s">
        <v>76</v>
      </c>
    </row>
    <row r="1620" spans="1:21" x14ac:dyDescent="0.35">
      <c r="A1620" t="s">
        <v>1749</v>
      </c>
      <c r="B1620" s="5">
        <v>45877</v>
      </c>
      <c r="C1620" t="s">
        <v>95</v>
      </c>
      <c r="D1620" t="s">
        <v>64</v>
      </c>
      <c r="E1620" s="9">
        <v>10</v>
      </c>
      <c r="F1620" s="10">
        <v>52</v>
      </c>
      <c r="G1620" s="11">
        <v>0.1</v>
      </c>
      <c r="H1620" s="10">
        <v>468</v>
      </c>
      <c r="I1620" s="9">
        <v>0</v>
      </c>
      <c r="J1620" s="10">
        <v>0</v>
      </c>
      <c r="K1620" s="9">
        <v>10</v>
      </c>
      <c r="L1620" s="10">
        <v>468</v>
      </c>
      <c r="M1620" s="10">
        <v>396.36</v>
      </c>
      <c r="N1620" s="10">
        <v>71.64</v>
      </c>
      <c r="O1620" s="11">
        <f t="shared" si="96"/>
        <v>0.15307692307692308</v>
      </c>
      <c r="P1620" s="10">
        <v>55.9</v>
      </c>
      <c r="Q1620" s="10">
        <v>15.74</v>
      </c>
      <c r="R1620" s="11">
        <f t="shared" si="97"/>
        <v>3.3632478632478632E-2</v>
      </c>
      <c r="S1620" t="s">
        <v>75</v>
      </c>
      <c r="T1620" t="s">
        <v>66</v>
      </c>
      <c r="U1620" t="s">
        <v>61</v>
      </c>
    </row>
    <row r="1621" spans="1:21" x14ac:dyDescent="0.35">
      <c r="A1621" t="s">
        <v>1750</v>
      </c>
      <c r="B1621" s="5">
        <v>45868</v>
      </c>
      <c r="C1621" t="s">
        <v>109</v>
      </c>
      <c r="D1621" t="s">
        <v>85</v>
      </c>
      <c r="E1621" s="9">
        <v>1</v>
      </c>
      <c r="F1621" s="10">
        <v>180</v>
      </c>
      <c r="G1621" s="11">
        <v>0.02</v>
      </c>
      <c r="H1621" s="10">
        <v>176.4</v>
      </c>
      <c r="I1621" s="9">
        <v>0</v>
      </c>
      <c r="J1621" s="10">
        <v>0</v>
      </c>
      <c r="K1621" s="9">
        <v>1</v>
      </c>
      <c r="L1621" s="10">
        <v>176.4</v>
      </c>
      <c r="M1621" s="10">
        <v>111.59</v>
      </c>
      <c r="N1621" s="10">
        <v>64.81</v>
      </c>
      <c r="O1621" s="11">
        <f t="shared" si="96"/>
        <v>0.36740362811791383</v>
      </c>
      <c r="P1621" s="10">
        <v>21.82</v>
      </c>
      <c r="Q1621" s="10">
        <v>42.99</v>
      </c>
      <c r="R1621" s="11">
        <f t="shared" si="97"/>
        <v>0.24370748299319728</v>
      </c>
      <c r="S1621" t="s">
        <v>65</v>
      </c>
      <c r="T1621" t="s">
        <v>60</v>
      </c>
      <c r="U1621" t="s">
        <v>71</v>
      </c>
    </row>
    <row r="1622" spans="1:21" x14ac:dyDescent="0.35">
      <c r="A1622" t="s">
        <v>1751</v>
      </c>
      <c r="B1622" s="5">
        <v>45837</v>
      </c>
      <c r="C1622" t="s">
        <v>88</v>
      </c>
      <c r="D1622" t="s">
        <v>57</v>
      </c>
      <c r="E1622" s="9">
        <v>6</v>
      </c>
      <c r="F1622" s="10">
        <v>30</v>
      </c>
      <c r="G1622" s="11">
        <v>0</v>
      </c>
      <c r="H1622" s="10">
        <v>180</v>
      </c>
      <c r="I1622" s="9">
        <v>0</v>
      </c>
      <c r="J1622" s="10">
        <v>0</v>
      </c>
      <c r="K1622" s="9">
        <v>6</v>
      </c>
      <c r="L1622" s="10">
        <v>180</v>
      </c>
      <c r="M1622" s="10">
        <v>126.96</v>
      </c>
      <c r="N1622" s="10">
        <v>53.04</v>
      </c>
      <c r="O1622" s="11">
        <f t="shared" si="96"/>
        <v>0.29466666666666669</v>
      </c>
      <c r="P1622" s="10">
        <v>10.7</v>
      </c>
      <c r="Q1622" s="10">
        <v>42.34</v>
      </c>
      <c r="R1622" s="11">
        <f t="shared" si="97"/>
        <v>0.23522222222222225</v>
      </c>
      <c r="S1622" t="s">
        <v>65</v>
      </c>
      <c r="T1622" t="s">
        <v>60</v>
      </c>
      <c r="U1622" t="s">
        <v>71</v>
      </c>
    </row>
    <row r="1623" spans="1:21" x14ac:dyDescent="0.35">
      <c r="A1623" t="s">
        <v>1752</v>
      </c>
      <c r="B1623" s="5">
        <v>45809</v>
      </c>
      <c r="C1623" t="s">
        <v>121</v>
      </c>
      <c r="D1623" t="s">
        <v>70</v>
      </c>
      <c r="E1623" s="9">
        <v>3</v>
      </c>
      <c r="F1623" s="10">
        <v>110</v>
      </c>
      <c r="G1623" s="11">
        <v>0</v>
      </c>
      <c r="H1623" s="10">
        <v>330</v>
      </c>
      <c r="I1623" s="9">
        <v>0</v>
      </c>
      <c r="J1623" s="10">
        <v>0</v>
      </c>
      <c r="K1623" s="9">
        <v>3</v>
      </c>
      <c r="L1623" s="10">
        <v>330</v>
      </c>
      <c r="M1623" s="10">
        <v>213.33</v>
      </c>
      <c r="N1623" s="10">
        <v>116.67</v>
      </c>
      <c r="O1623" s="11">
        <f t="shared" si="96"/>
        <v>0.35354545454545455</v>
      </c>
      <c r="P1623" s="10">
        <v>41.32</v>
      </c>
      <c r="Q1623" s="10">
        <v>75.349999999999994</v>
      </c>
      <c r="R1623" s="11">
        <f t="shared" si="97"/>
        <v>0.2283333333333333</v>
      </c>
      <c r="S1623" t="s">
        <v>81</v>
      </c>
      <c r="T1623" t="s">
        <v>86</v>
      </c>
      <c r="U1623" t="s">
        <v>61</v>
      </c>
    </row>
    <row r="1624" spans="1:21" x14ac:dyDescent="0.35">
      <c r="A1624" t="s">
        <v>1753</v>
      </c>
      <c r="B1624" s="5">
        <v>45907</v>
      </c>
      <c r="C1624" t="s">
        <v>90</v>
      </c>
      <c r="D1624" t="s">
        <v>70</v>
      </c>
      <c r="E1624" s="9">
        <v>3</v>
      </c>
      <c r="F1624" s="10">
        <v>38</v>
      </c>
      <c r="G1624" s="11">
        <v>0.02</v>
      </c>
      <c r="H1624" s="10">
        <v>111.72</v>
      </c>
      <c r="I1624" s="9">
        <v>0</v>
      </c>
      <c r="J1624" s="10">
        <v>0</v>
      </c>
      <c r="K1624" s="9">
        <v>3</v>
      </c>
      <c r="L1624" s="10">
        <v>111.72</v>
      </c>
      <c r="M1624" s="10">
        <v>85.78</v>
      </c>
      <c r="N1624" s="10">
        <v>25.94</v>
      </c>
      <c r="O1624" s="11">
        <f t="shared" si="96"/>
        <v>0.23218761188686002</v>
      </c>
      <c r="P1624" s="10">
        <v>12.84</v>
      </c>
      <c r="Q1624" s="10">
        <v>13.1</v>
      </c>
      <c r="R1624" s="11">
        <f t="shared" si="97"/>
        <v>0.11725742928750447</v>
      </c>
      <c r="S1624" t="s">
        <v>81</v>
      </c>
      <c r="T1624" t="s">
        <v>82</v>
      </c>
      <c r="U1624" t="s">
        <v>71</v>
      </c>
    </row>
    <row r="1625" spans="1:21" x14ac:dyDescent="0.35">
      <c r="A1625" t="s">
        <v>1754</v>
      </c>
      <c r="B1625" s="5">
        <v>45724</v>
      </c>
      <c r="C1625" t="s">
        <v>117</v>
      </c>
      <c r="D1625" t="s">
        <v>74</v>
      </c>
      <c r="E1625" s="9">
        <v>5</v>
      </c>
      <c r="F1625" s="10">
        <v>95</v>
      </c>
      <c r="G1625" s="11">
        <v>0.02</v>
      </c>
      <c r="H1625" s="10">
        <v>465.5</v>
      </c>
      <c r="I1625" s="9">
        <v>0</v>
      </c>
      <c r="J1625" s="10">
        <v>0</v>
      </c>
      <c r="K1625" s="9">
        <v>5</v>
      </c>
      <c r="L1625" s="10">
        <v>465.5</v>
      </c>
      <c r="M1625" s="10">
        <v>399.74</v>
      </c>
      <c r="N1625" s="10">
        <v>65.760000000000005</v>
      </c>
      <c r="O1625" s="11">
        <f t="shared" si="96"/>
        <v>0.14126745435016114</v>
      </c>
      <c r="P1625" s="10">
        <v>31.31</v>
      </c>
      <c r="Q1625" s="10">
        <v>34.450000000000003</v>
      </c>
      <c r="R1625" s="11">
        <f t="shared" si="97"/>
        <v>7.4006444683136413E-2</v>
      </c>
      <c r="S1625" t="s">
        <v>65</v>
      </c>
      <c r="T1625" t="s">
        <v>82</v>
      </c>
      <c r="U1625" t="s">
        <v>67</v>
      </c>
    </row>
    <row r="1626" spans="1:21" x14ac:dyDescent="0.35">
      <c r="A1626" t="s">
        <v>1755</v>
      </c>
      <c r="B1626" s="5">
        <v>45849</v>
      </c>
      <c r="C1626" t="s">
        <v>69</v>
      </c>
      <c r="D1626" t="s">
        <v>70</v>
      </c>
      <c r="E1626" s="9">
        <v>8</v>
      </c>
      <c r="F1626" s="10">
        <v>210</v>
      </c>
      <c r="G1626" s="11">
        <v>0.02</v>
      </c>
      <c r="H1626" s="10">
        <v>1646.4</v>
      </c>
      <c r="I1626" s="9">
        <v>0</v>
      </c>
      <c r="J1626" s="10">
        <v>0</v>
      </c>
      <c r="K1626" s="9">
        <v>8</v>
      </c>
      <c r="L1626" s="10">
        <v>1646.4</v>
      </c>
      <c r="M1626" s="10">
        <v>1355.47</v>
      </c>
      <c r="N1626" s="10">
        <v>290.93</v>
      </c>
      <c r="O1626" s="11">
        <f t="shared" si="96"/>
        <v>0.17670675413022352</v>
      </c>
      <c r="P1626" s="10">
        <v>136.88999999999999</v>
      </c>
      <c r="Q1626" s="10">
        <v>154.04</v>
      </c>
      <c r="R1626" s="11">
        <f t="shared" si="97"/>
        <v>9.3561710398445089E-2</v>
      </c>
      <c r="S1626" t="s">
        <v>75</v>
      </c>
      <c r="T1626" t="s">
        <v>82</v>
      </c>
      <c r="U1626" t="s">
        <v>76</v>
      </c>
    </row>
    <row r="1627" spans="1:21" x14ac:dyDescent="0.35">
      <c r="A1627" t="s">
        <v>1756</v>
      </c>
      <c r="B1627" s="5">
        <v>45739</v>
      </c>
      <c r="C1627" t="s">
        <v>84</v>
      </c>
      <c r="D1627" t="s">
        <v>85</v>
      </c>
      <c r="E1627" s="9">
        <v>4</v>
      </c>
      <c r="F1627" s="10">
        <v>48</v>
      </c>
      <c r="G1627" s="11">
        <v>0.02</v>
      </c>
      <c r="H1627" s="10">
        <v>188.16</v>
      </c>
      <c r="I1627" s="9">
        <v>0</v>
      </c>
      <c r="J1627" s="10">
        <v>0</v>
      </c>
      <c r="K1627" s="9">
        <v>4</v>
      </c>
      <c r="L1627" s="10">
        <v>188.16</v>
      </c>
      <c r="M1627" s="10">
        <v>145.16999999999999</v>
      </c>
      <c r="N1627" s="10">
        <v>42.99</v>
      </c>
      <c r="O1627" s="11">
        <f t="shared" ref="O1627:O1658" si="98">N1627/L1627</f>
        <v>0.22847576530612246</v>
      </c>
      <c r="P1627" s="10">
        <v>15.92</v>
      </c>
      <c r="Q1627" s="10">
        <v>27.07</v>
      </c>
      <c r="R1627" s="11">
        <f t="shared" ref="R1627:R1658" si="99">Q1627/L1627</f>
        <v>0.1438669217687075</v>
      </c>
      <c r="S1627" t="s">
        <v>65</v>
      </c>
      <c r="T1627" t="s">
        <v>82</v>
      </c>
      <c r="U1627" t="s">
        <v>71</v>
      </c>
    </row>
    <row r="1628" spans="1:21" x14ac:dyDescent="0.35">
      <c r="A1628" t="s">
        <v>1757</v>
      </c>
      <c r="B1628" s="5">
        <v>46012</v>
      </c>
      <c r="C1628" t="s">
        <v>114</v>
      </c>
      <c r="D1628" t="s">
        <v>64</v>
      </c>
      <c r="E1628" s="9">
        <v>4</v>
      </c>
      <c r="F1628" s="10">
        <v>420</v>
      </c>
      <c r="G1628" s="11">
        <v>0</v>
      </c>
      <c r="H1628" s="10">
        <v>1680</v>
      </c>
      <c r="I1628" s="9">
        <v>0</v>
      </c>
      <c r="J1628" s="10">
        <v>0</v>
      </c>
      <c r="K1628" s="9">
        <v>4</v>
      </c>
      <c r="L1628" s="10">
        <v>1680</v>
      </c>
      <c r="M1628" s="10">
        <v>1233.3499999999999</v>
      </c>
      <c r="N1628" s="10">
        <v>446.65</v>
      </c>
      <c r="O1628" s="11">
        <f t="shared" si="98"/>
        <v>0.2658630952380952</v>
      </c>
      <c r="P1628" s="10">
        <v>127.44</v>
      </c>
      <c r="Q1628" s="10">
        <v>319.20999999999998</v>
      </c>
      <c r="R1628" s="11">
        <f t="shared" si="99"/>
        <v>0.19000595238095236</v>
      </c>
      <c r="S1628" t="s">
        <v>65</v>
      </c>
      <c r="T1628" t="s">
        <v>66</v>
      </c>
      <c r="U1628" t="s">
        <v>61</v>
      </c>
    </row>
    <row r="1629" spans="1:21" x14ac:dyDescent="0.35">
      <c r="A1629" t="s">
        <v>1758</v>
      </c>
      <c r="B1629" s="5">
        <v>45889</v>
      </c>
      <c r="C1629" t="s">
        <v>78</v>
      </c>
      <c r="D1629" t="s">
        <v>79</v>
      </c>
      <c r="E1629" s="9">
        <v>4</v>
      </c>
      <c r="F1629" s="10">
        <v>120</v>
      </c>
      <c r="G1629" s="11">
        <v>0.05</v>
      </c>
      <c r="H1629" s="10">
        <v>456</v>
      </c>
      <c r="I1629" s="9">
        <v>0</v>
      </c>
      <c r="J1629" s="10">
        <v>0</v>
      </c>
      <c r="K1629" s="9">
        <v>4</v>
      </c>
      <c r="L1629" s="10">
        <v>456</v>
      </c>
      <c r="M1629" s="10">
        <v>329.53</v>
      </c>
      <c r="N1629" s="10">
        <v>126.47</v>
      </c>
      <c r="O1629" s="11">
        <f t="shared" si="98"/>
        <v>0.27734649122807015</v>
      </c>
      <c r="P1629" s="10">
        <v>57.59</v>
      </c>
      <c r="Q1629" s="10">
        <v>68.88</v>
      </c>
      <c r="R1629" s="11">
        <f t="shared" si="99"/>
        <v>0.15105263157894736</v>
      </c>
      <c r="S1629" t="s">
        <v>75</v>
      </c>
      <c r="T1629" t="s">
        <v>86</v>
      </c>
      <c r="U1629" t="s">
        <v>76</v>
      </c>
    </row>
    <row r="1630" spans="1:21" x14ac:dyDescent="0.35">
      <c r="A1630" t="s">
        <v>1759</v>
      </c>
      <c r="B1630" s="5">
        <v>45724</v>
      </c>
      <c r="C1630" t="s">
        <v>114</v>
      </c>
      <c r="D1630" t="s">
        <v>64</v>
      </c>
      <c r="E1630" s="9">
        <v>1</v>
      </c>
      <c r="F1630" s="10">
        <v>420</v>
      </c>
      <c r="G1630" s="11">
        <v>0.02</v>
      </c>
      <c r="H1630" s="10">
        <v>411.6</v>
      </c>
      <c r="I1630" s="9">
        <v>0</v>
      </c>
      <c r="J1630" s="10">
        <v>0</v>
      </c>
      <c r="K1630" s="9">
        <v>1</v>
      </c>
      <c r="L1630" s="10">
        <v>411.6</v>
      </c>
      <c r="M1630" s="10">
        <v>352.13</v>
      </c>
      <c r="N1630" s="10">
        <v>59.47</v>
      </c>
      <c r="O1630" s="11">
        <f t="shared" si="98"/>
        <v>0.1444849368318756</v>
      </c>
      <c r="P1630" s="10">
        <v>51.13</v>
      </c>
      <c r="Q1630" s="10">
        <v>8.34</v>
      </c>
      <c r="R1630" s="11">
        <f t="shared" si="99"/>
        <v>2.0262390670553933E-2</v>
      </c>
      <c r="S1630" t="s">
        <v>81</v>
      </c>
      <c r="T1630" t="s">
        <v>82</v>
      </c>
      <c r="U1630" t="s">
        <v>71</v>
      </c>
    </row>
    <row r="1631" spans="1:21" x14ac:dyDescent="0.35">
      <c r="A1631" t="s">
        <v>1760</v>
      </c>
      <c r="B1631" s="5">
        <v>45961</v>
      </c>
      <c r="C1631" t="s">
        <v>92</v>
      </c>
      <c r="D1631" t="s">
        <v>79</v>
      </c>
      <c r="E1631" s="9">
        <v>3</v>
      </c>
      <c r="F1631" s="10">
        <v>85</v>
      </c>
      <c r="G1631" s="11">
        <v>0</v>
      </c>
      <c r="H1631" s="10">
        <v>255</v>
      </c>
      <c r="I1631" s="9">
        <v>0</v>
      </c>
      <c r="J1631" s="10">
        <v>0</v>
      </c>
      <c r="K1631" s="9">
        <v>3</v>
      </c>
      <c r="L1631" s="10">
        <v>255</v>
      </c>
      <c r="M1631" s="10">
        <v>160.09</v>
      </c>
      <c r="N1631" s="10">
        <v>94.91</v>
      </c>
      <c r="O1631" s="11">
        <f t="shared" si="98"/>
        <v>0.37219607843137253</v>
      </c>
      <c r="P1631" s="10">
        <v>18.37</v>
      </c>
      <c r="Q1631" s="10">
        <v>76.540000000000006</v>
      </c>
      <c r="R1631" s="11">
        <f t="shared" si="99"/>
        <v>0.30015686274509806</v>
      </c>
      <c r="S1631" t="s">
        <v>81</v>
      </c>
      <c r="T1631" t="s">
        <v>60</v>
      </c>
      <c r="U1631" t="s">
        <v>67</v>
      </c>
    </row>
    <row r="1632" spans="1:21" x14ac:dyDescent="0.35">
      <c r="A1632" t="s">
        <v>1761</v>
      </c>
      <c r="B1632" s="5">
        <v>45685</v>
      </c>
      <c r="C1632" t="s">
        <v>63</v>
      </c>
      <c r="D1632" t="s">
        <v>64</v>
      </c>
      <c r="E1632" s="9">
        <v>4</v>
      </c>
      <c r="F1632" s="10">
        <v>145</v>
      </c>
      <c r="G1632" s="11">
        <v>0.15</v>
      </c>
      <c r="H1632" s="10">
        <v>493</v>
      </c>
      <c r="I1632" s="9">
        <v>0</v>
      </c>
      <c r="J1632" s="10">
        <v>0</v>
      </c>
      <c r="K1632" s="9">
        <v>4</v>
      </c>
      <c r="L1632" s="10">
        <v>493</v>
      </c>
      <c r="M1632" s="10">
        <v>333.24</v>
      </c>
      <c r="N1632" s="10">
        <v>159.76</v>
      </c>
      <c r="O1632" s="11">
        <f t="shared" si="98"/>
        <v>0.32405679513184582</v>
      </c>
      <c r="P1632" s="10">
        <v>28.11</v>
      </c>
      <c r="Q1632" s="10">
        <v>131.65</v>
      </c>
      <c r="R1632" s="11">
        <f t="shared" si="99"/>
        <v>0.26703853955375256</v>
      </c>
      <c r="S1632" t="s">
        <v>65</v>
      </c>
      <c r="T1632" t="s">
        <v>66</v>
      </c>
      <c r="U1632" t="s">
        <v>67</v>
      </c>
    </row>
    <row r="1633" spans="1:21" x14ac:dyDescent="0.35">
      <c r="A1633" t="s">
        <v>1762</v>
      </c>
      <c r="B1633" s="5">
        <v>45960</v>
      </c>
      <c r="C1633" t="s">
        <v>107</v>
      </c>
      <c r="D1633" t="s">
        <v>74</v>
      </c>
      <c r="E1633" s="9">
        <v>3</v>
      </c>
      <c r="F1633" s="10">
        <v>125</v>
      </c>
      <c r="G1633" s="11">
        <v>0.1</v>
      </c>
      <c r="H1633" s="10">
        <v>337.5</v>
      </c>
      <c r="I1633" s="9">
        <v>0</v>
      </c>
      <c r="J1633" s="10">
        <v>0</v>
      </c>
      <c r="K1633" s="9">
        <v>3</v>
      </c>
      <c r="L1633" s="10">
        <v>337.5</v>
      </c>
      <c r="M1633" s="10">
        <v>285.75</v>
      </c>
      <c r="N1633" s="10">
        <v>51.75</v>
      </c>
      <c r="O1633" s="11">
        <f t="shared" si="98"/>
        <v>0.15333333333333332</v>
      </c>
      <c r="P1633" s="10">
        <v>24.21</v>
      </c>
      <c r="Q1633" s="10">
        <v>27.54</v>
      </c>
      <c r="R1633" s="11">
        <f t="shared" si="99"/>
        <v>8.1599999999999992E-2</v>
      </c>
      <c r="S1633" t="s">
        <v>81</v>
      </c>
      <c r="T1633" t="s">
        <v>82</v>
      </c>
      <c r="U1633" t="s">
        <v>71</v>
      </c>
    </row>
    <row r="1634" spans="1:21" x14ac:dyDescent="0.35">
      <c r="A1634" t="s">
        <v>1763</v>
      </c>
      <c r="B1634" s="5">
        <v>45991</v>
      </c>
      <c r="C1634" t="s">
        <v>95</v>
      </c>
      <c r="D1634" t="s">
        <v>64</v>
      </c>
      <c r="E1634" s="9">
        <v>5</v>
      </c>
      <c r="F1634" s="10">
        <v>52</v>
      </c>
      <c r="G1634" s="11">
        <v>0.1</v>
      </c>
      <c r="H1634" s="10">
        <v>234</v>
      </c>
      <c r="I1634" s="9">
        <v>0</v>
      </c>
      <c r="J1634" s="10">
        <v>0</v>
      </c>
      <c r="K1634" s="9">
        <v>5</v>
      </c>
      <c r="L1634" s="10">
        <v>234</v>
      </c>
      <c r="M1634" s="10">
        <v>160.41</v>
      </c>
      <c r="N1634" s="10">
        <v>73.59</v>
      </c>
      <c r="O1634" s="11">
        <f t="shared" si="98"/>
        <v>0.31448717948717952</v>
      </c>
      <c r="P1634" s="10">
        <v>20.76</v>
      </c>
      <c r="Q1634" s="10">
        <v>52.83</v>
      </c>
      <c r="R1634" s="11">
        <f t="shared" si="99"/>
        <v>0.22576923076923075</v>
      </c>
      <c r="S1634" t="s">
        <v>65</v>
      </c>
      <c r="T1634" t="s">
        <v>66</v>
      </c>
      <c r="U1634" t="s">
        <v>76</v>
      </c>
    </row>
    <row r="1635" spans="1:21" x14ac:dyDescent="0.35">
      <c r="A1635" t="s">
        <v>1764</v>
      </c>
      <c r="B1635" s="5">
        <v>45991</v>
      </c>
      <c r="C1635" t="s">
        <v>121</v>
      </c>
      <c r="D1635" t="s">
        <v>70</v>
      </c>
      <c r="E1635" s="9">
        <v>2</v>
      </c>
      <c r="F1635" s="10">
        <v>110</v>
      </c>
      <c r="G1635" s="11">
        <v>0.15</v>
      </c>
      <c r="H1635" s="10">
        <v>187</v>
      </c>
      <c r="I1635" s="9">
        <v>0</v>
      </c>
      <c r="J1635" s="10">
        <v>0</v>
      </c>
      <c r="K1635" s="9">
        <v>2</v>
      </c>
      <c r="L1635" s="10">
        <v>187</v>
      </c>
      <c r="M1635" s="10">
        <v>147.13</v>
      </c>
      <c r="N1635" s="10">
        <v>39.869999999999997</v>
      </c>
      <c r="O1635" s="11">
        <f t="shared" si="98"/>
        <v>0.21320855614973261</v>
      </c>
      <c r="P1635" s="10">
        <v>12.23</v>
      </c>
      <c r="Q1635" s="10">
        <v>27.64</v>
      </c>
      <c r="R1635" s="11">
        <f t="shared" si="99"/>
        <v>0.14780748663101603</v>
      </c>
      <c r="S1635" t="s">
        <v>65</v>
      </c>
      <c r="T1635" t="s">
        <v>66</v>
      </c>
      <c r="U1635" t="s">
        <v>76</v>
      </c>
    </row>
    <row r="1636" spans="1:21" x14ac:dyDescent="0.35">
      <c r="A1636" t="s">
        <v>1765</v>
      </c>
      <c r="B1636" s="5">
        <v>46022</v>
      </c>
      <c r="C1636" t="s">
        <v>95</v>
      </c>
      <c r="D1636" t="s">
        <v>64</v>
      </c>
      <c r="E1636" s="9">
        <v>6</v>
      </c>
      <c r="F1636" s="10">
        <v>52</v>
      </c>
      <c r="G1636" s="11">
        <v>0.15</v>
      </c>
      <c r="H1636" s="10">
        <v>265.2</v>
      </c>
      <c r="I1636" s="9">
        <v>0</v>
      </c>
      <c r="J1636" s="10">
        <v>0</v>
      </c>
      <c r="K1636" s="9">
        <v>6</v>
      </c>
      <c r="L1636" s="10">
        <v>265.2</v>
      </c>
      <c r="M1636" s="10">
        <v>174.87</v>
      </c>
      <c r="N1636" s="10">
        <v>90.33</v>
      </c>
      <c r="O1636" s="11">
        <f t="shared" si="98"/>
        <v>0.3406108597285068</v>
      </c>
      <c r="P1636" s="10">
        <v>20.260000000000002</v>
      </c>
      <c r="Q1636" s="10">
        <v>70.069999999999993</v>
      </c>
      <c r="R1636" s="11">
        <f t="shared" si="99"/>
        <v>0.26421568627450981</v>
      </c>
      <c r="S1636" t="s">
        <v>65</v>
      </c>
      <c r="T1636" t="s">
        <v>82</v>
      </c>
      <c r="U1636" t="s">
        <v>71</v>
      </c>
    </row>
    <row r="1637" spans="1:21" x14ac:dyDescent="0.35">
      <c r="A1637" t="s">
        <v>1766</v>
      </c>
      <c r="B1637" s="5">
        <v>45692</v>
      </c>
      <c r="C1637" t="s">
        <v>104</v>
      </c>
      <c r="D1637" t="s">
        <v>105</v>
      </c>
      <c r="E1637" s="9">
        <v>1</v>
      </c>
      <c r="F1637" s="10">
        <v>65</v>
      </c>
      <c r="G1637" s="11">
        <v>0.05</v>
      </c>
      <c r="H1637" s="10">
        <v>61.75</v>
      </c>
      <c r="I1637" s="9">
        <v>0</v>
      </c>
      <c r="J1637" s="10">
        <v>0</v>
      </c>
      <c r="K1637" s="9">
        <v>1</v>
      </c>
      <c r="L1637" s="10">
        <v>61.75</v>
      </c>
      <c r="M1637" s="10">
        <v>48.85</v>
      </c>
      <c r="N1637" s="10">
        <v>12.9</v>
      </c>
      <c r="O1637" s="11">
        <f t="shared" si="98"/>
        <v>0.20890688259109313</v>
      </c>
      <c r="P1637" s="10">
        <v>5</v>
      </c>
      <c r="Q1637" s="10">
        <v>7.9</v>
      </c>
      <c r="R1637" s="11">
        <f t="shared" si="99"/>
        <v>0.12793522267206478</v>
      </c>
      <c r="S1637" t="s">
        <v>59</v>
      </c>
      <c r="T1637" t="s">
        <v>60</v>
      </c>
      <c r="U1637" t="s">
        <v>67</v>
      </c>
    </row>
    <row r="1638" spans="1:21" x14ac:dyDescent="0.35">
      <c r="A1638" t="s">
        <v>1767</v>
      </c>
      <c r="B1638" s="5">
        <v>45795</v>
      </c>
      <c r="C1638" t="s">
        <v>90</v>
      </c>
      <c r="D1638" t="s">
        <v>70</v>
      </c>
      <c r="E1638" s="9">
        <v>1</v>
      </c>
      <c r="F1638" s="10">
        <v>38</v>
      </c>
      <c r="G1638" s="11">
        <v>0</v>
      </c>
      <c r="H1638" s="10">
        <v>38</v>
      </c>
      <c r="I1638" s="9">
        <v>0</v>
      </c>
      <c r="J1638" s="10">
        <v>0</v>
      </c>
      <c r="K1638" s="9">
        <v>1</v>
      </c>
      <c r="L1638" s="10">
        <v>38</v>
      </c>
      <c r="M1638" s="10">
        <v>26.7</v>
      </c>
      <c r="N1638" s="10">
        <v>11.3</v>
      </c>
      <c r="O1638" s="11">
        <f t="shared" si="98"/>
        <v>0.29736842105263162</v>
      </c>
      <c r="P1638" s="10">
        <v>3.36</v>
      </c>
      <c r="Q1638" s="10">
        <v>7.94</v>
      </c>
      <c r="R1638" s="11">
        <f t="shared" si="99"/>
        <v>0.20894736842105263</v>
      </c>
      <c r="S1638" t="s">
        <v>75</v>
      </c>
      <c r="T1638" t="s">
        <v>86</v>
      </c>
      <c r="U1638" t="s">
        <v>67</v>
      </c>
    </row>
    <row r="1639" spans="1:21" x14ac:dyDescent="0.35">
      <c r="A1639" t="s">
        <v>1768</v>
      </c>
      <c r="B1639" s="5">
        <v>45723</v>
      </c>
      <c r="C1639" t="s">
        <v>121</v>
      </c>
      <c r="D1639" t="s">
        <v>70</v>
      </c>
      <c r="E1639" s="9">
        <v>3</v>
      </c>
      <c r="F1639" s="10">
        <v>110</v>
      </c>
      <c r="G1639" s="11">
        <v>0.15</v>
      </c>
      <c r="H1639" s="10">
        <v>280.5</v>
      </c>
      <c r="I1639" s="9">
        <v>0</v>
      </c>
      <c r="J1639" s="10">
        <v>0</v>
      </c>
      <c r="K1639" s="9">
        <v>3</v>
      </c>
      <c r="L1639" s="10">
        <v>280.5</v>
      </c>
      <c r="M1639" s="10">
        <v>187.78</v>
      </c>
      <c r="N1639" s="10">
        <v>92.72</v>
      </c>
      <c r="O1639" s="11">
        <f t="shared" si="98"/>
        <v>0.33055258467023174</v>
      </c>
      <c r="P1639" s="10">
        <v>15</v>
      </c>
      <c r="Q1639" s="10">
        <v>77.72</v>
      </c>
      <c r="R1639" s="11">
        <f t="shared" si="99"/>
        <v>0.27707664884135474</v>
      </c>
      <c r="S1639" t="s">
        <v>59</v>
      </c>
      <c r="T1639" t="s">
        <v>66</v>
      </c>
      <c r="U1639" t="s">
        <v>76</v>
      </c>
    </row>
    <row r="1640" spans="1:21" x14ac:dyDescent="0.35">
      <c r="A1640" t="s">
        <v>1769</v>
      </c>
      <c r="B1640" s="5">
        <v>45678</v>
      </c>
      <c r="C1640" t="s">
        <v>107</v>
      </c>
      <c r="D1640" t="s">
        <v>74</v>
      </c>
      <c r="E1640" s="9">
        <v>2</v>
      </c>
      <c r="F1640" s="10">
        <v>125</v>
      </c>
      <c r="G1640" s="11">
        <v>0</v>
      </c>
      <c r="H1640" s="10">
        <v>250</v>
      </c>
      <c r="I1640" s="9">
        <v>0</v>
      </c>
      <c r="J1640" s="10">
        <v>0</v>
      </c>
      <c r="K1640" s="9">
        <v>2</v>
      </c>
      <c r="L1640" s="10">
        <v>250</v>
      </c>
      <c r="M1640" s="10">
        <v>207.01</v>
      </c>
      <c r="N1640" s="10">
        <v>42.99</v>
      </c>
      <c r="O1640" s="11">
        <f t="shared" si="98"/>
        <v>0.17196</v>
      </c>
      <c r="P1640" s="10">
        <v>31</v>
      </c>
      <c r="Q1640" s="10">
        <v>11.99</v>
      </c>
      <c r="R1640" s="11">
        <f t="shared" si="99"/>
        <v>4.7960000000000003E-2</v>
      </c>
      <c r="S1640" t="s">
        <v>81</v>
      </c>
      <c r="T1640" t="s">
        <v>86</v>
      </c>
      <c r="U1640" t="s">
        <v>71</v>
      </c>
    </row>
    <row r="1641" spans="1:21" x14ac:dyDescent="0.35">
      <c r="A1641" t="s">
        <v>1770</v>
      </c>
      <c r="B1641" s="5">
        <v>45764</v>
      </c>
      <c r="C1641" t="s">
        <v>88</v>
      </c>
      <c r="D1641" t="s">
        <v>57</v>
      </c>
      <c r="E1641" s="9">
        <v>3</v>
      </c>
      <c r="F1641" s="10">
        <v>30</v>
      </c>
      <c r="G1641" s="11">
        <v>0</v>
      </c>
      <c r="H1641" s="10">
        <v>90</v>
      </c>
      <c r="I1641" s="9">
        <v>0</v>
      </c>
      <c r="J1641" s="10">
        <v>0</v>
      </c>
      <c r="K1641" s="9">
        <v>3</v>
      </c>
      <c r="L1641" s="10">
        <v>90</v>
      </c>
      <c r="M1641" s="10">
        <v>69.92</v>
      </c>
      <c r="N1641" s="10">
        <v>20.079999999999998</v>
      </c>
      <c r="O1641" s="11">
        <f t="shared" si="98"/>
        <v>0.22311111111111109</v>
      </c>
      <c r="P1641" s="10">
        <v>11.25</v>
      </c>
      <c r="Q1641" s="10">
        <v>8.83</v>
      </c>
      <c r="R1641" s="11">
        <f t="shared" si="99"/>
        <v>9.8111111111111107E-2</v>
      </c>
      <c r="S1641" t="s">
        <v>75</v>
      </c>
      <c r="T1641" t="s">
        <v>86</v>
      </c>
      <c r="U1641" t="s">
        <v>76</v>
      </c>
    </row>
    <row r="1642" spans="1:21" x14ac:dyDescent="0.35">
      <c r="A1642" t="s">
        <v>1771</v>
      </c>
      <c r="B1642" s="5">
        <v>45907</v>
      </c>
      <c r="C1642" t="s">
        <v>90</v>
      </c>
      <c r="D1642" t="s">
        <v>70</v>
      </c>
      <c r="E1642" s="9">
        <v>2</v>
      </c>
      <c r="F1642" s="10">
        <v>38</v>
      </c>
      <c r="G1642" s="11">
        <v>0</v>
      </c>
      <c r="H1642" s="10">
        <v>76</v>
      </c>
      <c r="I1642" s="9">
        <v>0</v>
      </c>
      <c r="J1642" s="10">
        <v>0</v>
      </c>
      <c r="K1642" s="9">
        <v>2</v>
      </c>
      <c r="L1642" s="10">
        <v>76</v>
      </c>
      <c r="M1642" s="10">
        <v>48.79</v>
      </c>
      <c r="N1642" s="10">
        <v>27.21</v>
      </c>
      <c r="O1642" s="11">
        <f t="shared" si="98"/>
        <v>0.35802631578947369</v>
      </c>
      <c r="P1642" s="10">
        <v>8.2200000000000006</v>
      </c>
      <c r="Q1642" s="10">
        <v>18.989999999999998</v>
      </c>
      <c r="R1642" s="11">
        <f t="shared" si="99"/>
        <v>0.24986842105263155</v>
      </c>
      <c r="S1642" t="s">
        <v>75</v>
      </c>
      <c r="T1642" t="s">
        <v>86</v>
      </c>
      <c r="U1642" t="s">
        <v>76</v>
      </c>
    </row>
    <row r="1643" spans="1:21" x14ac:dyDescent="0.35">
      <c r="A1643" t="s">
        <v>1772</v>
      </c>
      <c r="B1643" s="5">
        <v>45967</v>
      </c>
      <c r="C1643" t="s">
        <v>117</v>
      </c>
      <c r="D1643" t="s">
        <v>74</v>
      </c>
      <c r="E1643" s="9">
        <v>5</v>
      </c>
      <c r="F1643" s="10">
        <v>95</v>
      </c>
      <c r="G1643" s="11">
        <v>0</v>
      </c>
      <c r="H1643" s="10">
        <v>475</v>
      </c>
      <c r="I1643" s="9">
        <v>1</v>
      </c>
      <c r="J1643" s="10">
        <v>95</v>
      </c>
      <c r="K1643" s="9">
        <v>4</v>
      </c>
      <c r="L1643" s="10">
        <v>380</v>
      </c>
      <c r="M1643" s="10">
        <v>239.73</v>
      </c>
      <c r="N1643" s="10">
        <v>140.27000000000001</v>
      </c>
      <c r="O1643" s="11">
        <f t="shared" si="98"/>
        <v>0.36913157894736842</v>
      </c>
      <c r="P1643" s="10">
        <v>21.52</v>
      </c>
      <c r="Q1643" s="10">
        <v>118.75</v>
      </c>
      <c r="R1643" s="11">
        <f t="shared" si="99"/>
        <v>0.3125</v>
      </c>
      <c r="S1643" t="s">
        <v>81</v>
      </c>
      <c r="T1643" t="s">
        <v>60</v>
      </c>
      <c r="U1643" t="s">
        <v>71</v>
      </c>
    </row>
    <row r="1644" spans="1:21" x14ac:dyDescent="0.35">
      <c r="A1644" t="s">
        <v>1773</v>
      </c>
      <c r="B1644" s="5">
        <v>45664</v>
      </c>
      <c r="C1644" t="s">
        <v>109</v>
      </c>
      <c r="D1644" t="s">
        <v>85</v>
      </c>
      <c r="E1644" s="9">
        <v>1</v>
      </c>
      <c r="F1644" s="10">
        <v>180</v>
      </c>
      <c r="G1644" s="11">
        <v>0.1</v>
      </c>
      <c r="H1644" s="10">
        <v>162</v>
      </c>
      <c r="I1644" s="9">
        <v>0</v>
      </c>
      <c r="J1644" s="10">
        <v>0</v>
      </c>
      <c r="K1644" s="9">
        <v>1</v>
      </c>
      <c r="L1644" s="10">
        <v>162</v>
      </c>
      <c r="M1644" s="10">
        <v>105.89</v>
      </c>
      <c r="N1644" s="10">
        <v>56.11</v>
      </c>
      <c r="O1644" s="11">
        <f t="shared" si="98"/>
        <v>0.34635802469135801</v>
      </c>
      <c r="P1644" s="10">
        <v>15.79</v>
      </c>
      <c r="Q1644" s="10">
        <v>40.32</v>
      </c>
      <c r="R1644" s="11">
        <f t="shared" si="99"/>
        <v>0.24888888888888888</v>
      </c>
      <c r="S1644" t="s">
        <v>59</v>
      </c>
      <c r="T1644" t="s">
        <v>82</v>
      </c>
      <c r="U1644" t="s">
        <v>67</v>
      </c>
    </row>
    <row r="1645" spans="1:21" x14ac:dyDescent="0.35">
      <c r="A1645" t="s">
        <v>1774</v>
      </c>
      <c r="B1645" s="5">
        <v>45776</v>
      </c>
      <c r="C1645" t="s">
        <v>90</v>
      </c>
      <c r="D1645" t="s">
        <v>70</v>
      </c>
      <c r="E1645" s="9">
        <v>3</v>
      </c>
      <c r="F1645" s="10">
        <v>38</v>
      </c>
      <c r="G1645" s="11">
        <v>0.1</v>
      </c>
      <c r="H1645" s="10">
        <v>102.6</v>
      </c>
      <c r="I1645" s="9">
        <v>0</v>
      </c>
      <c r="J1645" s="10">
        <v>0</v>
      </c>
      <c r="K1645" s="9">
        <v>3</v>
      </c>
      <c r="L1645" s="10">
        <v>102.6</v>
      </c>
      <c r="M1645" s="10">
        <v>65.05</v>
      </c>
      <c r="N1645" s="10">
        <v>37.549999999999997</v>
      </c>
      <c r="O1645" s="11">
        <f t="shared" si="98"/>
        <v>0.36598440545808963</v>
      </c>
      <c r="P1645" s="10">
        <v>9.74</v>
      </c>
      <c r="Q1645" s="10">
        <v>27.81</v>
      </c>
      <c r="R1645" s="11">
        <f t="shared" si="99"/>
        <v>0.27105263157894738</v>
      </c>
      <c r="S1645" t="s">
        <v>59</v>
      </c>
      <c r="T1645" t="s">
        <v>66</v>
      </c>
      <c r="U1645" t="s">
        <v>76</v>
      </c>
    </row>
    <row r="1646" spans="1:21" x14ac:dyDescent="0.35">
      <c r="A1646" t="s">
        <v>1775</v>
      </c>
      <c r="B1646" s="5">
        <v>45730</v>
      </c>
      <c r="C1646" t="s">
        <v>125</v>
      </c>
      <c r="D1646" t="s">
        <v>85</v>
      </c>
      <c r="E1646" s="9">
        <v>4</v>
      </c>
      <c r="F1646" s="10">
        <v>125</v>
      </c>
      <c r="G1646" s="11">
        <v>0.02</v>
      </c>
      <c r="H1646" s="10">
        <v>490</v>
      </c>
      <c r="I1646" s="9">
        <v>0</v>
      </c>
      <c r="J1646" s="10">
        <v>0</v>
      </c>
      <c r="K1646" s="9">
        <v>4</v>
      </c>
      <c r="L1646" s="10">
        <v>490</v>
      </c>
      <c r="M1646" s="10">
        <v>416.83</v>
      </c>
      <c r="N1646" s="10">
        <v>73.17</v>
      </c>
      <c r="O1646" s="11">
        <f t="shared" si="98"/>
        <v>0.14932653061224491</v>
      </c>
      <c r="P1646" s="10">
        <v>38.270000000000003</v>
      </c>
      <c r="Q1646" s="10">
        <v>34.9</v>
      </c>
      <c r="R1646" s="11">
        <f t="shared" si="99"/>
        <v>7.1224489795918361E-2</v>
      </c>
      <c r="S1646" t="s">
        <v>75</v>
      </c>
      <c r="T1646" t="s">
        <v>86</v>
      </c>
      <c r="U1646" t="s">
        <v>71</v>
      </c>
    </row>
    <row r="1647" spans="1:21" x14ac:dyDescent="0.35">
      <c r="A1647" t="s">
        <v>1776</v>
      </c>
      <c r="B1647" s="5">
        <v>45892</v>
      </c>
      <c r="C1647" t="s">
        <v>90</v>
      </c>
      <c r="D1647" t="s">
        <v>70</v>
      </c>
      <c r="E1647" s="9">
        <v>3</v>
      </c>
      <c r="F1647" s="10">
        <v>38</v>
      </c>
      <c r="G1647" s="11">
        <v>0.05</v>
      </c>
      <c r="H1647" s="10">
        <v>108.3</v>
      </c>
      <c r="I1647" s="9">
        <v>0</v>
      </c>
      <c r="J1647" s="10">
        <v>0</v>
      </c>
      <c r="K1647" s="9">
        <v>3</v>
      </c>
      <c r="L1647" s="10">
        <v>108.3</v>
      </c>
      <c r="M1647" s="10">
        <v>73.27</v>
      </c>
      <c r="N1647" s="10">
        <v>35.03</v>
      </c>
      <c r="O1647" s="11">
        <f t="shared" si="98"/>
        <v>0.32345337026777471</v>
      </c>
      <c r="P1647" s="10">
        <v>13.69</v>
      </c>
      <c r="Q1647" s="10">
        <v>21.34</v>
      </c>
      <c r="R1647" s="11">
        <f t="shared" si="99"/>
        <v>0.19704524469067405</v>
      </c>
      <c r="S1647" t="s">
        <v>59</v>
      </c>
      <c r="T1647" t="s">
        <v>66</v>
      </c>
      <c r="U1647" t="s">
        <v>71</v>
      </c>
    </row>
    <row r="1648" spans="1:21" x14ac:dyDescent="0.35">
      <c r="A1648" t="s">
        <v>1777</v>
      </c>
      <c r="B1648" s="5">
        <v>45788</v>
      </c>
      <c r="C1648" t="s">
        <v>73</v>
      </c>
      <c r="D1648" t="s">
        <v>74</v>
      </c>
      <c r="E1648" s="9">
        <v>3</v>
      </c>
      <c r="F1648" s="10">
        <v>280</v>
      </c>
      <c r="G1648" s="11">
        <v>0.02</v>
      </c>
      <c r="H1648" s="10">
        <v>823.2</v>
      </c>
      <c r="I1648" s="9">
        <v>0</v>
      </c>
      <c r="J1648" s="10">
        <v>0</v>
      </c>
      <c r="K1648" s="9">
        <v>3</v>
      </c>
      <c r="L1648" s="10">
        <v>823.2</v>
      </c>
      <c r="M1648" s="10">
        <v>678.31</v>
      </c>
      <c r="N1648" s="10">
        <v>144.88999999999999</v>
      </c>
      <c r="O1648" s="11">
        <f t="shared" si="98"/>
        <v>0.17600826044703594</v>
      </c>
      <c r="P1648" s="10">
        <v>74.63</v>
      </c>
      <c r="Q1648" s="10">
        <v>70.260000000000005</v>
      </c>
      <c r="R1648" s="11">
        <f t="shared" si="99"/>
        <v>8.534985422740525E-2</v>
      </c>
      <c r="S1648" t="s">
        <v>59</v>
      </c>
      <c r="T1648" t="s">
        <v>66</v>
      </c>
      <c r="U1648" t="s">
        <v>67</v>
      </c>
    </row>
    <row r="1649" spans="1:21" x14ac:dyDescent="0.35">
      <c r="A1649" t="s">
        <v>1778</v>
      </c>
      <c r="B1649" s="5">
        <v>45815</v>
      </c>
      <c r="C1649" t="s">
        <v>107</v>
      </c>
      <c r="D1649" t="s">
        <v>74</v>
      </c>
      <c r="E1649" s="9">
        <v>1</v>
      </c>
      <c r="F1649" s="10">
        <v>125</v>
      </c>
      <c r="G1649" s="11">
        <v>0</v>
      </c>
      <c r="H1649" s="10">
        <v>125</v>
      </c>
      <c r="I1649" s="9">
        <v>0</v>
      </c>
      <c r="J1649" s="10">
        <v>0</v>
      </c>
      <c r="K1649" s="9">
        <v>1</v>
      </c>
      <c r="L1649" s="10">
        <v>125</v>
      </c>
      <c r="M1649" s="10">
        <v>92.53</v>
      </c>
      <c r="N1649" s="10">
        <v>32.47</v>
      </c>
      <c r="O1649" s="11">
        <f t="shared" si="98"/>
        <v>0.25975999999999999</v>
      </c>
      <c r="P1649" s="10">
        <v>11.67</v>
      </c>
      <c r="Q1649" s="10">
        <v>20.8</v>
      </c>
      <c r="R1649" s="11">
        <f t="shared" si="99"/>
        <v>0.16639999999999999</v>
      </c>
      <c r="S1649" t="s">
        <v>59</v>
      </c>
      <c r="T1649" t="s">
        <v>60</v>
      </c>
      <c r="U1649" t="s">
        <v>71</v>
      </c>
    </row>
    <row r="1650" spans="1:21" x14ac:dyDescent="0.35">
      <c r="A1650" t="s">
        <v>1779</v>
      </c>
      <c r="B1650" s="5">
        <v>45899</v>
      </c>
      <c r="C1650" t="s">
        <v>90</v>
      </c>
      <c r="D1650" t="s">
        <v>70</v>
      </c>
      <c r="E1650" s="9">
        <v>1</v>
      </c>
      <c r="F1650" s="10">
        <v>38</v>
      </c>
      <c r="G1650" s="11">
        <v>0</v>
      </c>
      <c r="H1650" s="10">
        <v>38</v>
      </c>
      <c r="I1650" s="9">
        <v>0</v>
      </c>
      <c r="J1650" s="10">
        <v>0</v>
      </c>
      <c r="K1650" s="9">
        <v>1</v>
      </c>
      <c r="L1650" s="10">
        <v>38</v>
      </c>
      <c r="M1650" s="10">
        <v>31.26</v>
      </c>
      <c r="N1650" s="10">
        <v>6.74</v>
      </c>
      <c r="O1650" s="11">
        <f t="shared" si="98"/>
        <v>0.17736842105263159</v>
      </c>
      <c r="P1650" s="10">
        <v>2.14</v>
      </c>
      <c r="Q1650" s="10">
        <v>4.5999999999999996</v>
      </c>
      <c r="R1650" s="11">
        <f t="shared" si="99"/>
        <v>0.12105263157894736</v>
      </c>
      <c r="S1650" t="s">
        <v>81</v>
      </c>
      <c r="T1650" t="s">
        <v>60</v>
      </c>
      <c r="U1650" t="s">
        <v>61</v>
      </c>
    </row>
    <row r="1651" spans="1:21" x14ac:dyDescent="0.35">
      <c r="A1651" t="s">
        <v>1780</v>
      </c>
      <c r="B1651" s="5">
        <v>45795</v>
      </c>
      <c r="C1651" t="s">
        <v>97</v>
      </c>
      <c r="D1651" t="s">
        <v>57</v>
      </c>
      <c r="E1651" s="9">
        <v>4</v>
      </c>
      <c r="F1651" s="10">
        <v>55</v>
      </c>
      <c r="G1651" s="11">
        <v>0.05</v>
      </c>
      <c r="H1651" s="10">
        <v>209</v>
      </c>
      <c r="I1651" s="9">
        <v>0</v>
      </c>
      <c r="J1651" s="10">
        <v>0</v>
      </c>
      <c r="K1651" s="9">
        <v>4</v>
      </c>
      <c r="L1651" s="10">
        <v>209</v>
      </c>
      <c r="M1651" s="10">
        <v>147.66</v>
      </c>
      <c r="N1651" s="10">
        <v>61.34</v>
      </c>
      <c r="O1651" s="11">
        <f t="shared" si="98"/>
        <v>0.29349282296650719</v>
      </c>
      <c r="P1651" s="10">
        <v>26.87</v>
      </c>
      <c r="Q1651" s="10">
        <v>34.47</v>
      </c>
      <c r="R1651" s="11">
        <f t="shared" si="99"/>
        <v>0.16492822966507176</v>
      </c>
      <c r="S1651" t="s">
        <v>81</v>
      </c>
      <c r="T1651" t="s">
        <v>82</v>
      </c>
      <c r="U1651" t="s">
        <v>67</v>
      </c>
    </row>
    <row r="1652" spans="1:21" x14ac:dyDescent="0.35">
      <c r="A1652" t="s">
        <v>1781</v>
      </c>
      <c r="B1652" s="5">
        <v>45966</v>
      </c>
      <c r="C1652" t="s">
        <v>92</v>
      </c>
      <c r="D1652" t="s">
        <v>79</v>
      </c>
      <c r="E1652" s="9">
        <v>2</v>
      </c>
      <c r="F1652" s="10">
        <v>85</v>
      </c>
      <c r="G1652" s="11">
        <v>0.02</v>
      </c>
      <c r="H1652" s="10">
        <v>166.6</v>
      </c>
      <c r="I1652" s="9">
        <v>0</v>
      </c>
      <c r="J1652" s="10">
        <v>0</v>
      </c>
      <c r="K1652" s="9">
        <v>2</v>
      </c>
      <c r="L1652" s="10">
        <v>166.6</v>
      </c>
      <c r="M1652" s="10">
        <v>113.31</v>
      </c>
      <c r="N1652" s="10">
        <v>53.29</v>
      </c>
      <c r="O1652" s="11">
        <f t="shared" si="98"/>
        <v>0.31986794717887157</v>
      </c>
      <c r="P1652" s="10">
        <v>19.66</v>
      </c>
      <c r="Q1652" s="10">
        <v>33.630000000000003</v>
      </c>
      <c r="R1652" s="11">
        <f t="shared" si="99"/>
        <v>0.20186074429771911</v>
      </c>
      <c r="S1652" t="s">
        <v>81</v>
      </c>
      <c r="T1652" t="s">
        <v>82</v>
      </c>
      <c r="U1652" t="s">
        <v>71</v>
      </c>
    </row>
    <row r="1653" spans="1:21" x14ac:dyDescent="0.35">
      <c r="A1653" t="s">
        <v>1782</v>
      </c>
      <c r="B1653" s="5">
        <v>45733</v>
      </c>
      <c r="C1653" t="s">
        <v>97</v>
      </c>
      <c r="D1653" t="s">
        <v>57</v>
      </c>
      <c r="E1653" s="9">
        <v>1</v>
      </c>
      <c r="F1653" s="10">
        <v>55</v>
      </c>
      <c r="G1653" s="11">
        <v>0</v>
      </c>
      <c r="H1653" s="10">
        <v>55</v>
      </c>
      <c r="I1653" s="9">
        <v>0</v>
      </c>
      <c r="J1653" s="10">
        <v>0</v>
      </c>
      <c r="K1653" s="9">
        <v>1</v>
      </c>
      <c r="L1653" s="10">
        <v>55</v>
      </c>
      <c r="M1653" s="10">
        <v>42.64</v>
      </c>
      <c r="N1653" s="10">
        <v>12.36</v>
      </c>
      <c r="O1653" s="11">
        <f t="shared" si="98"/>
        <v>0.22472727272727272</v>
      </c>
      <c r="P1653" s="10">
        <v>4.4400000000000004</v>
      </c>
      <c r="Q1653" s="10">
        <v>7.92</v>
      </c>
      <c r="R1653" s="11">
        <f t="shared" si="99"/>
        <v>0.14399999999999999</v>
      </c>
      <c r="S1653" t="s">
        <v>59</v>
      </c>
      <c r="T1653" t="s">
        <v>66</v>
      </c>
      <c r="U1653" t="s">
        <v>67</v>
      </c>
    </row>
    <row r="1654" spans="1:21" x14ac:dyDescent="0.35">
      <c r="A1654" t="s">
        <v>1783</v>
      </c>
      <c r="B1654" s="5">
        <v>45782</v>
      </c>
      <c r="C1654" t="s">
        <v>92</v>
      </c>
      <c r="D1654" t="s">
        <v>79</v>
      </c>
      <c r="E1654" s="9">
        <v>1</v>
      </c>
      <c r="F1654" s="10">
        <v>85</v>
      </c>
      <c r="G1654" s="11">
        <v>0</v>
      </c>
      <c r="H1654" s="10">
        <v>85</v>
      </c>
      <c r="I1654" s="9">
        <v>0</v>
      </c>
      <c r="J1654" s="10">
        <v>0</v>
      </c>
      <c r="K1654" s="9">
        <v>1</v>
      </c>
      <c r="L1654" s="10">
        <v>85</v>
      </c>
      <c r="M1654" s="10">
        <v>60.83</v>
      </c>
      <c r="N1654" s="10">
        <v>24.17</v>
      </c>
      <c r="O1654" s="11">
        <f t="shared" si="98"/>
        <v>0.28435294117647059</v>
      </c>
      <c r="P1654" s="10">
        <v>7.22</v>
      </c>
      <c r="Q1654" s="10">
        <v>16.95</v>
      </c>
      <c r="R1654" s="11">
        <f t="shared" si="99"/>
        <v>0.19941176470588234</v>
      </c>
      <c r="S1654" t="s">
        <v>65</v>
      </c>
      <c r="T1654" t="s">
        <v>86</v>
      </c>
      <c r="U1654" t="s">
        <v>67</v>
      </c>
    </row>
    <row r="1655" spans="1:21" x14ac:dyDescent="0.35">
      <c r="A1655" t="s">
        <v>1784</v>
      </c>
      <c r="B1655" s="5">
        <v>45733</v>
      </c>
      <c r="C1655" t="s">
        <v>56</v>
      </c>
      <c r="D1655" t="s">
        <v>57</v>
      </c>
      <c r="E1655" s="9">
        <v>4</v>
      </c>
      <c r="F1655" s="10">
        <v>40</v>
      </c>
      <c r="G1655" s="11">
        <v>0</v>
      </c>
      <c r="H1655" s="10">
        <v>160</v>
      </c>
      <c r="I1655" s="9">
        <v>0</v>
      </c>
      <c r="J1655" s="10">
        <v>0</v>
      </c>
      <c r="K1655" s="9">
        <v>4</v>
      </c>
      <c r="L1655" s="10">
        <v>160</v>
      </c>
      <c r="M1655" s="10">
        <v>112.2</v>
      </c>
      <c r="N1655" s="10">
        <v>47.8</v>
      </c>
      <c r="O1655" s="11">
        <f t="shared" si="98"/>
        <v>0.29874999999999996</v>
      </c>
      <c r="P1655" s="10">
        <v>10.71</v>
      </c>
      <c r="Q1655" s="10">
        <v>37.090000000000003</v>
      </c>
      <c r="R1655" s="11">
        <f t="shared" si="99"/>
        <v>0.23181250000000003</v>
      </c>
      <c r="S1655" t="s">
        <v>59</v>
      </c>
      <c r="T1655" t="s">
        <v>86</v>
      </c>
      <c r="U1655" t="s">
        <v>76</v>
      </c>
    </row>
    <row r="1656" spans="1:21" x14ac:dyDescent="0.35">
      <c r="A1656" t="s">
        <v>1785</v>
      </c>
      <c r="B1656" s="5">
        <v>45883</v>
      </c>
      <c r="C1656" t="s">
        <v>109</v>
      </c>
      <c r="D1656" t="s">
        <v>85</v>
      </c>
      <c r="E1656" s="9">
        <v>8</v>
      </c>
      <c r="F1656" s="10">
        <v>180</v>
      </c>
      <c r="G1656" s="11">
        <v>0</v>
      </c>
      <c r="H1656" s="10">
        <v>1440</v>
      </c>
      <c r="I1656" s="9">
        <v>0</v>
      </c>
      <c r="J1656" s="10">
        <v>0</v>
      </c>
      <c r="K1656" s="9">
        <v>8</v>
      </c>
      <c r="L1656" s="10">
        <v>1440</v>
      </c>
      <c r="M1656" s="10">
        <v>904.69</v>
      </c>
      <c r="N1656" s="10">
        <v>535.30999999999995</v>
      </c>
      <c r="O1656" s="11">
        <f t="shared" si="98"/>
        <v>0.37174305555555553</v>
      </c>
      <c r="P1656" s="10">
        <v>94.42</v>
      </c>
      <c r="Q1656" s="10">
        <v>440.89</v>
      </c>
      <c r="R1656" s="11">
        <f t="shared" si="99"/>
        <v>0.30617361111111108</v>
      </c>
      <c r="S1656" t="s">
        <v>75</v>
      </c>
      <c r="T1656" t="s">
        <v>86</v>
      </c>
      <c r="U1656" t="s">
        <v>76</v>
      </c>
    </row>
    <row r="1657" spans="1:21" x14ac:dyDescent="0.35">
      <c r="A1657" t="s">
        <v>1786</v>
      </c>
      <c r="B1657" s="5">
        <v>45873</v>
      </c>
      <c r="C1657" t="s">
        <v>109</v>
      </c>
      <c r="D1657" t="s">
        <v>85</v>
      </c>
      <c r="E1657" s="9">
        <v>8</v>
      </c>
      <c r="F1657" s="10">
        <v>180</v>
      </c>
      <c r="G1657" s="11">
        <v>0</v>
      </c>
      <c r="H1657" s="10">
        <v>1440</v>
      </c>
      <c r="I1657" s="9">
        <v>0</v>
      </c>
      <c r="J1657" s="10">
        <v>0</v>
      </c>
      <c r="K1657" s="9">
        <v>8</v>
      </c>
      <c r="L1657" s="10">
        <v>1440</v>
      </c>
      <c r="M1657" s="10">
        <v>1148.08</v>
      </c>
      <c r="N1657" s="10">
        <v>291.92</v>
      </c>
      <c r="O1657" s="11">
        <f t="shared" si="98"/>
        <v>0.20272222222222222</v>
      </c>
      <c r="P1657" s="10">
        <v>171.33</v>
      </c>
      <c r="Q1657" s="10">
        <v>120.59</v>
      </c>
      <c r="R1657" s="11">
        <f t="shared" si="99"/>
        <v>8.3743055555555557E-2</v>
      </c>
      <c r="S1657" t="s">
        <v>65</v>
      </c>
      <c r="T1657" t="s">
        <v>66</v>
      </c>
      <c r="U1657" t="s">
        <v>76</v>
      </c>
    </row>
    <row r="1658" spans="1:21" x14ac:dyDescent="0.35">
      <c r="A1658" t="s">
        <v>1787</v>
      </c>
      <c r="B1658" s="5">
        <v>45778</v>
      </c>
      <c r="C1658" t="s">
        <v>95</v>
      </c>
      <c r="D1658" t="s">
        <v>64</v>
      </c>
      <c r="E1658" s="9">
        <v>2</v>
      </c>
      <c r="F1658" s="10">
        <v>52</v>
      </c>
      <c r="G1658" s="11">
        <v>0</v>
      </c>
      <c r="H1658" s="10">
        <v>104</v>
      </c>
      <c r="I1658" s="9">
        <v>0</v>
      </c>
      <c r="J1658" s="10">
        <v>0</v>
      </c>
      <c r="K1658" s="9">
        <v>2</v>
      </c>
      <c r="L1658" s="10">
        <v>104</v>
      </c>
      <c r="M1658" s="10">
        <v>81.73</v>
      </c>
      <c r="N1658" s="10">
        <v>22.27</v>
      </c>
      <c r="O1658" s="11">
        <f t="shared" si="98"/>
        <v>0.21413461538461537</v>
      </c>
      <c r="P1658" s="10">
        <v>12.31</v>
      </c>
      <c r="Q1658" s="10">
        <v>9.9600000000000009</v>
      </c>
      <c r="R1658" s="11">
        <f t="shared" si="99"/>
        <v>9.5769230769230773E-2</v>
      </c>
      <c r="S1658" t="s">
        <v>81</v>
      </c>
      <c r="T1658" t="s">
        <v>86</v>
      </c>
      <c r="U1658" t="s">
        <v>67</v>
      </c>
    </row>
    <row r="1659" spans="1:21" x14ac:dyDescent="0.35">
      <c r="A1659" t="s">
        <v>1788</v>
      </c>
      <c r="B1659" s="5">
        <v>45899</v>
      </c>
      <c r="C1659" t="s">
        <v>104</v>
      </c>
      <c r="D1659" t="s">
        <v>105</v>
      </c>
      <c r="E1659" s="9">
        <v>3</v>
      </c>
      <c r="F1659" s="10">
        <v>65</v>
      </c>
      <c r="G1659" s="11">
        <v>0.15</v>
      </c>
      <c r="H1659" s="10">
        <v>165.75</v>
      </c>
      <c r="I1659" s="9">
        <v>0</v>
      </c>
      <c r="J1659" s="10">
        <v>0</v>
      </c>
      <c r="K1659" s="9">
        <v>3</v>
      </c>
      <c r="L1659" s="10">
        <v>165.75</v>
      </c>
      <c r="M1659" s="10">
        <v>137.72999999999999</v>
      </c>
      <c r="N1659" s="10">
        <v>28.02</v>
      </c>
      <c r="O1659" s="11">
        <f t="shared" ref="O1659:O1682" si="100">N1659/L1659</f>
        <v>0.16904977375565611</v>
      </c>
      <c r="P1659" s="10">
        <v>12.15</v>
      </c>
      <c r="Q1659" s="10">
        <v>15.87</v>
      </c>
      <c r="R1659" s="11">
        <f t="shared" ref="R1659:R1682" si="101">Q1659/L1659</f>
        <v>9.5746606334841625E-2</v>
      </c>
      <c r="S1659" t="s">
        <v>59</v>
      </c>
      <c r="T1659" t="s">
        <v>86</v>
      </c>
      <c r="U1659" t="s">
        <v>76</v>
      </c>
    </row>
    <row r="1660" spans="1:21" x14ac:dyDescent="0.35">
      <c r="A1660" t="s">
        <v>1789</v>
      </c>
      <c r="B1660" s="5">
        <v>45678</v>
      </c>
      <c r="C1660" t="s">
        <v>121</v>
      </c>
      <c r="D1660" t="s">
        <v>70</v>
      </c>
      <c r="E1660" s="9">
        <v>2</v>
      </c>
      <c r="F1660" s="10">
        <v>110</v>
      </c>
      <c r="G1660" s="11">
        <v>0</v>
      </c>
      <c r="H1660" s="10">
        <v>220</v>
      </c>
      <c r="I1660" s="9">
        <v>0</v>
      </c>
      <c r="J1660" s="10">
        <v>0</v>
      </c>
      <c r="K1660" s="9">
        <v>2</v>
      </c>
      <c r="L1660" s="10">
        <v>220</v>
      </c>
      <c r="M1660" s="10">
        <v>187.68</v>
      </c>
      <c r="N1660" s="10">
        <v>32.32</v>
      </c>
      <c r="O1660" s="11">
        <f t="shared" si="100"/>
        <v>0.14690909090909091</v>
      </c>
      <c r="P1660" s="10">
        <v>17.149999999999999</v>
      </c>
      <c r="Q1660" s="10">
        <v>15.17</v>
      </c>
      <c r="R1660" s="11">
        <f t="shared" si="101"/>
        <v>6.8954545454545449E-2</v>
      </c>
      <c r="S1660" t="s">
        <v>81</v>
      </c>
      <c r="T1660" t="s">
        <v>66</v>
      </c>
      <c r="U1660" t="s">
        <v>67</v>
      </c>
    </row>
    <row r="1661" spans="1:21" x14ac:dyDescent="0.35">
      <c r="A1661" t="s">
        <v>1790</v>
      </c>
      <c r="B1661" s="5">
        <v>45878</v>
      </c>
      <c r="C1661" t="s">
        <v>109</v>
      </c>
      <c r="D1661" t="s">
        <v>85</v>
      </c>
      <c r="E1661" s="9">
        <v>3</v>
      </c>
      <c r="F1661" s="10">
        <v>180</v>
      </c>
      <c r="G1661" s="11">
        <v>0.05</v>
      </c>
      <c r="H1661" s="10">
        <v>513</v>
      </c>
      <c r="I1661" s="9">
        <v>0</v>
      </c>
      <c r="J1661" s="10">
        <v>0</v>
      </c>
      <c r="K1661" s="9">
        <v>3</v>
      </c>
      <c r="L1661" s="10">
        <v>513</v>
      </c>
      <c r="M1661" s="10">
        <v>393.88</v>
      </c>
      <c r="N1661" s="10">
        <v>119.12</v>
      </c>
      <c r="O1661" s="11">
        <f t="shared" si="100"/>
        <v>0.23220272904483433</v>
      </c>
      <c r="P1661" s="10">
        <v>47.85</v>
      </c>
      <c r="Q1661" s="10">
        <v>71.27</v>
      </c>
      <c r="R1661" s="11">
        <f t="shared" si="101"/>
        <v>0.13892787524366471</v>
      </c>
      <c r="S1661" t="s">
        <v>59</v>
      </c>
      <c r="T1661" t="s">
        <v>82</v>
      </c>
      <c r="U1661" t="s">
        <v>61</v>
      </c>
    </row>
    <row r="1662" spans="1:21" x14ac:dyDescent="0.35">
      <c r="A1662" t="s">
        <v>1791</v>
      </c>
      <c r="B1662" s="5">
        <v>45702</v>
      </c>
      <c r="C1662" t="s">
        <v>117</v>
      </c>
      <c r="D1662" t="s">
        <v>74</v>
      </c>
      <c r="E1662" s="9">
        <v>1</v>
      </c>
      <c r="F1662" s="10">
        <v>95</v>
      </c>
      <c r="G1662" s="11">
        <v>0</v>
      </c>
      <c r="H1662" s="10">
        <v>95</v>
      </c>
      <c r="I1662" s="9">
        <v>0</v>
      </c>
      <c r="J1662" s="10">
        <v>0</v>
      </c>
      <c r="K1662" s="9">
        <v>1</v>
      </c>
      <c r="L1662" s="10">
        <v>95</v>
      </c>
      <c r="M1662" s="10">
        <v>61.16</v>
      </c>
      <c r="N1662" s="10">
        <v>33.840000000000003</v>
      </c>
      <c r="O1662" s="11">
        <f t="shared" si="100"/>
        <v>0.35621052631578953</v>
      </c>
      <c r="P1662" s="10">
        <v>5.71</v>
      </c>
      <c r="Q1662" s="10">
        <v>28.13</v>
      </c>
      <c r="R1662" s="11">
        <f t="shared" si="101"/>
        <v>0.2961052631578947</v>
      </c>
      <c r="S1662" t="s">
        <v>81</v>
      </c>
      <c r="T1662" t="s">
        <v>86</v>
      </c>
      <c r="U1662" t="s">
        <v>61</v>
      </c>
    </row>
    <row r="1663" spans="1:21" x14ac:dyDescent="0.35">
      <c r="A1663" t="s">
        <v>1792</v>
      </c>
      <c r="B1663" s="5">
        <v>45724</v>
      </c>
      <c r="C1663" t="s">
        <v>84</v>
      </c>
      <c r="D1663" t="s">
        <v>85</v>
      </c>
      <c r="E1663" s="9">
        <v>2</v>
      </c>
      <c r="F1663" s="10">
        <v>48</v>
      </c>
      <c r="G1663" s="11">
        <v>0.02</v>
      </c>
      <c r="H1663" s="10">
        <v>94.08</v>
      </c>
      <c r="I1663" s="9">
        <v>0</v>
      </c>
      <c r="J1663" s="10">
        <v>0</v>
      </c>
      <c r="K1663" s="9">
        <v>2</v>
      </c>
      <c r="L1663" s="10">
        <v>94.08</v>
      </c>
      <c r="M1663" s="10">
        <v>68.430000000000007</v>
      </c>
      <c r="N1663" s="10">
        <v>25.65</v>
      </c>
      <c r="O1663" s="11">
        <f t="shared" si="100"/>
        <v>0.27264030612244899</v>
      </c>
      <c r="P1663" s="10">
        <v>5.08</v>
      </c>
      <c r="Q1663" s="10">
        <v>20.57</v>
      </c>
      <c r="R1663" s="11">
        <f t="shared" si="101"/>
        <v>0.21864370748299319</v>
      </c>
      <c r="S1663" t="s">
        <v>2133</v>
      </c>
      <c r="T1663" t="s">
        <v>66</v>
      </c>
      <c r="U1663" t="s">
        <v>76</v>
      </c>
    </row>
    <row r="1664" spans="1:21" x14ac:dyDescent="0.35">
      <c r="A1664" t="s">
        <v>1793</v>
      </c>
      <c r="B1664" s="5">
        <v>45850</v>
      </c>
      <c r="C1664" t="s">
        <v>78</v>
      </c>
      <c r="D1664" t="s">
        <v>79</v>
      </c>
      <c r="E1664" s="9">
        <v>5</v>
      </c>
      <c r="F1664" s="10">
        <v>120</v>
      </c>
      <c r="G1664" s="11">
        <v>0</v>
      </c>
      <c r="H1664" s="10">
        <v>600</v>
      </c>
      <c r="I1664" s="9">
        <v>0</v>
      </c>
      <c r="J1664" s="10">
        <v>0</v>
      </c>
      <c r="K1664" s="9">
        <v>5</v>
      </c>
      <c r="L1664" s="10">
        <v>600</v>
      </c>
      <c r="M1664" s="10">
        <v>469.85</v>
      </c>
      <c r="N1664" s="10">
        <v>130.15</v>
      </c>
      <c r="O1664" s="11">
        <f t="shared" si="100"/>
        <v>0.21691666666666667</v>
      </c>
      <c r="P1664" s="10">
        <v>31.86</v>
      </c>
      <c r="Q1664" s="10">
        <v>98.29</v>
      </c>
      <c r="R1664" s="11">
        <f t="shared" si="101"/>
        <v>0.16381666666666667</v>
      </c>
      <c r="S1664" t="s">
        <v>75</v>
      </c>
      <c r="T1664" t="s">
        <v>66</v>
      </c>
      <c r="U1664" t="s">
        <v>71</v>
      </c>
    </row>
    <row r="1665" spans="1:21" x14ac:dyDescent="0.35">
      <c r="A1665" t="s">
        <v>1794</v>
      </c>
      <c r="B1665" s="5">
        <v>45887</v>
      </c>
      <c r="C1665" t="s">
        <v>90</v>
      </c>
      <c r="D1665" t="s">
        <v>70</v>
      </c>
      <c r="E1665" s="9">
        <v>6</v>
      </c>
      <c r="F1665" s="10">
        <v>38</v>
      </c>
      <c r="G1665" s="11">
        <v>0</v>
      </c>
      <c r="H1665" s="10">
        <v>228</v>
      </c>
      <c r="I1665" s="9">
        <v>0</v>
      </c>
      <c r="J1665" s="10">
        <v>0</v>
      </c>
      <c r="K1665" s="9">
        <v>6</v>
      </c>
      <c r="L1665" s="10">
        <v>228</v>
      </c>
      <c r="M1665" s="10">
        <v>162.85</v>
      </c>
      <c r="N1665" s="10">
        <v>65.150000000000006</v>
      </c>
      <c r="O1665" s="11">
        <f t="shared" si="100"/>
        <v>0.28574561403508775</v>
      </c>
      <c r="P1665" s="10">
        <v>26.59</v>
      </c>
      <c r="Q1665" s="10">
        <v>38.56</v>
      </c>
      <c r="R1665" s="11">
        <f t="shared" si="101"/>
        <v>0.16912280701754387</v>
      </c>
      <c r="S1665" t="s">
        <v>65</v>
      </c>
      <c r="T1665" t="s">
        <v>66</v>
      </c>
      <c r="U1665" t="s">
        <v>67</v>
      </c>
    </row>
    <row r="1666" spans="1:21" x14ac:dyDescent="0.35">
      <c r="A1666" t="s">
        <v>1795</v>
      </c>
      <c r="B1666" s="5">
        <v>46013</v>
      </c>
      <c r="C1666" t="s">
        <v>88</v>
      </c>
      <c r="D1666" t="s">
        <v>57</v>
      </c>
      <c r="E1666" s="9">
        <v>10</v>
      </c>
      <c r="F1666" s="10">
        <v>30</v>
      </c>
      <c r="G1666" s="11">
        <v>0.05</v>
      </c>
      <c r="H1666" s="10">
        <v>285</v>
      </c>
      <c r="I1666" s="9">
        <v>0</v>
      </c>
      <c r="J1666" s="10">
        <v>0</v>
      </c>
      <c r="K1666" s="9">
        <v>10</v>
      </c>
      <c r="L1666" s="10">
        <v>285</v>
      </c>
      <c r="M1666" s="10">
        <v>214.66</v>
      </c>
      <c r="N1666" s="10">
        <v>70.34</v>
      </c>
      <c r="O1666" s="11">
        <f t="shared" si="100"/>
        <v>0.24680701754385967</v>
      </c>
      <c r="P1666" s="10">
        <v>18.760000000000002</v>
      </c>
      <c r="Q1666" s="10">
        <v>51.58</v>
      </c>
      <c r="R1666" s="11">
        <f t="shared" si="101"/>
        <v>0.18098245614035088</v>
      </c>
      <c r="S1666" t="s">
        <v>81</v>
      </c>
      <c r="T1666" t="s">
        <v>82</v>
      </c>
      <c r="U1666" t="s">
        <v>71</v>
      </c>
    </row>
    <row r="1667" spans="1:21" x14ac:dyDescent="0.35">
      <c r="A1667" t="s">
        <v>1796</v>
      </c>
      <c r="B1667" s="5">
        <v>45918</v>
      </c>
      <c r="C1667" t="s">
        <v>100</v>
      </c>
      <c r="D1667" t="s">
        <v>64</v>
      </c>
      <c r="E1667" s="9">
        <v>2</v>
      </c>
      <c r="F1667" s="10">
        <v>310</v>
      </c>
      <c r="G1667" s="11">
        <v>0.1</v>
      </c>
      <c r="H1667" s="10">
        <v>558</v>
      </c>
      <c r="I1667" s="9">
        <v>1</v>
      </c>
      <c r="J1667" s="10">
        <v>279</v>
      </c>
      <c r="K1667" s="9">
        <v>1</v>
      </c>
      <c r="L1667" s="10">
        <v>279</v>
      </c>
      <c r="M1667" s="10">
        <v>216.12</v>
      </c>
      <c r="N1667" s="10">
        <v>62.88</v>
      </c>
      <c r="O1667" s="11">
        <f t="shared" si="100"/>
        <v>0.2253763440860215</v>
      </c>
      <c r="P1667" s="10">
        <v>29.04</v>
      </c>
      <c r="Q1667" s="10">
        <v>33.840000000000003</v>
      </c>
      <c r="R1667" s="11">
        <f t="shared" si="101"/>
        <v>0.12129032258064518</v>
      </c>
      <c r="S1667" t="s">
        <v>59</v>
      </c>
      <c r="T1667" t="s">
        <v>82</v>
      </c>
      <c r="U1667" t="s">
        <v>61</v>
      </c>
    </row>
    <row r="1668" spans="1:21" x14ac:dyDescent="0.35">
      <c r="A1668" t="s">
        <v>1797</v>
      </c>
      <c r="B1668" s="5">
        <v>45725</v>
      </c>
      <c r="C1668" t="s">
        <v>264</v>
      </c>
      <c r="D1668" t="s">
        <v>85</v>
      </c>
      <c r="E1668" s="9">
        <v>2</v>
      </c>
      <c r="F1668" s="10">
        <v>20</v>
      </c>
      <c r="G1668" s="11">
        <v>0</v>
      </c>
      <c r="H1668" s="10">
        <v>40</v>
      </c>
      <c r="I1668" s="9">
        <v>0</v>
      </c>
      <c r="J1668" s="10">
        <v>0</v>
      </c>
      <c r="K1668" s="9">
        <v>2</v>
      </c>
      <c r="L1668" s="10">
        <v>40</v>
      </c>
      <c r="M1668" s="10">
        <v>28.46</v>
      </c>
      <c r="N1668" s="10">
        <v>11.54</v>
      </c>
      <c r="O1668" s="11">
        <f t="shared" si="100"/>
        <v>0.28849999999999998</v>
      </c>
      <c r="P1668" s="10">
        <v>3.19</v>
      </c>
      <c r="Q1668" s="10">
        <v>8.35</v>
      </c>
      <c r="R1668" s="11">
        <f t="shared" si="101"/>
        <v>0.20874999999999999</v>
      </c>
      <c r="S1668" t="s">
        <v>65</v>
      </c>
      <c r="T1668" t="s">
        <v>66</v>
      </c>
      <c r="U1668" t="s">
        <v>61</v>
      </c>
    </row>
    <row r="1669" spans="1:21" x14ac:dyDescent="0.35">
      <c r="A1669" t="s">
        <v>1798</v>
      </c>
      <c r="B1669" s="5">
        <v>46018</v>
      </c>
      <c r="C1669" t="s">
        <v>117</v>
      </c>
      <c r="D1669" t="s">
        <v>74</v>
      </c>
      <c r="E1669" s="9">
        <v>5</v>
      </c>
      <c r="F1669" s="10">
        <v>95</v>
      </c>
      <c r="G1669" s="11">
        <v>0.05</v>
      </c>
      <c r="H1669" s="10">
        <v>451.25</v>
      </c>
      <c r="I1669" s="9">
        <v>0</v>
      </c>
      <c r="J1669" s="10">
        <v>0</v>
      </c>
      <c r="K1669" s="9">
        <v>5</v>
      </c>
      <c r="L1669" s="10">
        <v>451.25</v>
      </c>
      <c r="M1669" s="10">
        <v>331.38</v>
      </c>
      <c r="N1669" s="10">
        <v>119.87</v>
      </c>
      <c r="O1669" s="11">
        <f t="shared" si="100"/>
        <v>0.26563988919667592</v>
      </c>
      <c r="P1669" s="10">
        <v>31.48</v>
      </c>
      <c r="Q1669" s="10">
        <v>88.39</v>
      </c>
      <c r="R1669" s="11">
        <f t="shared" si="101"/>
        <v>0.19587811634349031</v>
      </c>
      <c r="S1669" t="s">
        <v>81</v>
      </c>
      <c r="T1669" t="s">
        <v>66</v>
      </c>
      <c r="U1669" t="s">
        <v>61</v>
      </c>
    </row>
    <row r="1670" spans="1:21" x14ac:dyDescent="0.35">
      <c r="A1670" t="s">
        <v>1799</v>
      </c>
      <c r="B1670" s="5">
        <v>45947</v>
      </c>
      <c r="C1670" t="s">
        <v>73</v>
      </c>
      <c r="D1670" t="s">
        <v>74</v>
      </c>
      <c r="E1670" s="9">
        <v>5</v>
      </c>
      <c r="F1670" s="10">
        <v>280</v>
      </c>
      <c r="G1670" s="11">
        <v>0</v>
      </c>
      <c r="H1670" s="10">
        <v>1400</v>
      </c>
      <c r="I1670" s="9">
        <v>0</v>
      </c>
      <c r="J1670" s="10">
        <v>0</v>
      </c>
      <c r="K1670" s="9">
        <v>5</v>
      </c>
      <c r="L1670" s="10">
        <v>1400</v>
      </c>
      <c r="M1670" s="10">
        <v>1141.21</v>
      </c>
      <c r="N1670" s="10">
        <v>258.79000000000002</v>
      </c>
      <c r="O1670" s="11">
        <f t="shared" si="100"/>
        <v>0.18485000000000001</v>
      </c>
      <c r="P1670" s="10">
        <v>107.6</v>
      </c>
      <c r="Q1670" s="10">
        <v>151.19</v>
      </c>
      <c r="R1670" s="11">
        <f t="shared" si="101"/>
        <v>0.10799285714285714</v>
      </c>
      <c r="S1670" t="s">
        <v>81</v>
      </c>
      <c r="T1670" t="s">
        <v>86</v>
      </c>
      <c r="U1670" t="s">
        <v>71</v>
      </c>
    </row>
    <row r="1671" spans="1:21" x14ac:dyDescent="0.35">
      <c r="A1671" t="s">
        <v>1800</v>
      </c>
      <c r="B1671" s="5">
        <v>45977</v>
      </c>
      <c r="C1671" t="s">
        <v>84</v>
      </c>
      <c r="D1671" t="s">
        <v>85</v>
      </c>
      <c r="E1671" s="9">
        <v>2</v>
      </c>
      <c r="F1671" s="10">
        <v>48</v>
      </c>
      <c r="G1671" s="11">
        <v>0</v>
      </c>
      <c r="H1671" s="10">
        <v>96</v>
      </c>
      <c r="I1671" s="9">
        <v>0</v>
      </c>
      <c r="J1671" s="10">
        <v>0</v>
      </c>
      <c r="K1671" s="9">
        <v>2</v>
      </c>
      <c r="L1671" s="10">
        <v>96</v>
      </c>
      <c r="M1671" s="10">
        <v>66.63</v>
      </c>
      <c r="N1671" s="10">
        <v>29.37</v>
      </c>
      <c r="O1671" s="11">
        <f t="shared" si="100"/>
        <v>0.30593750000000003</v>
      </c>
      <c r="P1671" s="10">
        <v>6.22</v>
      </c>
      <c r="Q1671" s="10">
        <v>23.15</v>
      </c>
      <c r="R1671" s="11">
        <f t="shared" si="101"/>
        <v>0.24114583333333331</v>
      </c>
      <c r="S1671" t="s">
        <v>75</v>
      </c>
      <c r="T1671" t="s">
        <v>82</v>
      </c>
      <c r="U1671" t="s">
        <v>71</v>
      </c>
    </row>
    <row r="1672" spans="1:21" x14ac:dyDescent="0.35">
      <c r="A1672" t="s">
        <v>1801</v>
      </c>
      <c r="B1672" s="5">
        <v>45707</v>
      </c>
      <c r="C1672" t="s">
        <v>56</v>
      </c>
      <c r="D1672" t="s">
        <v>57</v>
      </c>
      <c r="E1672" s="9">
        <v>2</v>
      </c>
      <c r="F1672" s="10">
        <v>40</v>
      </c>
      <c r="G1672" s="11">
        <v>0.1</v>
      </c>
      <c r="H1672" s="10">
        <v>72</v>
      </c>
      <c r="I1672" s="9">
        <v>0</v>
      </c>
      <c r="J1672" s="10">
        <v>0</v>
      </c>
      <c r="K1672" s="9">
        <v>2</v>
      </c>
      <c r="L1672" s="10">
        <v>72</v>
      </c>
      <c r="M1672" s="10">
        <v>45.59</v>
      </c>
      <c r="N1672" s="10">
        <v>26.41</v>
      </c>
      <c r="O1672" s="11">
        <f t="shared" si="100"/>
        <v>0.36680555555555555</v>
      </c>
      <c r="P1672" s="10">
        <v>6.76</v>
      </c>
      <c r="Q1672" s="10">
        <v>19.649999999999999</v>
      </c>
      <c r="R1672" s="11">
        <f t="shared" si="101"/>
        <v>0.27291666666666664</v>
      </c>
      <c r="S1672" t="s">
        <v>65</v>
      </c>
      <c r="T1672" t="s">
        <v>60</v>
      </c>
      <c r="U1672" t="s">
        <v>67</v>
      </c>
    </row>
    <row r="1673" spans="1:21" x14ac:dyDescent="0.35">
      <c r="A1673" t="s">
        <v>1802</v>
      </c>
      <c r="B1673" s="5">
        <v>45755</v>
      </c>
      <c r="C1673" t="s">
        <v>84</v>
      </c>
      <c r="D1673" t="s">
        <v>85</v>
      </c>
      <c r="E1673" s="9">
        <v>2</v>
      </c>
      <c r="F1673" s="10">
        <v>48</v>
      </c>
      <c r="G1673" s="11">
        <v>0</v>
      </c>
      <c r="H1673" s="10">
        <v>96</v>
      </c>
      <c r="I1673" s="9">
        <v>0</v>
      </c>
      <c r="J1673" s="10">
        <v>0</v>
      </c>
      <c r="K1673" s="9">
        <v>2</v>
      </c>
      <c r="L1673" s="10">
        <v>96</v>
      </c>
      <c r="M1673" s="10">
        <v>73.569999999999993</v>
      </c>
      <c r="N1673" s="10">
        <v>22.43</v>
      </c>
      <c r="O1673" s="11">
        <f t="shared" si="100"/>
        <v>0.23364583333333333</v>
      </c>
      <c r="P1673" s="10">
        <v>8.33</v>
      </c>
      <c r="Q1673" s="10">
        <v>14.1</v>
      </c>
      <c r="R1673" s="11">
        <f t="shared" si="101"/>
        <v>0.14687500000000001</v>
      </c>
      <c r="S1673" t="s">
        <v>59</v>
      </c>
      <c r="T1673" t="s">
        <v>66</v>
      </c>
      <c r="U1673" t="s">
        <v>76</v>
      </c>
    </row>
    <row r="1674" spans="1:21" x14ac:dyDescent="0.35">
      <c r="A1674" t="s">
        <v>1803</v>
      </c>
      <c r="B1674" s="5">
        <v>45914</v>
      </c>
      <c r="C1674" t="s">
        <v>109</v>
      </c>
      <c r="D1674" t="s">
        <v>85</v>
      </c>
      <c r="E1674" s="9">
        <v>1</v>
      </c>
      <c r="F1674" s="10">
        <v>180</v>
      </c>
      <c r="G1674" s="11">
        <v>0.05</v>
      </c>
      <c r="H1674" s="10">
        <v>171</v>
      </c>
      <c r="I1674" s="9">
        <v>0</v>
      </c>
      <c r="J1674" s="10">
        <v>0</v>
      </c>
      <c r="K1674" s="9">
        <v>1</v>
      </c>
      <c r="L1674" s="10">
        <v>171</v>
      </c>
      <c r="M1674" s="10">
        <v>111.01</v>
      </c>
      <c r="N1674" s="10">
        <v>59.99</v>
      </c>
      <c r="O1674" s="11">
        <f t="shared" si="100"/>
        <v>0.35081871345029242</v>
      </c>
      <c r="P1674" s="10">
        <v>9.06</v>
      </c>
      <c r="Q1674" s="10">
        <v>50.93</v>
      </c>
      <c r="R1674" s="11">
        <f t="shared" si="101"/>
        <v>0.29783625730994151</v>
      </c>
      <c r="S1674" t="s">
        <v>75</v>
      </c>
      <c r="T1674" t="s">
        <v>82</v>
      </c>
      <c r="U1674" t="s">
        <v>67</v>
      </c>
    </row>
    <row r="1675" spans="1:21" x14ac:dyDescent="0.35">
      <c r="A1675" t="s">
        <v>1804</v>
      </c>
      <c r="B1675" s="5">
        <v>45926</v>
      </c>
      <c r="C1675" t="s">
        <v>100</v>
      </c>
      <c r="D1675" t="s">
        <v>64</v>
      </c>
      <c r="E1675" s="9">
        <v>4</v>
      </c>
      <c r="F1675" s="10">
        <v>310</v>
      </c>
      <c r="G1675" s="11">
        <v>0</v>
      </c>
      <c r="H1675" s="10">
        <v>1240</v>
      </c>
      <c r="I1675" s="9">
        <v>0</v>
      </c>
      <c r="J1675" s="10">
        <v>0</v>
      </c>
      <c r="K1675" s="9">
        <v>4</v>
      </c>
      <c r="L1675" s="10">
        <v>1240</v>
      </c>
      <c r="M1675" s="10">
        <v>977.78</v>
      </c>
      <c r="N1675" s="10">
        <v>262.22000000000003</v>
      </c>
      <c r="O1675" s="11">
        <f t="shared" si="100"/>
        <v>0.2114677419354839</v>
      </c>
      <c r="P1675" s="10">
        <v>92.97</v>
      </c>
      <c r="Q1675" s="10">
        <v>169.25</v>
      </c>
      <c r="R1675" s="11">
        <f t="shared" si="101"/>
        <v>0.13649193548387098</v>
      </c>
      <c r="S1675" t="s">
        <v>65</v>
      </c>
      <c r="T1675" t="s">
        <v>66</v>
      </c>
      <c r="U1675" t="s">
        <v>71</v>
      </c>
    </row>
    <row r="1676" spans="1:21" x14ac:dyDescent="0.35">
      <c r="A1676" t="s">
        <v>1805</v>
      </c>
      <c r="B1676" s="5">
        <v>45959</v>
      </c>
      <c r="C1676" t="s">
        <v>63</v>
      </c>
      <c r="D1676" t="s">
        <v>64</v>
      </c>
      <c r="E1676" s="9">
        <v>4</v>
      </c>
      <c r="F1676" s="10">
        <v>145</v>
      </c>
      <c r="G1676" s="11">
        <v>0</v>
      </c>
      <c r="H1676" s="10">
        <v>580</v>
      </c>
      <c r="I1676" s="9">
        <v>0</v>
      </c>
      <c r="J1676" s="10">
        <v>0</v>
      </c>
      <c r="K1676" s="9">
        <v>4</v>
      </c>
      <c r="L1676" s="10">
        <v>580</v>
      </c>
      <c r="M1676" s="10">
        <v>466.91</v>
      </c>
      <c r="N1676" s="10">
        <v>113.09</v>
      </c>
      <c r="O1676" s="11">
        <f t="shared" si="100"/>
        <v>0.19498275862068967</v>
      </c>
      <c r="P1676" s="10">
        <v>38.51</v>
      </c>
      <c r="Q1676" s="10">
        <v>74.58</v>
      </c>
      <c r="R1676" s="11">
        <f t="shared" si="101"/>
        <v>0.12858620689655173</v>
      </c>
      <c r="S1676" t="s">
        <v>75</v>
      </c>
      <c r="T1676" t="s">
        <v>82</v>
      </c>
      <c r="U1676" t="s">
        <v>71</v>
      </c>
    </row>
    <row r="1677" spans="1:21" x14ac:dyDescent="0.35">
      <c r="A1677" t="s">
        <v>1806</v>
      </c>
      <c r="B1677" s="5">
        <v>45748</v>
      </c>
      <c r="C1677" t="s">
        <v>88</v>
      </c>
      <c r="D1677" t="s">
        <v>57</v>
      </c>
      <c r="E1677" s="9">
        <v>8</v>
      </c>
      <c r="F1677" s="10">
        <v>30</v>
      </c>
      <c r="G1677" s="11">
        <v>0</v>
      </c>
      <c r="H1677" s="10">
        <v>240</v>
      </c>
      <c r="I1677" s="9">
        <v>0</v>
      </c>
      <c r="J1677" s="10">
        <v>0</v>
      </c>
      <c r="K1677" s="9">
        <v>8</v>
      </c>
      <c r="L1677" s="10">
        <v>240</v>
      </c>
      <c r="M1677" s="10">
        <v>178.79</v>
      </c>
      <c r="N1677" s="10">
        <v>61.21</v>
      </c>
      <c r="O1677" s="11">
        <f t="shared" si="100"/>
        <v>0.25504166666666667</v>
      </c>
      <c r="P1677" s="10">
        <v>30.43</v>
      </c>
      <c r="Q1677" s="10">
        <v>30.78</v>
      </c>
      <c r="R1677" s="11">
        <f t="shared" si="101"/>
        <v>0.12825</v>
      </c>
      <c r="S1677" t="s">
        <v>65</v>
      </c>
      <c r="T1677" t="s">
        <v>82</v>
      </c>
      <c r="U1677" t="s">
        <v>71</v>
      </c>
    </row>
    <row r="1678" spans="1:21" x14ac:dyDescent="0.35">
      <c r="A1678" t="s">
        <v>1807</v>
      </c>
      <c r="B1678" s="5">
        <v>45793</v>
      </c>
      <c r="C1678" t="s">
        <v>97</v>
      </c>
      <c r="D1678" t="s">
        <v>57</v>
      </c>
      <c r="E1678" s="9">
        <v>2</v>
      </c>
      <c r="F1678" s="10">
        <v>55</v>
      </c>
      <c r="G1678" s="11">
        <v>0.05</v>
      </c>
      <c r="H1678" s="10">
        <v>104.5</v>
      </c>
      <c r="I1678" s="9">
        <v>0</v>
      </c>
      <c r="J1678" s="10">
        <v>0</v>
      </c>
      <c r="K1678" s="9">
        <v>2</v>
      </c>
      <c r="L1678" s="10">
        <v>104.5</v>
      </c>
      <c r="M1678" s="10">
        <v>69.98</v>
      </c>
      <c r="N1678" s="10">
        <v>34.520000000000003</v>
      </c>
      <c r="O1678" s="11">
        <f t="shared" si="100"/>
        <v>0.33033492822966509</v>
      </c>
      <c r="P1678" s="10">
        <v>5.29</v>
      </c>
      <c r="Q1678" s="10">
        <v>29.23</v>
      </c>
      <c r="R1678" s="11">
        <f t="shared" si="101"/>
        <v>0.27971291866028708</v>
      </c>
      <c r="S1678" t="s">
        <v>65</v>
      </c>
      <c r="T1678" t="s">
        <v>60</v>
      </c>
      <c r="U1678" t="s">
        <v>67</v>
      </c>
    </row>
    <row r="1679" spans="1:21" x14ac:dyDescent="0.35">
      <c r="A1679" t="s">
        <v>1808</v>
      </c>
      <c r="B1679" s="5">
        <v>45817</v>
      </c>
      <c r="C1679" t="s">
        <v>78</v>
      </c>
      <c r="D1679" t="s">
        <v>79</v>
      </c>
      <c r="E1679" s="9">
        <v>3</v>
      </c>
      <c r="F1679" s="10">
        <v>120</v>
      </c>
      <c r="G1679" s="11">
        <v>0.05</v>
      </c>
      <c r="H1679" s="10">
        <v>342</v>
      </c>
      <c r="I1679" s="9">
        <v>0</v>
      </c>
      <c r="J1679" s="10">
        <v>0</v>
      </c>
      <c r="K1679" s="9">
        <v>3</v>
      </c>
      <c r="L1679" s="10">
        <v>342</v>
      </c>
      <c r="M1679" s="10">
        <v>227.5</v>
      </c>
      <c r="N1679" s="10">
        <v>114.5</v>
      </c>
      <c r="O1679" s="11">
        <f t="shared" si="100"/>
        <v>0.33479532163742692</v>
      </c>
      <c r="P1679" s="10">
        <v>33.409999999999997</v>
      </c>
      <c r="Q1679" s="10">
        <v>81.09</v>
      </c>
      <c r="R1679" s="11">
        <f t="shared" si="101"/>
        <v>0.23710526315789474</v>
      </c>
      <c r="S1679" t="s">
        <v>75</v>
      </c>
      <c r="T1679" t="s">
        <v>60</v>
      </c>
      <c r="U1679" t="s">
        <v>71</v>
      </c>
    </row>
    <row r="1680" spans="1:21" x14ac:dyDescent="0.35">
      <c r="A1680" t="s">
        <v>1809</v>
      </c>
      <c r="B1680" s="5">
        <v>45692</v>
      </c>
      <c r="C1680" t="s">
        <v>56</v>
      </c>
      <c r="D1680" t="s">
        <v>57</v>
      </c>
      <c r="E1680" s="9">
        <v>4</v>
      </c>
      <c r="F1680" s="10">
        <v>40</v>
      </c>
      <c r="G1680" s="11">
        <v>0</v>
      </c>
      <c r="H1680" s="10">
        <v>160</v>
      </c>
      <c r="I1680" s="9">
        <v>0</v>
      </c>
      <c r="J1680" s="10">
        <v>0</v>
      </c>
      <c r="K1680" s="9">
        <v>4</v>
      </c>
      <c r="L1680" s="10">
        <v>160</v>
      </c>
      <c r="M1680" s="10">
        <v>119.39</v>
      </c>
      <c r="N1680" s="10">
        <v>40.61</v>
      </c>
      <c r="O1680" s="11">
        <f t="shared" si="100"/>
        <v>0.2538125</v>
      </c>
      <c r="P1680" s="10">
        <v>15.61</v>
      </c>
      <c r="Q1680" s="10">
        <v>25</v>
      </c>
      <c r="R1680" s="11">
        <f t="shared" si="101"/>
        <v>0.15625</v>
      </c>
      <c r="S1680" t="s">
        <v>75</v>
      </c>
      <c r="T1680" t="s">
        <v>82</v>
      </c>
      <c r="U1680" t="s">
        <v>76</v>
      </c>
    </row>
    <row r="1681" spans="1:21" x14ac:dyDescent="0.35">
      <c r="A1681" t="s">
        <v>1810</v>
      </c>
      <c r="B1681" s="5">
        <v>45874</v>
      </c>
      <c r="C1681" t="s">
        <v>73</v>
      </c>
      <c r="D1681" t="s">
        <v>74</v>
      </c>
      <c r="E1681" s="9">
        <v>5</v>
      </c>
      <c r="F1681" s="10">
        <v>280</v>
      </c>
      <c r="G1681" s="11">
        <v>0.02</v>
      </c>
      <c r="H1681" s="10">
        <v>1372</v>
      </c>
      <c r="I1681" s="9">
        <v>0</v>
      </c>
      <c r="J1681" s="10">
        <v>0</v>
      </c>
      <c r="K1681" s="9">
        <v>5</v>
      </c>
      <c r="L1681" s="10">
        <v>1372</v>
      </c>
      <c r="M1681" s="10">
        <v>1041.99</v>
      </c>
      <c r="N1681" s="10">
        <v>330.01</v>
      </c>
      <c r="O1681" s="11">
        <f t="shared" si="100"/>
        <v>0.24053206997084547</v>
      </c>
      <c r="P1681" s="10">
        <v>161.18</v>
      </c>
      <c r="Q1681" s="10">
        <v>168.83</v>
      </c>
      <c r="R1681" s="11">
        <f t="shared" si="101"/>
        <v>0.12305393586005832</v>
      </c>
      <c r="S1681" t="s">
        <v>81</v>
      </c>
      <c r="T1681" t="s">
        <v>86</v>
      </c>
      <c r="U1681" t="s">
        <v>61</v>
      </c>
    </row>
    <row r="1682" spans="1:21" x14ac:dyDescent="0.35">
      <c r="A1682" t="s">
        <v>1811</v>
      </c>
      <c r="B1682" s="5">
        <v>45774</v>
      </c>
      <c r="C1682" t="s">
        <v>121</v>
      </c>
      <c r="D1682" t="s">
        <v>70</v>
      </c>
      <c r="E1682" s="9">
        <v>3</v>
      </c>
      <c r="F1682" s="10">
        <v>110</v>
      </c>
      <c r="G1682" s="11">
        <v>0.15</v>
      </c>
      <c r="H1682" s="10">
        <v>280.5</v>
      </c>
      <c r="I1682" s="9">
        <v>0</v>
      </c>
      <c r="J1682" s="10">
        <v>0</v>
      </c>
      <c r="K1682" s="9">
        <v>3</v>
      </c>
      <c r="L1682" s="10">
        <v>280.5</v>
      </c>
      <c r="M1682" s="10">
        <v>200.08</v>
      </c>
      <c r="N1682" s="10">
        <v>80.42</v>
      </c>
      <c r="O1682" s="11">
        <f t="shared" si="100"/>
        <v>0.28670231729055257</v>
      </c>
      <c r="P1682" s="10">
        <v>25.33</v>
      </c>
      <c r="Q1682" s="10">
        <v>55.09</v>
      </c>
      <c r="R1682" s="11">
        <f t="shared" si="101"/>
        <v>0.19639928698752229</v>
      </c>
      <c r="S1682" t="s">
        <v>75</v>
      </c>
      <c r="T1682" t="s">
        <v>86</v>
      </c>
      <c r="U1682" t="s">
        <v>61</v>
      </c>
    </row>
    <row r="1683" spans="1:21" x14ac:dyDescent="0.35">
      <c r="A1683" t="s">
        <v>1812</v>
      </c>
      <c r="B1683" s="5">
        <v>45724</v>
      </c>
      <c r="C1683" t="s">
        <v>78</v>
      </c>
      <c r="D1683" t="s">
        <v>79</v>
      </c>
      <c r="E1683" s="9">
        <v>2</v>
      </c>
      <c r="F1683" s="10">
        <v>120</v>
      </c>
      <c r="G1683" s="11">
        <v>0.1</v>
      </c>
      <c r="H1683" s="10">
        <v>216</v>
      </c>
      <c r="I1683" s="9">
        <v>2</v>
      </c>
      <c r="J1683" s="10">
        <v>216</v>
      </c>
      <c r="K1683" s="9">
        <v>0</v>
      </c>
      <c r="L1683" s="10">
        <v>0</v>
      </c>
      <c r="M1683" s="10">
        <v>0</v>
      </c>
      <c r="N1683" s="10">
        <v>0</v>
      </c>
      <c r="O1683" s="11">
        <v>0</v>
      </c>
      <c r="P1683" s="10">
        <v>0</v>
      </c>
      <c r="Q1683" s="10">
        <v>0</v>
      </c>
      <c r="R1683" s="11">
        <v>0</v>
      </c>
      <c r="S1683" t="s">
        <v>65</v>
      </c>
      <c r="T1683" t="s">
        <v>66</v>
      </c>
      <c r="U1683" t="s">
        <v>61</v>
      </c>
    </row>
    <row r="1684" spans="1:21" x14ac:dyDescent="0.35">
      <c r="A1684" t="s">
        <v>1813</v>
      </c>
      <c r="B1684" s="5">
        <v>45954</v>
      </c>
      <c r="C1684" t="s">
        <v>121</v>
      </c>
      <c r="D1684" t="s">
        <v>70</v>
      </c>
      <c r="E1684" s="9">
        <v>2</v>
      </c>
      <c r="F1684" s="10">
        <v>110</v>
      </c>
      <c r="G1684" s="11">
        <v>0</v>
      </c>
      <c r="H1684" s="10">
        <v>220</v>
      </c>
      <c r="I1684" s="9">
        <v>0</v>
      </c>
      <c r="J1684" s="10">
        <v>0</v>
      </c>
      <c r="K1684" s="9">
        <v>2</v>
      </c>
      <c r="L1684" s="10">
        <v>220</v>
      </c>
      <c r="M1684" s="10">
        <v>186.27</v>
      </c>
      <c r="N1684" s="10">
        <v>33.729999999999997</v>
      </c>
      <c r="O1684" s="11">
        <f t="shared" ref="O1684:O1719" si="102">N1684/L1684</f>
        <v>0.1533181818181818</v>
      </c>
      <c r="P1684" s="10">
        <v>22.64</v>
      </c>
      <c r="Q1684" s="10">
        <v>11.09</v>
      </c>
      <c r="R1684" s="11">
        <f t="shared" ref="R1684:R1719" si="103">Q1684/L1684</f>
        <v>5.040909090909091E-2</v>
      </c>
      <c r="S1684" t="s">
        <v>75</v>
      </c>
      <c r="T1684" t="s">
        <v>60</v>
      </c>
      <c r="U1684" t="s">
        <v>67</v>
      </c>
    </row>
    <row r="1685" spans="1:21" x14ac:dyDescent="0.35">
      <c r="A1685" t="s">
        <v>1814</v>
      </c>
      <c r="B1685" s="5">
        <v>45851</v>
      </c>
      <c r="C1685" t="s">
        <v>63</v>
      </c>
      <c r="D1685" t="s">
        <v>64</v>
      </c>
      <c r="E1685" s="9">
        <v>2</v>
      </c>
      <c r="F1685" s="10">
        <v>145</v>
      </c>
      <c r="G1685" s="11">
        <v>0.1</v>
      </c>
      <c r="H1685" s="10">
        <v>261</v>
      </c>
      <c r="I1685" s="9">
        <v>0</v>
      </c>
      <c r="J1685" s="10">
        <v>0</v>
      </c>
      <c r="K1685" s="9">
        <v>2</v>
      </c>
      <c r="L1685" s="10">
        <v>261</v>
      </c>
      <c r="M1685" s="10">
        <v>167.74</v>
      </c>
      <c r="N1685" s="10">
        <v>93.26</v>
      </c>
      <c r="O1685" s="11">
        <f t="shared" si="102"/>
        <v>0.35731800766283528</v>
      </c>
      <c r="P1685" s="10">
        <v>27.85</v>
      </c>
      <c r="Q1685" s="10">
        <v>65.41</v>
      </c>
      <c r="R1685" s="11">
        <f t="shared" si="103"/>
        <v>0.25061302681992337</v>
      </c>
      <c r="S1685" t="s">
        <v>65</v>
      </c>
      <c r="T1685" t="s">
        <v>60</v>
      </c>
      <c r="U1685" t="s">
        <v>67</v>
      </c>
    </row>
    <row r="1686" spans="1:21" x14ac:dyDescent="0.35">
      <c r="A1686" t="s">
        <v>1815</v>
      </c>
      <c r="B1686" s="5">
        <v>45717</v>
      </c>
      <c r="C1686" t="s">
        <v>88</v>
      </c>
      <c r="D1686" t="s">
        <v>57</v>
      </c>
      <c r="E1686" s="9">
        <v>1</v>
      </c>
      <c r="F1686" s="10">
        <v>30</v>
      </c>
      <c r="G1686" s="11">
        <v>0.02</v>
      </c>
      <c r="H1686" s="10">
        <v>29.4</v>
      </c>
      <c r="I1686" s="9">
        <v>0</v>
      </c>
      <c r="J1686" s="10">
        <v>0</v>
      </c>
      <c r="K1686" s="9">
        <v>1</v>
      </c>
      <c r="L1686" s="10">
        <v>29.4</v>
      </c>
      <c r="M1686" s="10">
        <v>22.14</v>
      </c>
      <c r="N1686" s="10">
        <v>7.26</v>
      </c>
      <c r="O1686" s="11">
        <f t="shared" si="102"/>
        <v>0.24693877551020407</v>
      </c>
      <c r="P1686" s="10">
        <v>3.66</v>
      </c>
      <c r="Q1686" s="10">
        <v>3.6</v>
      </c>
      <c r="R1686" s="11">
        <f t="shared" si="103"/>
        <v>0.12244897959183675</v>
      </c>
      <c r="S1686" t="s">
        <v>81</v>
      </c>
      <c r="T1686" t="s">
        <v>60</v>
      </c>
      <c r="U1686" t="s">
        <v>61</v>
      </c>
    </row>
    <row r="1687" spans="1:21" x14ac:dyDescent="0.35">
      <c r="A1687" t="s">
        <v>1816</v>
      </c>
      <c r="B1687" s="5">
        <v>45880</v>
      </c>
      <c r="C1687" t="s">
        <v>109</v>
      </c>
      <c r="D1687" t="s">
        <v>85</v>
      </c>
      <c r="E1687" s="9">
        <v>3</v>
      </c>
      <c r="F1687" s="10">
        <v>180</v>
      </c>
      <c r="G1687" s="11">
        <v>0.1</v>
      </c>
      <c r="H1687" s="10">
        <v>486</v>
      </c>
      <c r="I1687" s="9">
        <v>0</v>
      </c>
      <c r="J1687" s="10">
        <v>0</v>
      </c>
      <c r="K1687" s="9">
        <v>3</v>
      </c>
      <c r="L1687" s="10">
        <v>486</v>
      </c>
      <c r="M1687" s="10">
        <v>388.52</v>
      </c>
      <c r="N1687" s="10">
        <v>97.48</v>
      </c>
      <c r="O1687" s="11">
        <f t="shared" si="102"/>
        <v>0.20057613168724281</v>
      </c>
      <c r="P1687" s="10">
        <v>26.1</v>
      </c>
      <c r="Q1687" s="10">
        <v>71.38</v>
      </c>
      <c r="R1687" s="11">
        <f t="shared" si="103"/>
        <v>0.14687242798353908</v>
      </c>
      <c r="S1687" t="s">
        <v>59</v>
      </c>
      <c r="T1687" t="s">
        <v>82</v>
      </c>
      <c r="U1687" t="s">
        <v>61</v>
      </c>
    </row>
    <row r="1688" spans="1:21" x14ac:dyDescent="0.35">
      <c r="A1688" t="s">
        <v>1817</v>
      </c>
      <c r="B1688" s="5">
        <v>45833</v>
      </c>
      <c r="C1688" t="s">
        <v>92</v>
      </c>
      <c r="D1688" t="s">
        <v>79</v>
      </c>
      <c r="E1688" s="9">
        <v>8</v>
      </c>
      <c r="F1688" s="10">
        <v>85</v>
      </c>
      <c r="G1688" s="11">
        <v>0.15</v>
      </c>
      <c r="H1688" s="10">
        <v>578</v>
      </c>
      <c r="I1688" s="9">
        <v>0</v>
      </c>
      <c r="J1688" s="10">
        <v>0</v>
      </c>
      <c r="K1688" s="9">
        <v>8</v>
      </c>
      <c r="L1688" s="10">
        <v>578</v>
      </c>
      <c r="M1688" s="10">
        <v>363.79</v>
      </c>
      <c r="N1688" s="10">
        <v>214.21</v>
      </c>
      <c r="O1688" s="11">
        <f t="shared" si="102"/>
        <v>0.37060553633217996</v>
      </c>
      <c r="P1688" s="10">
        <v>75.02</v>
      </c>
      <c r="Q1688" s="10">
        <v>139.19</v>
      </c>
      <c r="R1688" s="11">
        <f t="shared" si="103"/>
        <v>0.24081314878892734</v>
      </c>
      <c r="S1688" t="s">
        <v>81</v>
      </c>
      <c r="T1688" t="s">
        <v>66</v>
      </c>
      <c r="U1688" t="s">
        <v>67</v>
      </c>
    </row>
    <row r="1689" spans="1:21" x14ac:dyDescent="0.35">
      <c r="A1689" t="s">
        <v>1818</v>
      </c>
      <c r="B1689" s="5">
        <v>45798</v>
      </c>
      <c r="C1689" t="s">
        <v>56</v>
      </c>
      <c r="D1689" t="s">
        <v>57</v>
      </c>
      <c r="E1689" s="9">
        <v>6</v>
      </c>
      <c r="F1689" s="10">
        <v>40</v>
      </c>
      <c r="G1689" s="11">
        <v>0.05</v>
      </c>
      <c r="H1689" s="10">
        <v>228</v>
      </c>
      <c r="I1689" s="9">
        <v>0</v>
      </c>
      <c r="J1689" s="10">
        <v>0</v>
      </c>
      <c r="K1689" s="9">
        <v>6</v>
      </c>
      <c r="L1689" s="10">
        <v>228</v>
      </c>
      <c r="M1689" s="10">
        <v>156.79</v>
      </c>
      <c r="N1689" s="10">
        <v>71.209999999999994</v>
      </c>
      <c r="O1689" s="11">
        <f t="shared" si="102"/>
        <v>0.31232456140350873</v>
      </c>
      <c r="P1689" s="10">
        <v>12.92</v>
      </c>
      <c r="Q1689" s="10">
        <v>58.29</v>
      </c>
      <c r="R1689" s="11">
        <f t="shared" si="103"/>
        <v>0.25565789473684208</v>
      </c>
      <c r="S1689" t="s">
        <v>75</v>
      </c>
      <c r="T1689" t="s">
        <v>86</v>
      </c>
      <c r="U1689" t="s">
        <v>67</v>
      </c>
    </row>
    <row r="1690" spans="1:21" x14ac:dyDescent="0.35">
      <c r="A1690" t="s">
        <v>1819</v>
      </c>
      <c r="B1690" s="5">
        <v>45888</v>
      </c>
      <c r="C1690" t="s">
        <v>84</v>
      </c>
      <c r="D1690" t="s">
        <v>85</v>
      </c>
      <c r="E1690" s="9">
        <v>10</v>
      </c>
      <c r="F1690" s="10">
        <v>48</v>
      </c>
      <c r="G1690" s="11">
        <v>0</v>
      </c>
      <c r="H1690" s="10">
        <v>480</v>
      </c>
      <c r="I1690" s="9">
        <v>0</v>
      </c>
      <c r="J1690" s="10">
        <v>0</v>
      </c>
      <c r="K1690" s="9">
        <v>10</v>
      </c>
      <c r="L1690" s="10">
        <v>480</v>
      </c>
      <c r="M1690" s="10">
        <v>397.23</v>
      </c>
      <c r="N1690" s="10">
        <v>82.77</v>
      </c>
      <c r="O1690" s="11">
        <f t="shared" si="102"/>
        <v>0.17243749999999999</v>
      </c>
      <c r="P1690" s="10">
        <v>38.64</v>
      </c>
      <c r="Q1690" s="10">
        <v>44.13</v>
      </c>
      <c r="R1690" s="11">
        <f t="shared" si="103"/>
        <v>9.1937500000000005E-2</v>
      </c>
      <c r="S1690" t="s">
        <v>81</v>
      </c>
      <c r="T1690" t="s">
        <v>82</v>
      </c>
      <c r="U1690" t="s">
        <v>67</v>
      </c>
    </row>
    <row r="1691" spans="1:21" x14ac:dyDescent="0.35">
      <c r="A1691" t="s">
        <v>1820</v>
      </c>
      <c r="B1691" s="5">
        <v>45705</v>
      </c>
      <c r="C1691" t="s">
        <v>109</v>
      </c>
      <c r="D1691" t="s">
        <v>85</v>
      </c>
      <c r="E1691" s="9">
        <v>6</v>
      </c>
      <c r="F1691" s="10">
        <v>180</v>
      </c>
      <c r="G1691" s="11">
        <v>0</v>
      </c>
      <c r="H1691" s="10">
        <v>1080</v>
      </c>
      <c r="I1691" s="9">
        <v>0</v>
      </c>
      <c r="J1691" s="10">
        <v>0</v>
      </c>
      <c r="K1691" s="9">
        <v>6</v>
      </c>
      <c r="L1691" s="10">
        <v>1080</v>
      </c>
      <c r="M1691" s="10">
        <v>900.07</v>
      </c>
      <c r="N1691" s="10">
        <v>179.93</v>
      </c>
      <c r="O1691" s="11">
        <f t="shared" si="102"/>
        <v>0.16660185185185186</v>
      </c>
      <c r="P1691" s="10">
        <v>112.63</v>
      </c>
      <c r="Q1691" s="10">
        <v>67.3</v>
      </c>
      <c r="R1691" s="11">
        <f t="shared" si="103"/>
        <v>6.2314814814814809E-2</v>
      </c>
      <c r="S1691" t="s">
        <v>59</v>
      </c>
      <c r="T1691" t="s">
        <v>66</v>
      </c>
      <c r="U1691" t="s">
        <v>76</v>
      </c>
    </row>
    <row r="1692" spans="1:21" x14ac:dyDescent="0.35">
      <c r="A1692" t="s">
        <v>1821</v>
      </c>
      <c r="B1692" s="5">
        <v>46018</v>
      </c>
      <c r="C1692" t="s">
        <v>121</v>
      </c>
      <c r="D1692" t="s">
        <v>70</v>
      </c>
      <c r="E1692" s="9">
        <v>1</v>
      </c>
      <c r="F1692" s="10">
        <v>110</v>
      </c>
      <c r="G1692" s="11">
        <v>0</v>
      </c>
      <c r="H1692" s="10">
        <v>110</v>
      </c>
      <c r="I1692" s="9">
        <v>0</v>
      </c>
      <c r="J1692" s="10">
        <v>0</v>
      </c>
      <c r="K1692" s="9">
        <v>1</v>
      </c>
      <c r="L1692" s="10">
        <v>110</v>
      </c>
      <c r="M1692" s="10">
        <v>82.41</v>
      </c>
      <c r="N1692" s="10">
        <v>27.59</v>
      </c>
      <c r="O1692" s="11">
        <f t="shared" si="102"/>
        <v>0.25081818181818183</v>
      </c>
      <c r="P1692" s="10">
        <v>7.4</v>
      </c>
      <c r="Q1692" s="10">
        <v>20.190000000000001</v>
      </c>
      <c r="R1692" s="11">
        <f t="shared" si="103"/>
        <v>0.18354545454545457</v>
      </c>
      <c r="S1692" t="s">
        <v>59</v>
      </c>
      <c r="T1692" t="s">
        <v>60</v>
      </c>
      <c r="U1692" t="s">
        <v>67</v>
      </c>
    </row>
    <row r="1693" spans="1:21" x14ac:dyDescent="0.35">
      <c r="A1693" t="s">
        <v>1822</v>
      </c>
      <c r="B1693" s="5">
        <v>45774</v>
      </c>
      <c r="C1693" t="s">
        <v>90</v>
      </c>
      <c r="D1693" t="s">
        <v>70</v>
      </c>
      <c r="E1693" s="9">
        <v>3</v>
      </c>
      <c r="F1693" s="10">
        <v>38</v>
      </c>
      <c r="G1693" s="11">
        <v>0</v>
      </c>
      <c r="H1693" s="10">
        <v>114</v>
      </c>
      <c r="I1693" s="9">
        <v>0</v>
      </c>
      <c r="J1693" s="10">
        <v>0</v>
      </c>
      <c r="K1693" s="9">
        <v>3</v>
      </c>
      <c r="L1693" s="10">
        <v>114</v>
      </c>
      <c r="M1693" s="10">
        <v>81.540000000000006</v>
      </c>
      <c r="N1693" s="10">
        <v>32.46</v>
      </c>
      <c r="O1693" s="11">
        <f t="shared" si="102"/>
        <v>0.28473684210526318</v>
      </c>
      <c r="P1693" s="10">
        <v>12.43</v>
      </c>
      <c r="Q1693" s="10">
        <v>20.03</v>
      </c>
      <c r="R1693" s="11">
        <f t="shared" si="103"/>
        <v>0.17570175438596491</v>
      </c>
      <c r="S1693" t="s">
        <v>81</v>
      </c>
      <c r="T1693" t="s">
        <v>86</v>
      </c>
      <c r="U1693" t="s">
        <v>76</v>
      </c>
    </row>
    <row r="1694" spans="1:21" x14ac:dyDescent="0.35">
      <c r="A1694" t="s">
        <v>1823</v>
      </c>
      <c r="B1694" s="5">
        <v>45929</v>
      </c>
      <c r="C1694" t="s">
        <v>56</v>
      </c>
      <c r="D1694" t="s">
        <v>57</v>
      </c>
      <c r="E1694" s="9">
        <v>8</v>
      </c>
      <c r="F1694" s="10">
        <v>40</v>
      </c>
      <c r="G1694" s="11">
        <v>0</v>
      </c>
      <c r="H1694" s="10">
        <v>320</v>
      </c>
      <c r="I1694" s="9">
        <v>0</v>
      </c>
      <c r="J1694" s="10">
        <v>0</v>
      </c>
      <c r="K1694" s="9">
        <v>8</v>
      </c>
      <c r="L1694" s="10">
        <v>320</v>
      </c>
      <c r="M1694" s="10">
        <v>217.83</v>
      </c>
      <c r="N1694" s="10">
        <v>102.17</v>
      </c>
      <c r="O1694" s="11">
        <f t="shared" si="102"/>
        <v>0.31928125000000002</v>
      </c>
      <c r="P1694" s="10">
        <v>26.14</v>
      </c>
      <c r="Q1694" s="10">
        <v>76.03</v>
      </c>
      <c r="R1694" s="11">
        <f t="shared" si="103"/>
        <v>0.23759374999999999</v>
      </c>
      <c r="S1694" t="s">
        <v>59</v>
      </c>
      <c r="T1694" t="s">
        <v>60</v>
      </c>
      <c r="U1694" t="s">
        <v>76</v>
      </c>
    </row>
    <row r="1695" spans="1:21" x14ac:dyDescent="0.35">
      <c r="A1695" t="s">
        <v>1824</v>
      </c>
      <c r="B1695" s="5">
        <v>45909</v>
      </c>
      <c r="C1695" t="s">
        <v>92</v>
      </c>
      <c r="D1695" t="s">
        <v>79</v>
      </c>
      <c r="E1695" s="9">
        <v>3</v>
      </c>
      <c r="F1695" s="10">
        <v>85</v>
      </c>
      <c r="G1695" s="11">
        <v>0</v>
      </c>
      <c r="H1695" s="10">
        <v>255</v>
      </c>
      <c r="I1695" s="9">
        <v>0</v>
      </c>
      <c r="J1695" s="10">
        <v>0</v>
      </c>
      <c r="K1695" s="9">
        <v>3</v>
      </c>
      <c r="L1695" s="10">
        <v>255</v>
      </c>
      <c r="M1695" s="10">
        <v>205.88</v>
      </c>
      <c r="N1695" s="10">
        <v>49.12</v>
      </c>
      <c r="O1695" s="11">
        <f t="shared" si="102"/>
        <v>0.19262745098039213</v>
      </c>
      <c r="P1695" s="10">
        <v>22.58</v>
      </c>
      <c r="Q1695" s="10">
        <v>26.54</v>
      </c>
      <c r="R1695" s="11">
        <f t="shared" si="103"/>
        <v>0.10407843137254902</v>
      </c>
      <c r="S1695" t="s">
        <v>81</v>
      </c>
      <c r="T1695" t="s">
        <v>86</v>
      </c>
      <c r="U1695" t="s">
        <v>61</v>
      </c>
    </row>
    <row r="1696" spans="1:21" x14ac:dyDescent="0.35">
      <c r="A1696" t="s">
        <v>1825</v>
      </c>
      <c r="B1696" s="5">
        <v>45954</v>
      </c>
      <c r="C1696" t="s">
        <v>73</v>
      </c>
      <c r="D1696" t="s">
        <v>74</v>
      </c>
      <c r="E1696" s="9">
        <v>2</v>
      </c>
      <c r="F1696" s="10">
        <v>280</v>
      </c>
      <c r="G1696" s="11">
        <v>0.05</v>
      </c>
      <c r="H1696" s="10">
        <v>532</v>
      </c>
      <c r="I1696" s="9">
        <v>0</v>
      </c>
      <c r="J1696" s="10">
        <v>0</v>
      </c>
      <c r="K1696" s="9">
        <v>2</v>
      </c>
      <c r="L1696" s="10">
        <v>532</v>
      </c>
      <c r="M1696" s="10">
        <v>453.92</v>
      </c>
      <c r="N1696" s="10">
        <v>78.08</v>
      </c>
      <c r="O1696" s="11">
        <f t="shared" si="102"/>
        <v>0.14676691729323307</v>
      </c>
      <c r="P1696" s="10">
        <v>43.85</v>
      </c>
      <c r="Q1696" s="10">
        <v>34.229999999999997</v>
      </c>
      <c r="R1696" s="11">
        <f t="shared" si="103"/>
        <v>6.4342105263157895E-2</v>
      </c>
      <c r="S1696" t="s">
        <v>75</v>
      </c>
      <c r="T1696" t="s">
        <v>86</v>
      </c>
      <c r="U1696" t="s">
        <v>76</v>
      </c>
    </row>
    <row r="1697" spans="1:21" x14ac:dyDescent="0.35">
      <c r="A1697" t="s">
        <v>1826</v>
      </c>
      <c r="B1697" s="5">
        <v>45775</v>
      </c>
      <c r="C1697" t="s">
        <v>109</v>
      </c>
      <c r="D1697" t="s">
        <v>85</v>
      </c>
      <c r="E1697" s="9">
        <v>2</v>
      </c>
      <c r="F1697" s="10">
        <v>180</v>
      </c>
      <c r="G1697" s="11">
        <v>0</v>
      </c>
      <c r="H1697" s="10">
        <v>360</v>
      </c>
      <c r="I1697" s="9">
        <v>0</v>
      </c>
      <c r="J1697" s="10">
        <v>0</v>
      </c>
      <c r="K1697" s="9">
        <v>2</v>
      </c>
      <c r="L1697" s="10">
        <v>360</v>
      </c>
      <c r="M1697" s="10">
        <v>302.72000000000003</v>
      </c>
      <c r="N1697" s="10">
        <v>57.28</v>
      </c>
      <c r="O1697" s="11">
        <f t="shared" si="102"/>
        <v>0.15911111111111112</v>
      </c>
      <c r="P1697" s="10">
        <v>31.16</v>
      </c>
      <c r="Q1697" s="10">
        <v>26.12</v>
      </c>
      <c r="R1697" s="11">
        <f t="shared" si="103"/>
        <v>7.2555555555555554E-2</v>
      </c>
      <c r="S1697" t="s">
        <v>81</v>
      </c>
      <c r="T1697" t="s">
        <v>60</v>
      </c>
      <c r="U1697" t="s">
        <v>76</v>
      </c>
    </row>
    <row r="1698" spans="1:21" x14ac:dyDescent="0.35">
      <c r="A1698" t="s">
        <v>1827</v>
      </c>
      <c r="B1698" s="5">
        <v>45759</v>
      </c>
      <c r="C1698" t="s">
        <v>63</v>
      </c>
      <c r="D1698" t="s">
        <v>64</v>
      </c>
      <c r="E1698" s="9">
        <v>2</v>
      </c>
      <c r="F1698" s="10">
        <v>145</v>
      </c>
      <c r="G1698" s="11">
        <v>0</v>
      </c>
      <c r="H1698" s="10">
        <v>290</v>
      </c>
      <c r="I1698" s="9">
        <v>0</v>
      </c>
      <c r="J1698" s="10">
        <v>0</v>
      </c>
      <c r="K1698" s="9">
        <v>2</v>
      </c>
      <c r="L1698" s="10">
        <v>290</v>
      </c>
      <c r="M1698" s="10">
        <v>224.32</v>
      </c>
      <c r="N1698" s="10">
        <v>65.680000000000007</v>
      </c>
      <c r="O1698" s="11">
        <f t="shared" si="102"/>
        <v>0.22648275862068967</v>
      </c>
      <c r="P1698" s="10">
        <v>17.12</v>
      </c>
      <c r="Q1698" s="10">
        <v>48.56</v>
      </c>
      <c r="R1698" s="11">
        <f t="shared" si="103"/>
        <v>0.16744827586206898</v>
      </c>
      <c r="S1698" t="s">
        <v>75</v>
      </c>
      <c r="T1698" t="s">
        <v>60</v>
      </c>
      <c r="U1698" t="s">
        <v>76</v>
      </c>
    </row>
    <row r="1699" spans="1:21" x14ac:dyDescent="0.35">
      <c r="A1699" t="s">
        <v>1828</v>
      </c>
      <c r="B1699" s="5">
        <v>45801</v>
      </c>
      <c r="C1699" t="s">
        <v>114</v>
      </c>
      <c r="D1699" t="s">
        <v>64</v>
      </c>
      <c r="E1699" s="9">
        <v>1</v>
      </c>
      <c r="F1699" s="10">
        <v>420</v>
      </c>
      <c r="G1699" s="11">
        <v>0</v>
      </c>
      <c r="H1699" s="10">
        <v>420</v>
      </c>
      <c r="I1699" s="9">
        <v>0</v>
      </c>
      <c r="J1699" s="10">
        <v>0</v>
      </c>
      <c r="K1699" s="9">
        <v>1</v>
      </c>
      <c r="L1699" s="10">
        <v>420</v>
      </c>
      <c r="M1699" s="10">
        <v>329.32</v>
      </c>
      <c r="N1699" s="10">
        <v>90.68</v>
      </c>
      <c r="O1699" s="11">
        <f t="shared" si="102"/>
        <v>0.21590476190476193</v>
      </c>
      <c r="P1699" s="10">
        <v>35.21</v>
      </c>
      <c r="Q1699" s="10">
        <v>55.47</v>
      </c>
      <c r="R1699" s="11">
        <f t="shared" si="103"/>
        <v>0.13207142857142856</v>
      </c>
      <c r="S1699" t="s">
        <v>65</v>
      </c>
      <c r="T1699" t="s">
        <v>66</v>
      </c>
      <c r="U1699" t="s">
        <v>76</v>
      </c>
    </row>
    <row r="1700" spans="1:21" x14ac:dyDescent="0.35">
      <c r="A1700" t="s">
        <v>1829</v>
      </c>
      <c r="B1700" s="5">
        <v>45973</v>
      </c>
      <c r="C1700" t="s">
        <v>78</v>
      </c>
      <c r="D1700" t="s">
        <v>79</v>
      </c>
      <c r="E1700" s="9">
        <v>1</v>
      </c>
      <c r="F1700" s="10">
        <v>120</v>
      </c>
      <c r="G1700" s="11">
        <v>0</v>
      </c>
      <c r="H1700" s="10">
        <v>120</v>
      </c>
      <c r="I1700" s="9">
        <v>0</v>
      </c>
      <c r="J1700" s="10">
        <v>0</v>
      </c>
      <c r="K1700" s="9">
        <v>1</v>
      </c>
      <c r="L1700" s="10">
        <v>120</v>
      </c>
      <c r="M1700" s="10">
        <v>95.91</v>
      </c>
      <c r="N1700" s="10">
        <v>24.09</v>
      </c>
      <c r="O1700" s="11">
        <f t="shared" si="102"/>
        <v>0.20075000000000001</v>
      </c>
      <c r="P1700" s="10">
        <v>10.08</v>
      </c>
      <c r="Q1700" s="10">
        <v>14.01</v>
      </c>
      <c r="R1700" s="11">
        <f t="shared" si="103"/>
        <v>0.11674999999999999</v>
      </c>
      <c r="S1700" t="s">
        <v>65</v>
      </c>
      <c r="T1700" t="s">
        <v>82</v>
      </c>
      <c r="U1700" t="s">
        <v>76</v>
      </c>
    </row>
    <row r="1701" spans="1:21" x14ac:dyDescent="0.35">
      <c r="A1701" t="s">
        <v>1830</v>
      </c>
      <c r="B1701" s="5">
        <v>45975</v>
      </c>
      <c r="C1701" t="s">
        <v>97</v>
      </c>
      <c r="D1701" t="s">
        <v>57</v>
      </c>
      <c r="E1701" s="9">
        <v>1</v>
      </c>
      <c r="F1701" s="10">
        <v>55</v>
      </c>
      <c r="G1701" s="11">
        <v>0.1</v>
      </c>
      <c r="H1701" s="10">
        <v>49.5</v>
      </c>
      <c r="I1701" s="9">
        <v>0</v>
      </c>
      <c r="J1701" s="10">
        <v>0</v>
      </c>
      <c r="K1701" s="9">
        <v>1</v>
      </c>
      <c r="L1701" s="10">
        <v>49.5</v>
      </c>
      <c r="M1701" s="10">
        <v>37.68</v>
      </c>
      <c r="N1701" s="10">
        <v>11.82</v>
      </c>
      <c r="O1701" s="11">
        <f t="shared" si="102"/>
        <v>0.2387878787878788</v>
      </c>
      <c r="P1701" s="10">
        <v>5.6</v>
      </c>
      <c r="Q1701" s="10">
        <v>6.22</v>
      </c>
      <c r="R1701" s="11">
        <f t="shared" si="103"/>
        <v>0.12565656565656566</v>
      </c>
      <c r="S1701" t="s">
        <v>81</v>
      </c>
      <c r="T1701" t="s">
        <v>86</v>
      </c>
      <c r="U1701" t="s">
        <v>61</v>
      </c>
    </row>
    <row r="1702" spans="1:21" x14ac:dyDescent="0.35">
      <c r="A1702" t="s">
        <v>1831</v>
      </c>
      <c r="B1702" s="5">
        <v>45853</v>
      </c>
      <c r="C1702" t="s">
        <v>88</v>
      </c>
      <c r="D1702" t="s">
        <v>57</v>
      </c>
      <c r="E1702" s="9">
        <v>6</v>
      </c>
      <c r="F1702" s="10">
        <v>30</v>
      </c>
      <c r="G1702" s="11">
        <v>0.15</v>
      </c>
      <c r="H1702" s="10">
        <v>153</v>
      </c>
      <c r="I1702" s="9">
        <v>0</v>
      </c>
      <c r="J1702" s="10">
        <v>0</v>
      </c>
      <c r="K1702" s="9">
        <v>6</v>
      </c>
      <c r="L1702" s="10">
        <v>153</v>
      </c>
      <c r="M1702" s="10">
        <v>101.52</v>
      </c>
      <c r="N1702" s="10">
        <v>51.48</v>
      </c>
      <c r="O1702" s="11">
        <f t="shared" si="102"/>
        <v>0.33647058823529408</v>
      </c>
      <c r="P1702" s="10">
        <v>9.41</v>
      </c>
      <c r="Q1702" s="10">
        <v>42.07</v>
      </c>
      <c r="R1702" s="11">
        <f t="shared" si="103"/>
        <v>0.27496732026143789</v>
      </c>
      <c r="S1702" t="s">
        <v>65</v>
      </c>
      <c r="T1702" t="s">
        <v>66</v>
      </c>
      <c r="U1702" t="s">
        <v>76</v>
      </c>
    </row>
    <row r="1703" spans="1:21" x14ac:dyDescent="0.35">
      <c r="A1703" t="s">
        <v>1832</v>
      </c>
      <c r="B1703" s="5">
        <v>45961</v>
      </c>
      <c r="C1703" t="s">
        <v>117</v>
      </c>
      <c r="D1703" t="s">
        <v>74</v>
      </c>
      <c r="E1703" s="9">
        <v>3</v>
      </c>
      <c r="F1703" s="10">
        <v>95</v>
      </c>
      <c r="G1703" s="11">
        <v>0.02</v>
      </c>
      <c r="H1703" s="10">
        <v>279.3</v>
      </c>
      <c r="I1703" s="9">
        <v>0</v>
      </c>
      <c r="J1703" s="10">
        <v>0</v>
      </c>
      <c r="K1703" s="9">
        <v>3</v>
      </c>
      <c r="L1703" s="10">
        <v>279.3</v>
      </c>
      <c r="M1703" s="10">
        <v>219.3</v>
      </c>
      <c r="N1703" s="10">
        <v>60</v>
      </c>
      <c r="O1703" s="11">
        <f t="shared" si="102"/>
        <v>0.21482277121374865</v>
      </c>
      <c r="P1703" s="10">
        <v>24.59</v>
      </c>
      <c r="Q1703" s="10">
        <v>35.409999999999997</v>
      </c>
      <c r="R1703" s="11">
        <f t="shared" si="103"/>
        <v>0.12678123881131398</v>
      </c>
      <c r="S1703" t="s">
        <v>59</v>
      </c>
      <c r="T1703" t="s">
        <v>60</v>
      </c>
      <c r="U1703" t="s">
        <v>61</v>
      </c>
    </row>
    <row r="1704" spans="1:21" x14ac:dyDescent="0.35">
      <c r="A1704" t="s">
        <v>1833</v>
      </c>
      <c r="B1704" s="5">
        <v>45685</v>
      </c>
      <c r="C1704" t="s">
        <v>100</v>
      </c>
      <c r="D1704" t="s">
        <v>64</v>
      </c>
      <c r="E1704" s="9">
        <v>1</v>
      </c>
      <c r="F1704" s="10">
        <v>310</v>
      </c>
      <c r="G1704" s="11">
        <v>0</v>
      </c>
      <c r="H1704" s="10">
        <v>310</v>
      </c>
      <c r="I1704" s="9">
        <v>0</v>
      </c>
      <c r="J1704" s="10">
        <v>0</v>
      </c>
      <c r="K1704" s="9">
        <v>1</v>
      </c>
      <c r="L1704" s="10">
        <v>310</v>
      </c>
      <c r="M1704" s="10">
        <v>217.31</v>
      </c>
      <c r="N1704" s="10">
        <v>92.69</v>
      </c>
      <c r="O1704" s="11">
        <f t="shared" si="102"/>
        <v>0.29899999999999999</v>
      </c>
      <c r="P1704" s="10">
        <v>32.229999999999997</v>
      </c>
      <c r="Q1704" s="10">
        <v>60.46</v>
      </c>
      <c r="R1704" s="11">
        <f t="shared" si="103"/>
        <v>0.19503225806451613</v>
      </c>
      <c r="S1704" t="s">
        <v>65</v>
      </c>
      <c r="T1704" t="s">
        <v>86</v>
      </c>
      <c r="U1704" t="s">
        <v>67</v>
      </c>
    </row>
    <row r="1705" spans="1:21" x14ac:dyDescent="0.35">
      <c r="A1705" t="s">
        <v>1834</v>
      </c>
      <c r="B1705" s="5">
        <v>45971</v>
      </c>
      <c r="C1705" t="s">
        <v>84</v>
      </c>
      <c r="D1705" t="s">
        <v>85</v>
      </c>
      <c r="E1705" s="9">
        <v>2</v>
      </c>
      <c r="F1705" s="10">
        <v>48</v>
      </c>
      <c r="G1705" s="11">
        <v>0.02</v>
      </c>
      <c r="H1705" s="10">
        <v>94.08</v>
      </c>
      <c r="I1705" s="9">
        <v>0</v>
      </c>
      <c r="J1705" s="10">
        <v>0</v>
      </c>
      <c r="K1705" s="9">
        <v>2</v>
      </c>
      <c r="L1705" s="10">
        <v>94.08</v>
      </c>
      <c r="M1705" s="10">
        <v>70.67</v>
      </c>
      <c r="N1705" s="10">
        <v>23.41</v>
      </c>
      <c r="O1705" s="11">
        <f t="shared" si="102"/>
        <v>0.24883078231292519</v>
      </c>
      <c r="P1705" s="10">
        <v>10.15</v>
      </c>
      <c r="Q1705" s="10">
        <v>13.26</v>
      </c>
      <c r="R1705" s="11">
        <f t="shared" si="103"/>
        <v>0.14094387755102042</v>
      </c>
      <c r="S1705" t="s">
        <v>65</v>
      </c>
      <c r="T1705" t="s">
        <v>60</v>
      </c>
      <c r="U1705" t="s">
        <v>76</v>
      </c>
    </row>
    <row r="1706" spans="1:21" x14ac:dyDescent="0.35">
      <c r="A1706" t="s">
        <v>1835</v>
      </c>
      <c r="B1706" s="5">
        <v>45986</v>
      </c>
      <c r="C1706" t="s">
        <v>264</v>
      </c>
      <c r="D1706" t="s">
        <v>85</v>
      </c>
      <c r="E1706" s="9">
        <v>2</v>
      </c>
      <c r="F1706" s="10">
        <v>20</v>
      </c>
      <c r="G1706" s="11">
        <v>0</v>
      </c>
      <c r="H1706" s="10">
        <v>40</v>
      </c>
      <c r="I1706" s="9">
        <v>0</v>
      </c>
      <c r="J1706" s="10">
        <v>0</v>
      </c>
      <c r="K1706" s="9">
        <v>2</v>
      </c>
      <c r="L1706" s="10">
        <v>40</v>
      </c>
      <c r="M1706" s="10">
        <v>24.95</v>
      </c>
      <c r="N1706" s="10">
        <v>15.05</v>
      </c>
      <c r="O1706" s="11">
        <f t="shared" si="102"/>
        <v>0.37625000000000003</v>
      </c>
      <c r="P1706" s="10">
        <v>3.66</v>
      </c>
      <c r="Q1706" s="10">
        <v>11.39</v>
      </c>
      <c r="R1706" s="11">
        <f t="shared" si="103"/>
        <v>0.28475</v>
      </c>
      <c r="S1706" t="s">
        <v>75</v>
      </c>
      <c r="T1706" t="s">
        <v>66</v>
      </c>
      <c r="U1706" t="s">
        <v>61</v>
      </c>
    </row>
    <row r="1707" spans="1:21" x14ac:dyDescent="0.35">
      <c r="A1707" t="s">
        <v>1836</v>
      </c>
      <c r="B1707" s="5">
        <v>46003</v>
      </c>
      <c r="C1707" t="s">
        <v>121</v>
      </c>
      <c r="D1707" t="s">
        <v>70</v>
      </c>
      <c r="E1707" s="9">
        <v>10</v>
      </c>
      <c r="F1707" s="10">
        <v>110</v>
      </c>
      <c r="G1707" s="11">
        <v>0.1</v>
      </c>
      <c r="H1707" s="10">
        <v>990</v>
      </c>
      <c r="I1707" s="9">
        <v>0</v>
      </c>
      <c r="J1707" s="10">
        <v>0</v>
      </c>
      <c r="K1707" s="9">
        <v>10</v>
      </c>
      <c r="L1707" s="10">
        <v>990</v>
      </c>
      <c r="M1707" s="10">
        <v>833.83</v>
      </c>
      <c r="N1707" s="10">
        <v>156.16999999999999</v>
      </c>
      <c r="O1707" s="11">
        <f t="shared" si="102"/>
        <v>0.15774747474747475</v>
      </c>
      <c r="P1707" s="10">
        <v>98.25</v>
      </c>
      <c r="Q1707" s="10">
        <v>57.92</v>
      </c>
      <c r="R1707" s="11">
        <f t="shared" si="103"/>
        <v>5.8505050505050504E-2</v>
      </c>
      <c r="S1707" t="s">
        <v>81</v>
      </c>
      <c r="T1707" t="s">
        <v>86</v>
      </c>
      <c r="U1707" t="s">
        <v>67</v>
      </c>
    </row>
    <row r="1708" spans="1:21" x14ac:dyDescent="0.35">
      <c r="A1708" t="s">
        <v>1837</v>
      </c>
      <c r="B1708" s="5">
        <v>45926</v>
      </c>
      <c r="C1708" t="s">
        <v>121</v>
      </c>
      <c r="D1708" t="s">
        <v>70</v>
      </c>
      <c r="E1708" s="9">
        <v>3</v>
      </c>
      <c r="F1708" s="10">
        <v>110</v>
      </c>
      <c r="G1708" s="11">
        <v>0</v>
      </c>
      <c r="H1708" s="10">
        <v>330</v>
      </c>
      <c r="I1708" s="9">
        <v>0</v>
      </c>
      <c r="J1708" s="10">
        <v>0</v>
      </c>
      <c r="K1708" s="9">
        <v>3</v>
      </c>
      <c r="L1708" s="10">
        <v>330</v>
      </c>
      <c r="M1708" s="10">
        <v>279.14</v>
      </c>
      <c r="N1708" s="10">
        <v>50.86</v>
      </c>
      <c r="O1708" s="11">
        <f t="shared" si="102"/>
        <v>0.15412121212121213</v>
      </c>
      <c r="P1708" s="10">
        <v>38.770000000000003</v>
      </c>
      <c r="Q1708" s="10">
        <v>12.09</v>
      </c>
      <c r="R1708" s="11">
        <f t="shared" si="103"/>
        <v>3.6636363636363634E-2</v>
      </c>
      <c r="S1708" t="s">
        <v>75</v>
      </c>
      <c r="T1708" t="s">
        <v>82</v>
      </c>
      <c r="U1708" t="s">
        <v>76</v>
      </c>
    </row>
    <row r="1709" spans="1:21" x14ac:dyDescent="0.35">
      <c r="A1709" t="s">
        <v>1838</v>
      </c>
      <c r="B1709" s="5">
        <v>45895</v>
      </c>
      <c r="C1709" t="s">
        <v>117</v>
      </c>
      <c r="D1709" t="s">
        <v>74</v>
      </c>
      <c r="E1709" s="9">
        <v>2</v>
      </c>
      <c r="F1709" s="10">
        <v>95</v>
      </c>
      <c r="G1709" s="11">
        <v>0.05</v>
      </c>
      <c r="H1709" s="10">
        <v>180.5</v>
      </c>
      <c r="I1709" s="9">
        <v>0</v>
      </c>
      <c r="J1709" s="10">
        <v>0</v>
      </c>
      <c r="K1709" s="9">
        <v>2</v>
      </c>
      <c r="L1709" s="10">
        <v>180.5</v>
      </c>
      <c r="M1709" s="10">
        <v>133.16</v>
      </c>
      <c r="N1709" s="10">
        <v>47.34</v>
      </c>
      <c r="O1709" s="11">
        <f t="shared" si="102"/>
        <v>0.26227146814404434</v>
      </c>
      <c r="P1709" s="10">
        <v>20.04</v>
      </c>
      <c r="Q1709" s="10">
        <v>27.3</v>
      </c>
      <c r="R1709" s="11">
        <f t="shared" si="103"/>
        <v>0.1512465373961219</v>
      </c>
      <c r="S1709" t="s">
        <v>81</v>
      </c>
      <c r="T1709" t="s">
        <v>82</v>
      </c>
      <c r="U1709" t="s">
        <v>71</v>
      </c>
    </row>
    <row r="1710" spans="1:21" x14ac:dyDescent="0.35">
      <c r="A1710" t="s">
        <v>1839</v>
      </c>
      <c r="B1710" s="5">
        <v>45882</v>
      </c>
      <c r="C1710" t="s">
        <v>109</v>
      </c>
      <c r="D1710" t="s">
        <v>85</v>
      </c>
      <c r="E1710" s="9">
        <v>5</v>
      </c>
      <c r="F1710" s="10">
        <v>180</v>
      </c>
      <c r="G1710" s="11">
        <v>0</v>
      </c>
      <c r="H1710" s="10">
        <v>900</v>
      </c>
      <c r="I1710" s="9">
        <v>0</v>
      </c>
      <c r="J1710" s="10">
        <v>0</v>
      </c>
      <c r="K1710" s="9">
        <v>5</v>
      </c>
      <c r="L1710" s="10">
        <v>900</v>
      </c>
      <c r="M1710" s="10">
        <v>642.05999999999995</v>
      </c>
      <c r="N1710" s="10">
        <v>257.94</v>
      </c>
      <c r="O1710" s="11">
        <f t="shared" si="102"/>
        <v>0.28660000000000002</v>
      </c>
      <c r="P1710" s="10">
        <v>50.25</v>
      </c>
      <c r="Q1710" s="10">
        <v>207.69</v>
      </c>
      <c r="R1710" s="11">
        <f t="shared" si="103"/>
        <v>0.23076666666666668</v>
      </c>
      <c r="S1710" t="s">
        <v>59</v>
      </c>
      <c r="T1710" t="s">
        <v>60</v>
      </c>
      <c r="U1710" t="s">
        <v>71</v>
      </c>
    </row>
    <row r="1711" spans="1:21" x14ac:dyDescent="0.35">
      <c r="A1711" t="s">
        <v>1840</v>
      </c>
      <c r="B1711" s="5">
        <v>45929</v>
      </c>
      <c r="C1711" t="s">
        <v>88</v>
      </c>
      <c r="D1711" t="s">
        <v>57</v>
      </c>
      <c r="E1711" s="9">
        <v>1</v>
      </c>
      <c r="F1711" s="10">
        <v>30</v>
      </c>
      <c r="G1711" s="11">
        <v>0.02</v>
      </c>
      <c r="H1711" s="10">
        <v>29.4</v>
      </c>
      <c r="I1711" s="9">
        <v>0</v>
      </c>
      <c r="J1711" s="10">
        <v>0</v>
      </c>
      <c r="K1711" s="9">
        <v>1</v>
      </c>
      <c r="L1711" s="10">
        <v>29.4</v>
      </c>
      <c r="M1711" s="10">
        <v>19.97</v>
      </c>
      <c r="N1711" s="10">
        <v>9.43</v>
      </c>
      <c r="O1711" s="11">
        <f t="shared" si="102"/>
        <v>0.32074829931972787</v>
      </c>
      <c r="P1711" s="10">
        <v>3.34</v>
      </c>
      <c r="Q1711" s="10">
        <v>6.09</v>
      </c>
      <c r="R1711" s="11">
        <f t="shared" si="103"/>
        <v>0.20714285714285716</v>
      </c>
      <c r="S1711" t="s">
        <v>59</v>
      </c>
      <c r="T1711" t="s">
        <v>82</v>
      </c>
      <c r="U1711" t="s">
        <v>76</v>
      </c>
    </row>
    <row r="1712" spans="1:21" x14ac:dyDescent="0.35">
      <c r="A1712" t="s">
        <v>1841</v>
      </c>
      <c r="B1712" s="5">
        <v>45803</v>
      </c>
      <c r="C1712" t="s">
        <v>104</v>
      </c>
      <c r="D1712" t="s">
        <v>105</v>
      </c>
      <c r="E1712" s="9">
        <v>2</v>
      </c>
      <c r="F1712" s="10">
        <v>65</v>
      </c>
      <c r="G1712" s="11">
        <v>0</v>
      </c>
      <c r="H1712" s="10">
        <v>130</v>
      </c>
      <c r="I1712" s="9">
        <v>0</v>
      </c>
      <c r="J1712" s="10">
        <v>0</v>
      </c>
      <c r="K1712" s="9">
        <v>2</v>
      </c>
      <c r="L1712" s="10">
        <v>130</v>
      </c>
      <c r="M1712" s="10">
        <v>87.72</v>
      </c>
      <c r="N1712" s="10">
        <v>42.28</v>
      </c>
      <c r="O1712" s="11">
        <f t="shared" si="102"/>
        <v>0.32523076923076921</v>
      </c>
      <c r="P1712" s="10">
        <v>8.7200000000000006</v>
      </c>
      <c r="Q1712" s="10">
        <v>33.56</v>
      </c>
      <c r="R1712" s="11">
        <f t="shared" si="103"/>
        <v>0.25815384615384618</v>
      </c>
      <c r="S1712" t="s">
        <v>59</v>
      </c>
      <c r="T1712" t="s">
        <v>82</v>
      </c>
      <c r="U1712" t="s">
        <v>61</v>
      </c>
    </row>
    <row r="1713" spans="1:21" x14ac:dyDescent="0.35">
      <c r="A1713" t="s">
        <v>1842</v>
      </c>
      <c r="B1713" s="5">
        <v>45822</v>
      </c>
      <c r="C1713" t="s">
        <v>107</v>
      </c>
      <c r="D1713" t="s">
        <v>74</v>
      </c>
      <c r="E1713" s="9">
        <v>4</v>
      </c>
      <c r="F1713" s="10">
        <v>125</v>
      </c>
      <c r="G1713" s="11">
        <v>0</v>
      </c>
      <c r="H1713" s="10">
        <v>500</v>
      </c>
      <c r="I1713" s="9">
        <v>0</v>
      </c>
      <c r="J1713" s="10">
        <v>0</v>
      </c>
      <c r="K1713" s="9">
        <v>4</v>
      </c>
      <c r="L1713" s="10">
        <v>500</v>
      </c>
      <c r="M1713" s="10">
        <v>336.39</v>
      </c>
      <c r="N1713" s="10">
        <v>163.61000000000001</v>
      </c>
      <c r="O1713" s="11">
        <f t="shared" si="102"/>
        <v>0.32722000000000001</v>
      </c>
      <c r="P1713" s="10">
        <v>63.17</v>
      </c>
      <c r="Q1713" s="10">
        <v>100.44</v>
      </c>
      <c r="R1713" s="11">
        <f t="shared" si="103"/>
        <v>0.20088</v>
      </c>
      <c r="S1713" t="s">
        <v>65</v>
      </c>
      <c r="T1713" t="s">
        <v>82</v>
      </c>
      <c r="U1713" t="s">
        <v>71</v>
      </c>
    </row>
    <row r="1714" spans="1:21" x14ac:dyDescent="0.35">
      <c r="A1714" t="s">
        <v>1843</v>
      </c>
      <c r="B1714" s="5">
        <v>45827</v>
      </c>
      <c r="C1714" t="s">
        <v>121</v>
      </c>
      <c r="D1714" t="s">
        <v>70</v>
      </c>
      <c r="E1714" s="9">
        <v>1</v>
      </c>
      <c r="F1714" s="10">
        <v>110</v>
      </c>
      <c r="G1714" s="11">
        <v>0</v>
      </c>
      <c r="H1714" s="10">
        <v>110</v>
      </c>
      <c r="I1714" s="9">
        <v>0</v>
      </c>
      <c r="J1714" s="10">
        <v>0</v>
      </c>
      <c r="K1714" s="9">
        <v>1</v>
      </c>
      <c r="L1714" s="10">
        <v>110</v>
      </c>
      <c r="M1714" s="10">
        <v>76.599999999999994</v>
      </c>
      <c r="N1714" s="10">
        <v>33.4</v>
      </c>
      <c r="O1714" s="11">
        <f t="shared" si="102"/>
        <v>0.30363636363636365</v>
      </c>
      <c r="P1714" s="10">
        <v>12.44</v>
      </c>
      <c r="Q1714" s="10">
        <v>20.96</v>
      </c>
      <c r="R1714" s="11">
        <f t="shared" si="103"/>
        <v>0.19054545454545455</v>
      </c>
      <c r="S1714" t="s">
        <v>75</v>
      </c>
      <c r="T1714" t="s">
        <v>82</v>
      </c>
      <c r="U1714" t="s">
        <v>61</v>
      </c>
    </row>
    <row r="1715" spans="1:21" x14ac:dyDescent="0.35">
      <c r="A1715" t="s">
        <v>1844</v>
      </c>
      <c r="B1715" s="5">
        <v>45926</v>
      </c>
      <c r="C1715" t="s">
        <v>264</v>
      </c>
      <c r="D1715" t="s">
        <v>85</v>
      </c>
      <c r="E1715" s="9">
        <v>5</v>
      </c>
      <c r="F1715" s="10">
        <v>20</v>
      </c>
      <c r="G1715" s="11">
        <v>0</v>
      </c>
      <c r="H1715" s="10">
        <v>100</v>
      </c>
      <c r="I1715" s="9">
        <v>0</v>
      </c>
      <c r="J1715" s="10">
        <v>0</v>
      </c>
      <c r="K1715" s="9">
        <v>5</v>
      </c>
      <c r="L1715" s="10">
        <v>100</v>
      </c>
      <c r="M1715" s="10">
        <v>82.91</v>
      </c>
      <c r="N1715" s="10">
        <v>17.09</v>
      </c>
      <c r="O1715" s="11">
        <f t="shared" si="102"/>
        <v>0.1709</v>
      </c>
      <c r="P1715" s="10">
        <v>5.65</v>
      </c>
      <c r="Q1715" s="10">
        <v>11.44</v>
      </c>
      <c r="R1715" s="11">
        <f t="shared" si="103"/>
        <v>0.1144</v>
      </c>
      <c r="S1715" t="s">
        <v>75</v>
      </c>
      <c r="T1715" t="s">
        <v>60</v>
      </c>
      <c r="U1715" t="s">
        <v>61</v>
      </c>
    </row>
    <row r="1716" spans="1:21" x14ac:dyDescent="0.35">
      <c r="A1716" t="s">
        <v>1845</v>
      </c>
      <c r="B1716" s="5">
        <v>45755</v>
      </c>
      <c r="C1716" t="s">
        <v>56</v>
      </c>
      <c r="D1716" t="s">
        <v>57</v>
      </c>
      <c r="E1716" s="9">
        <v>2</v>
      </c>
      <c r="F1716" s="10">
        <v>40</v>
      </c>
      <c r="G1716" s="11">
        <v>0.15</v>
      </c>
      <c r="H1716" s="10">
        <v>68</v>
      </c>
      <c r="I1716" s="9">
        <v>0</v>
      </c>
      <c r="J1716" s="10">
        <v>0</v>
      </c>
      <c r="K1716" s="9">
        <v>2</v>
      </c>
      <c r="L1716" s="10">
        <v>68</v>
      </c>
      <c r="M1716" s="10">
        <v>53.23</v>
      </c>
      <c r="N1716" s="10">
        <v>14.77</v>
      </c>
      <c r="O1716" s="11">
        <f t="shared" si="102"/>
        <v>0.21720588235294117</v>
      </c>
      <c r="P1716" s="10">
        <v>4.5599999999999996</v>
      </c>
      <c r="Q1716" s="10">
        <v>10.210000000000001</v>
      </c>
      <c r="R1716" s="11">
        <f t="shared" si="103"/>
        <v>0.15014705882352941</v>
      </c>
      <c r="S1716" t="s">
        <v>65</v>
      </c>
      <c r="T1716" t="s">
        <v>82</v>
      </c>
      <c r="U1716" t="s">
        <v>76</v>
      </c>
    </row>
    <row r="1717" spans="1:21" x14ac:dyDescent="0.35">
      <c r="A1717" t="s">
        <v>1846</v>
      </c>
      <c r="B1717" s="5">
        <v>45824</v>
      </c>
      <c r="C1717" t="s">
        <v>109</v>
      </c>
      <c r="D1717" t="s">
        <v>85</v>
      </c>
      <c r="E1717" s="9">
        <v>2</v>
      </c>
      <c r="F1717" s="10">
        <v>180</v>
      </c>
      <c r="G1717" s="11">
        <v>0</v>
      </c>
      <c r="H1717" s="10">
        <v>360</v>
      </c>
      <c r="I1717" s="9">
        <v>0</v>
      </c>
      <c r="J1717" s="10">
        <v>0</v>
      </c>
      <c r="K1717" s="9">
        <v>2</v>
      </c>
      <c r="L1717" s="10">
        <v>360</v>
      </c>
      <c r="M1717" s="10">
        <v>272.86</v>
      </c>
      <c r="N1717" s="10">
        <v>87.14</v>
      </c>
      <c r="O1717" s="11">
        <f t="shared" si="102"/>
        <v>0.24205555555555555</v>
      </c>
      <c r="P1717" s="10">
        <v>41.63</v>
      </c>
      <c r="Q1717" s="10">
        <v>45.51</v>
      </c>
      <c r="R1717" s="11">
        <f t="shared" si="103"/>
        <v>0.12641666666666665</v>
      </c>
      <c r="S1717" t="s">
        <v>59</v>
      </c>
      <c r="T1717" t="s">
        <v>66</v>
      </c>
      <c r="U1717" t="s">
        <v>67</v>
      </c>
    </row>
    <row r="1718" spans="1:21" x14ac:dyDescent="0.35">
      <c r="A1718" t="s">
        <v>1847</v>
      </c>
      <c r="B1718" s="5">
        <v>45982</v>
      </c>
      <c r="C1718" t="s">
        <v>97</v>
      </c>
      <c r="D1718" t="s">
        <v>57</v>
      </c>
      <c r="E1718" s="9">
        <v>1</v>
      </c>
      <c r="F1718" s="10">
        <v>55</v>
      </c>
      <c r="G1718" s="11">
        <v>0</v>
      </c>
      <c r="H1718" s="10">
        <v>55</v>
      </c>
      <c r="I1718" s="9">
        <v>0</v>
      </c>
      <c r="J1718" s="10">
        <v>0</v>
      </c>
      <c r="K1718" s="9">
        <v>1</v>
      </c>
      <c r="L1718" s="10">
        <v>55</v>
      </c>
      <c r="M1718" s="10">
        <v>37.82</v>
      </c>
      <c r="N1718" s="10">
        <v>17.18</v>
      </c>
      <c r="O1718" s="11">
        <f t="shared" si="102"/>
        <v>0.31236363636363634</v>
      </c>
      <c r="P1718" s="10">
        <v>4.9000000000000004</v>
      </c>
      <c r="Q1718" s="10">
        <v>12.28</v>
      </c>
      <c r="R1718" s="11">
        <f t="shared" si="103"/>
        <v>0.22327272727272726</v>
      </c>
      <c r="S1718" t="s">
        <v>65</v>
      </c>
      <c r="T1718" t="s">
        <v>60</v>
      </c>
      <c r="U1718" t="s">
        <v>67</v>
      </c>
    </row>
    <row r="1719" spans="1:21" x14ac:dyDescent="0.35">
      <c r="A1719" t="s">
        <v>1848</v>
      </c>
      <c r="B1719" s="5">
        <v>45862</v>
      </c>
      <c r="C1719" t="s">
        <v>90</v>
      </c>
      <c r="D1719" t="s">
        <v>70</v>
      </c>
      <c r="E1719" s="9">
        <v>3</v>
      </c>
      <c r="F1719" s="10">
        <v>38</v>
      </c>
      <c r="G1719" s="11">
        <v>0.1</v>
      </c>
      <c r="H1719" s="10">
        <v>102.6</v>
      </c>
      <c r="I1719" s="9">
        <v>0</v>
      </c>
      <c r="J1719" s="10">
        <v>0</v>
      </c>
      <c r="K1719" s="9">
        <v>3</v>
      </c>
      <c r="L1719" s="10">
        <v>102.6</v>
      </c>
      <c r="M1719" s="10">
        <v>69.930000000000007</v>
      </c>
      <c r="N1719" s="10">
        <v>32.67</v>
      </c>
      <c r="O1719" s="11">
        <f t="shared" si="102"/>
        <v>0.31842105263157899</v>
      </c>
      <c r="P1719" s="10">
        <v>7.29</v>
      </c>
      <c r="Q1719" s="10">
        <v>25.38</v>
      </c>
      <c r="R1719" s="11">
        <f t="shared" si="103"/>
        <v>0.24736842105263157</v>
      </c>
      <c r="S1719" t="s">
        <v>75</v>
      </c>
      <c r="T1719" t="s">
        <v>86</v>
      </c>
      <c r="U1719" t="s">
        <v>61</v>
      </c>
    </row>
    <row r="1720" spans="1:21" x14ac:dyDescent="0.35">
      <c r="A1720" t="s">
        <v>1849</v>
      </c>
      <c r="B1720" s="5">
        <v>45760</v>
      </c>
      <c r="C1720" t="s">
        <v>104</v>
      </c>
      <c r="D1720" t="s">
        <v>105</v>
      </c>
      <c r="E1720" s="9">
        <v>5</v>
      </c>
      <c r="F1720" s="10">
        <v>65</v>
      </c>
      <c r="G1720" s="11">
        <v>0.02</v>
      </c>
      <c r="H1720" s="10">
        <v>318.5</v>
      </c>
      <c r="I1720" s="9">
        <v>5</v>
      </c>
      <c r="J1720" s="10">
        <v>318.5</v>
      </c>
      <c r="K1720" s="9">
        <v>0</v>
      </c>
      <c r="L1720" s="10">
        <v>0</v>
      </c>
      <c r="M1720" s="10">
        <v>0</v>
      </c>
      <c r="N1720" s="10">
        <v>0</v>
      </c>
      <c r="O1720" s="11">
        <v>0</v>
      </c>
      <c r="P1720" s="10">
        <v>0</v>
      </c>
      <c r="Q1720" s="10">
        <v>0</v>
      </c>
      <c r="R1720" s="11">
        <v>0</v>
      </c>
      <c r="S1720" t="s">
        <v>75</v>
      </c>
      <c r="T1720" t="s">
        <v>66</v>
      </c>
      <c r="U1720" t="s">
        <v>76</v>
      </c>
    </row>
    <row r="1721" spans="1:21" x14ac:dyDescent="0.35">
      <c r="A1721" t="s">
        <v>1850</v>
      </c>
      <c r="B1721" s="5">
        <v>45714</v>
      </c>
      <c r="C1721" t="s">
        <v>125</v>
      </c>
      <c r="D1721" t="s">
        <v>85</v>
      </c>
      <c r="E1721" s="9">
        <v>8</v>
      </c>
      <c r="F1721" s="10">
        <v>125</v>
      </c>
      <c r="G1721" s="11">
        <v>0.05</v>
      </c>
      <c r="H1721" s="10">
        <v>950</v>
      </c>
      <c r="I1721" s="9">
        <v>0</v>
      </c>
      <c r="J1721" s="10">
        <v>0</v>
      </c>
      <c r="K1721" s="9">
        <v>8</v>
      </c>
      <c r="L1721" s="10">
        <v>950</v>
      </c>
      <c r="M1721" s="10">
        <v>600.84</v>
      </c>
      <c r="N1721" s="10">
        <v>349.16</v>
      </c>
      <c r="O1721" s="11">
        <f t="shared" ref="O1721:O1753" si="104">N1721/L1721</f>
        <v>0.36753684210526316</v>
      </c>
      <c r="P1721" s="10">
        <v>118.79</v>
      </c>
      <c r="Q1721" s="10">
        <v>230.37</v>
      </c>
      <c r="R1721" s="11">
        <f t="shared" ref="R1721:R1753" si="105">Q1721/L1721</f>
        <v>0.24249473684210526</v>
      </c>
      <c r="S1721" t="s">
        <v>81</v>
      </c>
      <c r="T1721" t="s">
        <v>60</v>
      </c>
      <c r="U1721" t="s">
        <v>61</v>
      </c>
    </row>
    <row r="1722" spans="1:21" x14ac:dyDescent="0.35">
      <c r="A1722" t="s">
        <v>1851</v>
      </c>
      <c r="B1722" s="5">
        <v>46014</v>
      </c>
      <c r="C1722" t="s">
        <v>73</v>
      </c>
      <c r="D1722" t="s">
        <v>74</v>
      </c>
      <c r="E1722" s="9">
        <v>6</v>
      </c>
      <c r="F1722" s="10">
        <v>280</v>
      </c>
      <c r="G1722" s="11">
        <v>0.15</v>
      </c>
      <c r="H1722" s="10">
        <v>1428</v>
      </c>
      <c r="I1722" s="9">
        <v>0</v>
      </c>
      <c r="J1722" s="10">
        <v>0</v>
      </c>
      <c r="K1722" s="9">
        <v>6</v>
      </c>
      <c r="L1722" s="10">
        <v>1428</v>
      </c>
      <c r="M1722" s="10">
        <v>1084.6099999999999</v>
      </c>
      <c r="N1722" s="10">
        <v>343.39</v>
      </c>
      <c r="O1722" s="11">
        <f t="shared" si="104"/>
        <v>0.24046918767507003</v>
      </c>
      <c r="P1722" s="10">
        <v>163.76</v>
      </c>
      <c r="Q1722" s="10">
        <v>179.63</v>
      </c>
      <c r="R1722" s="11">
        <f t="shared" si="105"/>
        <v>0.12579131652661063</v>
      </c>
      <c r="S1722" t="s">
        <v>75</v>
      </c>
      <c r="T1722" t="s">
        <v>86</v>
      </c>
      <c r="U1722" t="s">
        <v>71</v>
      </c>
    </row>
    <row r="1723" spans="1:21" x14ac:dyDescent="0.35">
      <c r="A1723" t="s">
        <v>1852</v>
      </c>
      <c r="B1723" s="5">
        <v>45823</v>
      </c>
      <c r="C1723" t="s">
        <v>73</v>
      </c>
      <c r="D1723" t="s">
        <v>74</v>
      </c>
      <c r="E1723" s="9">
        <v>3</v>
      </c>
      <c r="F1723" s="10">
        <v>280</v>
      </c>
      <c r="G1723" s="11">
        <v>0</v>
      </c>
      <c r="H1723" s="10">
        <v>840</v>
      </c>
      <c r="I1723" s="9">
        <v>0</v>
      </c>
      <c r="J1723" s="10">
        <v>0</v>
      </c>
      <c r="K1723" s="9">
        <v>3</v>
      </c>
      <c r="L1723" s="10">
        <v>840</v>
      </c>
      <c r="M1723" s="10">
        <v>700.18</v>
      </c>
      <c r="N1723" s="10">
        <v>139.82</v>
      </c>
      <c r="O1723" s="11">
        <f t="shared" si="104"/>
        <v>0.16645238095238094</v>
      </c>
      <c r="P1723" s="10">
        <v>71.03</v>
      </c>
      <c r="Q1723" s="10">
        <v>68.790000000000006</v>
      </c>
      <c r="R1723" s="11">
        <f t="shared" si="105"/>
        <v>8.1892857142857156E-2</v>
      </c>
      <c r="S1723" t="s">
        <v>81</v>
      </c>
      <c r="T1723" t="s">
        <v>86</v>
      </c>
      <c r="U1723" t="s">
        <v>61</v>
      </c>
    </row>
    <row r="1724" spans="1:21" x14ac:dyDescent="0.35">
      <c r="A1724" t="s">
        <v>1853</v>
      </c>
      <c r="B1724" s="5">
        <v>45941</v>
      </c>
      <c r="C1724" t="s">
        <v>117</v>
      </c>
      <c r="D1724" t="s">
        <v>74</v>
      </c>
      <c r="E1724" s="9">
        <v>1</v>
      </c>
      <c r="F1724" s="10">
        <v>95</v>
      </c>
      <c r="G1724" s="11">
        <v>0</v>
      </c>
      <c r="H1724" s="10">
        <v>95</v>
      </c>
      <c r="I1724" s="9">
        <v>0</v>
      </c>
      <c r="J1724" s="10">
        <v>0</v>
      </c>
      <c r="K1724" s="9">
        <v>1</v>
      </c>
      <c r="L1724" s="10">
        <v>95</v>
      </c>
      <c r="M1724" s="10">
        <v>62.88</v>
      </c>
      <c r="N1724" s="10">
        <v>32.119999999999997</v>
      </c>
      <c r="O1724" s="11">
        <f t="shared" si="104"/>
        <v>0.33810526315789469</v>
      </c>
      <c r="P1724" s="10">
        <v>6.68</v>
      </c>
      <c r="Q1724" s="10">
        <v>25.44</v>
      </c>
      <c r="R1724" s="11">
        <f t="shared" si="105"/>
        <v>0.26778947368421052</v>
      </c>
      <c r="S1724" t="s">
        <v>65</v>
      </c>
      <c r="T1724" t="s">
        <v>82</v>
      </c>
      <c r="U1724" t="s">
        <v>76</v>
      </c>
    </row>
    <row r="1725" spans="1:21" x14ac:dyDescent="0.35">
      <c r="A1725" t="s">
        <v>1854</v>
      </c>
      <c r="B1725" s="5">
        <v>45806</v>
      </c>
      <c r="C1725" t="s">
        <v>90</v>
      </c>
      <c r="D1725" t="s">
        <v>70</v>
      </c>
      <c r="E1725" s="9">
        <v>8</v>
      </c>
      <c r="F1725" s="10">
        <v>38</v>
      </c>
      <c r="G1725" s="11">
        <v>0.05</v>
      </c>
      <c r="H1725" s="10">
        <v>288.8</v>
      </c>
      <c r="I1725" s="9">
        <v>0</v>
      </c>
      <c r="J1725" s="10">
        <v>0</v>
      </c>
      <c r="K1725" s="9">
        <v>8</v>
      </c>
      <c r="L1725" s="10">
        <v>288.8</v>
      </c>
      <c r="M1725" s="10">
        <v>205.94</v>
      </c>
      <c r="N1725" s="10">
        <v>82.86</v>
      </c>
      <c r="O1725" s="11">
        <f t="shared" si="104"/>
        <v>0.28691135734072021</v>
      </c>
      <c r="P1725" s="10">
        <v>36.229999999999997</v>
      </c>
      <c r="Q1725" s="10">
        <v>46.63</v>
      </c>
      <c r="R1725" s="11">
        <f t="shared" si="105"/>
        <v>0.16146121883656511</v>
      </c>
      <c r="S1725" t="s">
        <v>65</v>
      </c>
      <c r="T1725" t="s">
        <v>60</v>
      </c>
      <c r="U1725" t="s">
        <v>61</v>
      </c>
    </row>
    <row r="1726" spans="1:21" x14ac:dyDescent="0.35">
      <c r="A1726" t="s">
        <v>1855</v>
      </c>
      <c r="B1726" s="5">
        <v>45818</v>
      </c>
      <c r="C1726" t="s">
        <v>100</v>
      </c>
      <c r="D1726" t="s">
        <v>64</v>
      </c>
      <c r="E1726" s="9">
        <v>3</v>
      </c>
      <c r="F1726" s="10">
        <v>310</v>
      </c>
      <c r="G1726" s="11">
        <v>0</v>
      </c>
      <c r="H1726" s="10">
        <v>930</v>
      </c>
      <c r="I1726" s="9">
        <v>0</v>
      </c>
      <c r="J1726" s="10">
        <v>0</v>
      </c>
      <c r="K1726" s="9">
        <v>3</v>
      </c>
      <c r="L1726" s="10">
        <v>930</v>
      </c>
      <c r="M1726" s="10">
        <v>584.35</v>
      </c>
      <c r="N1726" s="10">
        <v>345.65</v>
      </c>
      <c r="O1726" s="11">
        <f t="shared" si="104"/>
        <v>0.37166666666666665</v>
      </c>
      <c r="P1726" s="10">
        <v>76.16</v>
      </c>
      <c r="Q1726" s="10">
        <v>269.49</v>
      </c>
      <c r="R1726" s="11">
        <f t="shared" si="105"/>
        <v>0.28977419354838713</v>
      </c>
      <c r="S1726" t="s">
        <v>59</v>
      </c>
      <c r="T1726" t="s">
        <v>86</v>
      </c>
      <c r="U1726" t="s">
        <v>67</v>
      </c>
    </row>
    <row r="1727" spans="1:21" x14ac:dyDescent="0.35">
      <c r="A1727" t="s">
        <v>1856</v>
      </c>
      <c r="B1727" s="5">
        <v>45745</v>
      </c>
      <c r="C1727" t="s">
        <v>107</v>
      </c>
      <c r="D1727" t="s">
        <v>74</v>
      </c>
      <c r="E1727" s="9">
        <v>4</v>
      </c>
      <c r="F1727" s="10">
        <v>125</v>
      </c>
      <c r="G1727" s="11">
        <v>0</v>
      </c>
      <c r="H1727" s="10">
        <v>500</v>
      </c>
      <c r="I1727" s="9">
        <v>0</v>
      </c>
      <c r="J1727" s="10">
        <v>0</v>
      </c>
      <c r="K1727" s="9">
        <v>4</v>
      </c>
      <c r="L1727" s="10">
        <v>500</v>
      </c>
      <c r="M1727" s="10">
        <v>323.87</v>
      </c>
      <c r="N1727" s="10">
        <v>176.13</v>
      </c>
      <c r="O1727" s="11">
        <f t="shared" si="104"/>
        <v>0.35226000000000002</v>
      </c>
      <c r="P1727" s="10">
        <v>55.17</v>
      </c>
      <c r="Q1727" s="10">
        <v>120.96</v>
      </c>
      <c r="R1727" s="11">
        <f t="shared" si="105"/>
        <v>0.24192</v>
      </c>
      <c r="S1727" t="s">
        <v>75</v>
      </c>
      <c r="T1727" t="s">
        <v>60</v>
      </c>
      <c r="U1727" t="s">
        <v>61</v>
      </c>
    </row>
    <row r="1728" spans="1:21" x14ac:dyDescent="0.35">
      <c r="A1728" t="s">
        <v>1857</v>
      </c>
      <c r="B1728" s="5">
        <v>45715</v>
      </c>
      <c r="C1728" t="s">
        <v>69</v>
      </c>
      <c r="D1728" t="s">
        <v>70</v>
      </c>
      <c r="E1728" s="9">
        <v>3</v>
      </c>
      <c r="F1728" s="10">
        <v>210</v>
      </c>
      <c r="G1728" s="11">
        <v>0</v>
      </c>
      <c r="H1728" s="10">
        <v>630</v>
      </c>
      <c r="I1728" s="9">
        <v>0</v>
      </c>
      <c r="J1728" s="10">
        <v>0</v>
      </c>
      <c r="K1728" s="9">
        <v>3</v>
      </c>
      <c r="L1728" s="10">
        <v>630</v>
      </c>
      <c r="M1728" s="10">
        <v>414.97</v>
      </c>
      <c r="N1728" s="10">
        <v>215.03</v>
      </c>
      <c r="O1728" s="11">
        <f t="shared" si="104"/>
        <v>0.3413174603174603</v>
      </c>
      <c r="P1728" s="10">
        <v>38.1</v>
      </c>
      <c r="Q1728" s="10">
        <v>176.93</v>
      </c>
      <c r="R1728" s="11">
        <f t="shared" si="105"/>
        <v>0.28084126984126984</v>
      </c>
      <c r="S1728" t="s">
        <v>65</v>
      </c>
      <c r="T1728" t="s">
        <v>66</v>
      </c>
      <c r="U1728" t="s">
        <v>61</v>
      </c>
    </row>
    <row r="1729" spans="1:21" x14ac:dyDescent="0.35">
      <c r="A1729" t="s">
        <v>1858</v>
      </c>
      <c r="B1729" s="5">
        <v>45968</v>
      </c>
      <c r="C1729" t="s">
        <v>117</v>
      </c>
      <c r="D1729" t="s">
        <v>74</v>
      </c>
      <c r="E1729" s="9">
        <v>5</v>
      </c>
      <c r="F1729" s="10">
        <v>95</v>
      </c>
      <c r="G1729" s="11">
        <v>0.1</v>
      </c>
      <c r="H1729" s="10">
        <v>427.5</v>
      </c>
      <c r="I1729" s="9">
        <v>0</v>
      </c>
      <c r="J1729" s="10">
        <v>0</v>
      </c>
      <c r="K1729" s="9">
        <v>5</v>
      </c>
      <c r="L1729" s="10">
        <v>427.5</v>
      </c>
      <c r="M1729" s="10">
        <v>346.18</v>
      </c>
      <c r="N1729" s="10">
        <v>81.319999999999993</v>
      </c>
      <c r="O1729" s="11">
        <f t="shared" si="104"/>
        <v>0.19022222222222221</v>
      </c>
      <c r="P1729" s="10">
        <v>35.450000000000003</v>
      </c>
      <c r="Q1729" s="10">
        <v>45.87</v>
      </c>
      <c r="R1729" s="11">
        <f t="shared" si="105"/>
        <v>0.10729824561403509</v>
      </c>
      <c r="S1729" t="s">
        <v>59</v>
      </c>
      <c r="T1729" t="s">
        <v>66</v>
      </c>
      <c r="U1729" t="s">
        <v>67</v>
      </c>
    </row>
    <row r="1730" spans="1:21" x14ac:dyDescent="0.35">
      <c r="A1730" t="s">
        <v>1859</v>
      </c>
      <c r="B1730" s="5">
        <v>45848</v>
      </c>
      <c r="C1730" t="s">
        <v>104</v>
      </c>
      <c r="D1730" t="s">
        <v>105</v>
      </c>
      <c r="E1730" s="9">
        <v>1</v>
      </c>
      <c r="F1730" s="10">
        <v>65</v>
      </c>
      <c r="G1730" s="11">
        <v>0.1</v>
      </c>
      <c r="H1730" s="10">
        <v>58.5</v>
      </c>
      <c r="I1730" s="9">
        <v>0</v>
      </c>
      <c r="J1730" s="10">
        <v>0</v>
      </c>
      <c r="K1730" s="9">
        <v>1</v>
      </c>
      <c r="L1730" s="10">
        <v>58.5</v>
      </c>
      <c r="M1730" s="10">
        <v>43.63</v>
      </c>
      <c r="N1730" s="10">
        <v>14.87</v>
      </c>
      <c r="O1730" s="11">
        <f t="shared" si="104"/>
        <v>0.25418803418803415</v>
      </c>
      <c r="P1730" s="10">
        <v>4.37</v>
      </c>
      <c r="Q1730" s="10">
        <v>10.5</v>
      </c>
      <c r="R1730" s="11">
        <f t="shared" si="105"/>
        <v>0.17948717948717949</v>
      </c>
      <c r="S1730" t="s">
        <v>75</v>
      </c>
      <c r="T1730" t="s">
        <v>86</v>
      </c>
      <c r="U1730" t="s">
        <v>71</v>
      </c>
    </row>
    <row r="1731" spans="1:21" x14ac:dyDescent="0.35">
      <c r="A1731" t="s">
        <v>1860</v>
      </c>
      <c r="B1731" s="5">
        <v>45743</v>
      </c>
      <c r="C1731" t="s">
        <v>88</v>
      </c>
      <c r="D1731" t="s">
        <v>57</v>
      </c>
      <c r="E1731" s="9">
        <v>4</v>
      </c>
      <c r="F1731" s="10">
        <v>30</v>
      </c>
      <c r="G1731" s="11">
        <v>0.05</v>
      </c>
      <c r="H1731" s="10">
        <v>114</v>
      </c>
      <c r="I1731" s="9">
        <v>0</v>
      </c>
      <c r="J1731" s="10">
        <v>0</v>
      </c>
      <c r="K1731" s="9">
        <v>4</v>
      </c>
      <c r="L1731" s="10">
        <v>114</v>
      </c>
      <c r="M1731" s="10">
        <v>77.709999999999994</v>
      </c>
      <c r="N1731" s="10">
        <v>36.29</v>
      </c>
      <c r="O1731" s="11">
        <f t="shared" si="104"/>
        <v>0.3183333333333333</v>
      </c>
      <c r="P1731" s="10">
        <v>9.9</v>
      </c>
      <c r="Q1731" s="10">
        <v>26.39</v>
      </c>
      <c r="R1731" s="11">
        <f t="shared" si="105"/>
        <v>0.23149122807017544</v>
      </c>
      <c r="S1731" t="s">
        <v>65</v>
      </c>
      <c r="T1731" t="s">
        <v>60</v>
      </c>
      <c r="U1731" t="s">
        <v>67</v>
      </c>
    </row>
    <row r="1732" spans="1:21" x14ac:dyDescent="0.35">
      <c r="A1732" t="s">
        <v>1861</v>
      </c>
      <c r="B1732" s="5">
        <v>45892</v>
      </c>
      <c r="C1732" t="s">
        <v>114</v>
      </c>
      <c r="D1732" t="s">
        <v>64</v>
      </c>
      <c r="E1732" s="9">
        <v>4</v>
      </c>
      <c r="F1732" s="10">
        <v>420</v>
      </c>
      <c r="G1732" s="11">
        <v>0</v>
      </c>
      <c r="H1732" s="10">
        <v>1680</v>
      </c>
      <c r="I1732" s="9">
        <v>0</v>
      </c>
      <c r="J1732" s="10">
        <v>0</v>
      </c>
      <c r="K1732" s="9">
        <v>4</v>
      </c>
      <c r="L1732" s="10">
        <v>1680</v>
      </c>
      <c r="M1732" s="10">
        <v>1133.93</v>
      </c>
      <c r="N1732" s="10">
        <v>546.07000000000005</v>
      </c>
      <c r="O1732" s="11">
        <f t="shared" si="104"/>
        <v>0.32504166666666667</v>
      </c>
      <c r="P1732" s="10">
        <v>205.93</v>
      </c>
      <c r="Q1732" s="10">
        <v>340.14</v>
      </c>
      <c r="R1732" s="11">
        <f t="shared" si="105"/>
        <v>0.20246428571428571</v>
      </c>
      <c r="S1732" t="s">
        <v>65</v>
      </c>
      <c r="T1732" t="s">
        <v>86</v>
      </c>
      <c r="U1732" t="s">
        <v>71</v>
      </c>
    </row>
    <row r="1733" spans="1:21" x14ac:dyDescent="0.35">
      <c r="A1733" t="s">
        <v>1862</v>
      </c>
      <c r="B1733" s="5">
        <v>45839</v>
      </c>
      <c r="C1733" t="s">
        <v>95</v>
      </c>
      <c r="D1733" t="s">
        <v>64</v>
      </c>
      <c r="E1733" s="9">
        <v>3</v>
      </c>
      <c r="F1733" s="10">
        <v>52</v>
      </c>
      <c r="G1733" s="11">
        <v>0</v>
      </c>
      <c r="H1733" s="10">
        <v>156</v>
      </c>
      <c r="I1733" s="9">
        <v>0</v>
      </c>
      <c r="J1733" s="10">
        <v>0</v>
      </c>
      <c r="K1733" s="9">
        <v>3</v>
      </c>
      <c r="L1733" s="10">
        <v>156</v>
      </c>
      <c r="M1733" s="10">
        <v>121.23</v>
      </c>
      <c r="N1733" s="10">
        <v>34.770000000000003</v>
      </c>
      <c r="O1733" s="11">
        <f t="shared" si="104"/>
        <v>0.2228846153846154</v>
      </c>
      <c r="P1733" s="10">
        <v>10.96</v>
      </c>
      <c r="Q1733" s="10">
        <v>23.81</v>
      </c>
      <c r="R1733" s="11">
        <f t="shared" si="105"/>
        <v>0.15262820512820513</v>
      </c>
      <c r="S1733" t="s">
        <v>65</v>
      </c>
      <c r="T1733" t="s">
        <v>86</v>
      </c>
      <c r="U1733" t="s">
        <v>67</v>
      </c>
    </row>
    <row r="1734" spans="1:21" x14ac:dyDescent="0.35">
      <c r="A1734" t="s">
        <v>1863</v>
      </c>
      <c r="B1734" s="5">
        <v>45682</v>
      </c>
      <c r="C1734" t="s">
        <v>109</v>
      </c>
      <c r="D1734" t="s">
        <v>85</v>
      </c>
      <c r="E1734" s="9">
        <v>1</v>
      </c>
      <c r="F1734" s="10">
        <v>180</v>
      </c>
      <c r="G1734" s="11">
        <v>0</v>
      </c>
      <c r="H1734" s="10">
        <v>180</v>
      </c>
      <c r="I1734" s="9">
        <v>0</v>
      </c>
      <c r="J1734" s="10">
        <v>0</v>
      </c>
      <c r="K1734" s="9">
        <v>1</v>
      </c>
      <c r="L1734" s="10">
        <v>180</v>
      </c>
      <c r="M1734" s="10">
        <v>130.61000000000001</v>
      </c>
      <c r="N1734" s="10">
        <v>49.39</v>
      </c>
      <c r="O1734" s="11">
        <f t="shared" si="104"/>
        <v>0.2743888888888889</v>
      </c>
      <c r="P1734" s="10">
        <v>18.84</v>
      </c>
      <c r="Q1734" s="10">
        <v>30.55</v>
      </c>
      <c r="R1734" s="11">
        <f t="shared" si="105"/>
        <v>0.16972222222222222</v>
      </c>
      <c r="S1734" t="s">
        <v>65</v>
      </c>
      <c r="T1734" t="s">
        <v>86</v>
      </c>
      <c r="U1734" t="s">
        <v>71</v>
      </c>
    </row>
    <row r="1735" spans="1:21" x14ac:dyDescent="0.35">
      <c r="A1735" t="s">
        <v>1864</v>
      </c>
      <c r="B1735" s="5">
        <v>45878</v>
      </c>
      <c r="C1735" t="s">
        <v>117</v>
      </c>
      <c r="D1735" t="s">
        <v>74</v>
      </c>
      <c r="E1735" s="9">
        <v>4</v>
      </c>
      <c r="F1735" s="10">
        <v>95</v>
      </c>
      <c r="G1735" s="11">
        <v>0.02</v>
      </c>
      <c r="H1735" s="10">
        <v>372.4</v>
      </c>
      <c r="I1735" s="9">
        <v>0</v>
      </c>
      <c r="J1735" s="10">
        <v>0</v>
      </c>
      <c r="K1735" s="9">
        <v>4</v>
      </c>
      <c r="L1735" s="10">
        <v>372.4</v>
      </c>
      <c r="M1735" s="10">
        <v>241.86</v>
      </c>
      <c r="N1735" s="10">
        <v>130.54</v>
      </c>
      <c r="O1735" s="11">
        <f t="shared" si="104"/>
        <v>0.35053705692803439</v>
      </c>
      <c r="P1735" s="10">
        <v>22.28</v>
      </c>
      <c r="Q1735" s="10">
        <v>108.26</v>
      </c>
      <c r="R1735" s="11">
        <f t="shared" si="105"/>
        <v>0.29070891514500541</v>
      </c>
      <c r="S1735" t="s">
        <v>59</v>
      </c>
      <c r="T1735" t="s">
        <v>82</v>
      </c>
      <c r="U1735" t="s">
        <v>67</v>
      </c>
    </row>
    <row r="1736" spans="1:21" x14ac:dyDescent="0.35">
      <c r="A1736" t="s">
        <v>1865</v>
      </c>
      <c r="B1736" s="5">
        <v>45748</v>
      </c>
      <c r="C1736" t="s">
        <v>88</v>
      </c>
      <c r="D1736" t="s">
        <v>57</v>
      </c>
      <c r="E1736" s="9">
        <v>3</v>
      </c>
      <c r="F1736" s="10">
        <v>30</v>
      </c>
      <c r="G1736" s="11">
        <v>0</v>
      </c>
      <c r="H1736" s="10">
        <v>90</v>
      </c>
      <c r="I1736" s="9">
        <v>0</v>
      </c>
      <c r="J1736" s="10">
        <v>0</v>
      </c>
      <c r="K1736" s="9">
        <v>3</v>
      </c>
      <c r="L1736" s="10">
        <v>90</v>
      </c>
      <c r="M1736" s="10">
        <v>70.739999999999995</v>
      </c>
      <c r="N1736" s="10">
        <v>19.260000000000002</v>
      </c>
      <c r="O1736" s="11">
        <f t="shared" si="104"/>
        <v>0.21400000000000002</v>
      </c>
      <c r="P1736" s="10">
        <v>9.61</v>
      </c>
      <c r="Q1736" s="10">
        <v>9.65</v>
      </c>
      <c r="R1736" s="11">
        <f t="shared" si="105"/>
        <v>0.10722222222222223</v>
      </c>
      <c r="S1736" t="s">
        <v>81</v>
      </c>
      <c r="T1736" t="s">
        <v>66</v>
      </c>
      <c r="U1736" t="s">
        <v>76</v>
      </c>
    </row>
    <row r="1737" spans="1:21" x14ac:dyDescent="0.35">
      <c r="A1737" t="s">
        <v>1866</v>
      </c>
      <c r="B1737" s="5">
        <v>45710</v>
      </c>
      <c r="C1737" t="s">
        <v>104</v>
      </c>
      <c r="D1737" t="s">
        <v>105</v>
      </c>
      <c r="E1737" s="9">
        <v>1</v>
      </c>
      <c r="F1737" s="10">
        <v>65</v>
      </c>
      <c r="G1737" s="11">
        <v>0</v>
      </c>
      <c r="H1737" s="10">
        <v>65</v>
      </c>
      <c r="I1737" s="9">
        <v>0</v>
      </c>
      <c r="J1737" s="10">
        <v>0</v>
      </c>
      <c r="K1737" s="9">
        <v>1</v>
      </c>
      <c r="L1737" s="10">
        <v>65</v>
      </c>
      <c r="M1737" s="10">
        <v>52.13</v>
      </c>
      <c r="N1737" s="10">
        <v>12.87</v>
      </c>
      <c r="O1737" s="11">
        <f t="shared" si="104"/>
        <v>0.19799999999999998</v>
      </c>
      <c r="P1737" s="10">
        <v>5.22</v>
      </c>
      <c r="Q1737" s="10">
        <v>7.65</v>
      </c>
      <c r="R1737" s="11">
        <f t="shared" si="105"/>
        <v>0.11769230769230769</v>
      </c>
      <c r="S1737" t="s">
        <v>65</v>
      </c>
      <c r="T1737" t="s">
        <v>60</v>
      </c>
      <c r="U1737" t="s">
        <v>61</v>
      </c>
    </row>
    <row r="1738" spans="1:21" x14ac:dyDescent="0.35">
      <c r="A1738" t="s">
        <v>1867</v>
      </c>
      <c r="B1738" s="5">
        <v>45688</v>
      </c>
      <c r="C1738" t="s">
        <v>264</v>
      </c>
      <c r="D1738" t="s">
        <v>85</v>
      </c>
      <c r="E1738" s="9">
        <v>2</v>
      </c>
      <c r="F1738" s="10">
        <v>20</v>
      </c>
      <c r="G1738" s="11">
        <v>0.05</v>
      </c>
      <c r="H1738" s="10">
        <v>38</v>
      </c>
      <c r="I1738" s="9">
        <v>0</v>
      </c>
      <c r="J1738" s="10">
        <v>0</v>
      </c>
      <c r="K1738" s="9">
        <v>2</v>
      </c>
      <c r="L1738" s="10">
        <v>38</v>
      </c>
      <c r="M1738" s="10">
        <v>29.27</v>
      </c>
      <c r="N1738" s="10">
        <v>8.73</v>
      </c>
      <c r="O1738" s="11">
        <f t="shared" si="104"/>
        <v>0.22973684210526316</v>
      </c>
      <c r="P1738" s="10">
        <v>4.83</v>
      </c>
      <c r="Q1738" s="10">
        <v>3.9</v>
      </c>
      <c r="R1738" s="11">
        <f t="shared" si="105"/>
        <v>0.10263157894736842</v>
      </c>
      <c r="S1738" t="s">
        <v>75</v>
      </c>
      <c r="T1738" t="s">
        <v>86</v>
      </c>
      <c r="U1738" t="s">
        <v>61</v>
      </c>
    </row>
    <row r="1739" spans="1:21" x14ac:dyDescent="0.35">
      <c r="A1739" t="s">
        <v>1868</v>
      </c>
      <c r="B1739" s="5">
        <v>46011</v>
      </c>
      <c r="C1739" t="s">
        <v>109</v>
      </c>
      <c r="D1739" t="s">
        <v>85</v>
      </c>
      <c r="E1739" s="9">
        <v>1</v>
      </c>
      <c r="F1739" s="10">
        <v>180</v>
      </c>
      <c r="G1739" s="11">
        <v>0.02</v>
      </c>
      <c r="H1739" s="10">
        <v>176.4</v>
      </c>
      <c r="I1739" s="9">
        <v>0</v>
      </c>
      <c r="J1739" s="10">
        <v>0</v>
      </c>
      <c r="K1739" s="9">
        <v>1</v>
      </c>
      <c r="L1739" s="10">
        <v>176.4</v>
      </c>
      <c r="M1739" s="10">
        <v>118.28</v>
      </c>
      <c r="N1739" s="10">
        <v>58.12</v>
      </c>
      <c r="O1739" s="11">
        <f t="shared" si="104"/>
        <v>0.32947845804988657</v>
      </c>
      <c r="P1739" s="10">
        <v>13.19</v>
      </c>
      <c r="Q1739" s="10">
        <v>44.93</v>
      </c>
      <c r="R1739" s="11">
        <f t="shared" si="105"/>
        <v>0.25470521541950114</v>
      </c>
      <c r="S1739" t="s">
        <v>59</v>
      </c>
      <c r="T1739" t="s">
        <v>2133</v>
      </c>
      <c r="U1739" t="s">
        <v>76</v>
      </c>
    </row>
    <row r="1740" spans="1:21" x14ac:dyDescent="0.35">
      <c r="A1740" t="s">
        <v>1869</v>
      </c>
      <c r="B1740" s="5">
        <v>45926</v>
      </c>
      <c r="C1740" t="s">
        <v>63</v>
      </c>
      <c r="D1740" t="s">
        <v>64</v>
      </c>
      <c r="E1740" s="9">
        <v>2</v>
      </c>
      <c r="F1740" s="10">
        <v>145</v>
      </c>
      <c r="G1740" s="11">
        <v>0.1</v>
      </c>
      <c r="H1740" s="10">
        <v>261</v>
      </c>
      <c r="I1740" s="9">
        <v>0</v>
      </c>
      <c r="J1740" s="10">
        <v>0</v>
      </c>
      <c r="K1740" s="9">
        <v>2</v>
      </c>
      <c r="L1740" s="10">
        <v>261</v>
      </c>
      <c r="M1740" s="10">
        <v>171.26</v>
      </c>
      <c r="N1740" s="10">
        <v>89.74</v>
      </c>
      <c r="O1740" s="11">
        <f t="shared" si="104"/>
        <v>0.34383141762452107</v>
      </c>
      <c r="P1740" s="10">
        <v>15</v>
      </c>
      <c r="Q1740" s="10">
        <v>74.739999999999995</v>
      </c>
      <c r="R1740" s="11">
        <f t="shared" si="105"/>
        <v>0.28636015325670494</v>
      </c>
      <c r="S1740" t="s">
        <v>81</v>
      </c>
      <c r="T1740" t="s">
        <v>66</v>
      </c>
      <c r="U1740" t="s">
        <v>71</v>
      </c>
    </row>
    <row r="1741" spans="1:21" x14ac:dyDescent="0.35">
      <c r="A1741" t="s">
        <v>1870</v>
      </c>
      <c r="B1741" s="5">
        <v>45944</v>
      </c>
      <c r="C1741" t="s">
        <v>121</v>
      </c>
      <c r="D1741" t="s">
        <v>70</v>
      </c>
      <c r="E1741" s="9">
        <v>1</v>
      </c>
      <c r="F1741" s="10">
        <v>110</v>
      </c>
      <c r="G1741" s="11">
        <v>0.15</v>
      </c>
      <c r="H1741" s="10">
        <v>93.5</v>
      </c>
      <c r="I1741" s="9">
        <v>0</v>
      </c>
      <c r="J1741" s="10">
        <v>0</v>
      </c>
      <c r="K1741" s="9">
        <v>1</v>
      </c>
      <c r="L1741" s="10">
        <v>93.5</v>
      </c>
      <c r="M1741" s="10">
        <v>65.7</v>
      </c>
      <c r="N1741" s="10">
        <v>27.8</v>
      </c>
      <c r="O1741" s="11">
        <f t="shared" si="104"/>
        <v>0.29732620320855618</v>
      </c>
      <c r="P1741" s="10">
        <v>11.04</v>
      </c>
      <c r="Q1741" s="10">
        <v>16.760000000000002</v>
      </c>
      <c r="R1741" s="11">
        <f t="shared" si="105"/>
        <v>0.17925133689839573</v>
      </c>
      <c r="S1741" t="s">
        <v>59</v>
      </c>
      <c r="T1741" t="s">
        <v>60</v>
      </c>
      <c r="U1741" t="s">
        <v>61</v>
      </c>
    </row>
    <row r="1742" spans="1:21" x14ac:dyDescent="0.35">
      <c r="A1742" t="s">
        <v>1871</v>
      </c>
      <c r="B1742" s="5">
        <v>45742</v>
      </c>
      <c r="C1742" t="s">
        <v>114</v>
      </c>
      <c r="D1742" t="s">
        <v>64</v>
      </c>
      <c r="E1742" s="9">
        <v>5</v>
      </c>
      <c r="F1742" s="10">
        <v>420</v>
      </c>
      <c r="G1742" s="11">
        <v>0.15</v>
      </c>
      <c r="H1742" s="10">
        <v>1785</v>
      </c>
      <c r="I1742" s="9">
        <v>0</v>
      </c>
      <c r="J1742" s="10">
        <v>0</v>
      </c>
      <c r="K1742" s="9">
        <v>5</v>
      </c>
      <c r="L1742" s="10">
        <v>1785</v>
      </c>
      <c r="M1742" s="10">
        <v>1409.69</v>
      </c>
      <c r="N1742" s="10">
        <v>375.31</v>
      </c>
      <c r="O1742" s="11">
        <f t="shared" si="104"/>
        <v>0.21025770308123248</v>
      </c>
      <c r="P1742" s="10">
        <v>146.63999999999999</v>
      </c>
      <c r="Q1742" s="10">
        <v>228.67</v>
      </c>
      <c r="R1742" s="11">
        <f t="shared" si="105"/>
        <v>0.1281064425770308</v>
      </c>
      <c r="S1742" t="s">
        <v>75</v>
      </c>
      <c r="T1742" t="s">
        <v>82</v>
      </c>
      <c r="U1742" t="s">
        <v>61</v>
      </c>
    </row>
    <row r="1743" spans="1:21" x14ac:dyDescent="0.35">
      <c r="A1743" t="s">
        <v>1872</v>
      </c>
      <c r="B1743" s="5">
        <v>45853</v>
      </c>
      <c r="C1743" t="s">
        <v>264</v>
      </c>
      <c r="D1743" t="s">
        <v>85</v>
      </c>
      <c r="E1743" s="9">
        <v>3</v>
      </c>
      <c r="F1743" s="10">
        <v>20</v>
      </c>
      <c r="G1743" s="11">
        <v>0.1</v>
      </c>
      <c r="H1743" s="10">
        <v>54</v>
      </c>
      <c r="I1743" s="9">
        <v>0</v>
      </c>
      <c r="J1743" s="10">
        <v>0</v>
      </c>
      <c r="K1743" s="9">
        <v>3</v>
      </c>
      <c r="L1743" s="10">
        <v>54</v>
      </c>
      <c r="M1743" s="10">
        <v>33.93</v>
      </c>
      <c r="N1743" s="10">
        <v>20.07</v>
      </c>
      <c r="O1743" s="11">
        <f t="shared" si="104"/>
        <v>0.37166666666666665</v>
      </c>
      <c r="P1743" s="10">
        <v>5.82</v>
      </c>
      <c r="Q1743" s="10">
        <v>14.25</v>
      </c>
      <c r="R1743" s="11">
        <f t="shared" si="105"/>
        <v>0.2638888888888889</v>
      </c>
      <c r="S1743" t="s">
        <v>59</v>
      </c>
      <c r="T1743" t="s">
        <v>60</v>
      </c>
      <c r="U1743" t="s">
        <v>71</v>
      </c>
    </row>
    <row r="1744" spans="1:21" x14ac:dyDescent="0.35">
      <c r="A1744" t="s">
        <v>1873</v>
      </c>
      <c r="B1744" s="5">
        <v>45890</v>
      </c>
      <c r="C1744" t="s">
        <v>125</v>
      </c>
      <c r="D1744" t="s">
        <v>85</v>
      </c>
      <c r="E1744" s="9">
        <v>3</v>
      </c>
      <c r="F1744" s="10">
        <v>125</v>
      </c>
      <c r="G1744" s="11">
        <v>0</v>
      </c>
      <c r="H1744" s="10">
        <v>375</v>
      </c>
      <c r="I1744" s="9">
        <v>0</v>
      </c>
      <c r="J1744" s="10">
        <v>0</v>
      </c>
      <c r="K1744" s="9">
        <v>3</v>
      </c>
      <c r="L1744" s="10">
        <v>375</v>
      </c>
      <c r="M1744" s="10">
        <v>281.57</v>
      </c>
      <c r="N1744" s="10">
        <v>93.43</v>
      </c>
      <c r="O1744" s="11">
        <f t="shared" si="104"/>
        <v>0.24914666666666668</v>
      </c>
      <c r="P1744" s="10">
        <v>45.62</v>
      </c>
      <c r="Q1744" s="10">
        <v>47.81</v>
      </c>
      <c r="R1744" s="11">
        <f t="shared" si="105"/>
        <v>0.12749333333333335</v>
      </c>
      <c r="S1744" t="s">
        <v>59</v>
      </c>
      <c r="T1744" t="s">
        <v>82</v>
      </c>
      <c r="U1744" t="s">
        <v>71</v>
      </c>
    </row>
    <row r="1745" spans="1:21" x14ac:dyDescent="0.35">
      <c r="A1745" t="s">
        <v>1874</v>
      </c>
      <c r="B1745" s="5">
        <v>45961</v>
      </c>
      <c r="C1745" t="s">
        <v>73</v>
      </c>
      <c r="D1745" t="s">
        <v>74</v>
      </c>
      <c r="E1745" s="9">
        <v>2</v>
      </c>
      <c r="F1745" s="10">
        <v>280</v>
      </c>
      <c r="G1745" s="11">
        <v>0</v>
      </c>
      <c r="H1745" s="10">
        <v>560</v>
      </c>
      <c r="I1745" s="9">
        <v>0</v>
      </c>
      <c r="J1745" s="10">
        <v>0</v>
      </c>
      <c r="K1745" s="9">
        <v>2</v>
      </c>
      <c r="L1745" s="10">
        <v>560</v>
      </c>
      <c r="M1745" s="10">
        <v>374.11</v>
      </c>
      <c r="N1745" s="10">
        <v>185.89</v>
      </c>
      <c r="O1745" s="11">
        <f t="shared" si="104"/>
        <v>0.33194642857142853</v>
      </c>
      <c r="P1745" s="10">
        <v>65.75</v>
      </c>
      <c r="Q1745" s="10">
        <v>120.14</v>
      </c>
      <c r="R1745" s="11">
        <f t="shared" si="105"/>
        <v>0.21453571428571427</v>
      </c>
      <c r="S1745" t="s">
        <v>65</v>
      </c>
      <c r="T1745" t="s">
        <v>86</v>
      </c>
      <c r="U1745" t="s">
        <v>76</v>
      </c>
    </row>
    <row r="1746" spans="1:21" x14ac:dyDescent="0.35">
      <c r="A1746" t="s">
        <v>1875</v>
      </c>
      <c r="B1746" s="5">
        <v>45734</v>
      </c>
      <c r="C1746" t="s">
        <v>100</v>
      </c>
      <c r="D1746" t="s">
        <v>64</v>
      </c>
      <c r="E1746" s="9">
        <v>4</v>
      </c>
      <c r="F1746" s="10">
        <v>310</v>
      </c>
      <c r="G1746" s="11">
        <v>0.02</v>
      </c>
      <c r="H1746" s="10">
        <v>1215.2</v>
      </c>
      <c r="I1746" s="9">
        <v>0</v>
      </c>
      <c r="J1746" s="10">
        <v>0</v>
      </c>
      <c r="K1746" s="9">
        <v>4</v>
      </c>
      <c r="L1746" s="10">
        <v>1215.2</v>
      </c>
      <c r="M1746" s="10">
        <v>998.88</v>
      </c>
      <c r="N1746" s="10">
        <v>216.32</v>
      </c>
      <c r="O1746" s="11">
        <f t="shared" si="104"/>
        <v>0.17801184990125082</v>
      </c>
      <c r="P1746" s="10">
        <v>124.9</v>
      </c>
      <c r="Q1746" s="10">
        <v>91.42</v>
      </c>
      <c r="R1746" s="11">
        <f t="shared" si="105"/>
        <v>7.5230414746543781E-2</v>
      </c>
      <c r="S1746" t="s">
        <v>59</v>
      </c>
      <c r="T1746" t="s">
        <v>66</v>
      </c>
      <c r="U1746" t="s">
        <v>61</v>
      </c>
    </row>
    <row r="1747" spans="1:21" x14ac:dyDescent="0.35">
      <c r="A1747" t="s">
        <v>1876</v>
      </c>
      <c r="B1747" s="5">
        <v>45747</v>
      </c>
      <c r="C1747" t="s">
        <v>109</v>
      </c>
      <c r="D1747" t="s">
        <v>85</v>
      </c>
      <c r="E1747" s="9">
        <v>1</v>
      </c>
      <c r="F1747" s="10">
        <v>180</v>
      </c>
      <c r="G1747" s="11">
        <v>0</v>
      </c>
      <c r="H1747" s="10">
        <v>180</v>
      </c>
      <c r="I1747" s="9">
        <v>0</v>
      </c>
      <c r="J1747" s="10">
        <v>0</v>
      </c>
      <c r="K1747" s="9">
        <v>1</v>
      </c>
      <c r="L1747" s="10">
        <v>180</v>
      </c>
      <c r="M1747" s="10">
        <v>148.84</v>
      </c>
      <c r="N1747" s="10">
        <v>31.16</v>
      </c>
      <c r="O1747" s="11">
        <f t="shared" si="104"/>
        <v>0.1731111111111111</v>
      </c>
      <c r="P1747" s="10">
        <v>22.19</v>
      </c>
      <c r="Q1747" s="10">
        <v>8.9700000000000006</v>
      </c>
      <c r="R1747" s="11">
        <f t="shared" si="105"/>
        <v>4.9833333333333334E-2</v>
      </c>
      <c r="S1747" t="s">
        <v>75</v>
      </c>
      <c r="T1747" t="s">
        <v>82</v>
      </c>
      <c r="U1747" t="s">
        <v>61</v>
      </c>
    </row>
    <row r="1748" spans="1:21" x14ac:dyDescent="0.35">
      <c r="A1748" t="s">
        <v>1877</v>
      </c>
      <c r="B1748" s="5">
        <v>45754</v>
      </c>
      <c r="C1748" t="s">
        <v>69</v>
      </c>
      <c r="D1748" t="s">
        <v>70</v>
      </c>
      <c r="E1748" s="9">
        <v>6</v>
      </c>
      <c r="F1748" s="10">
        <v>210</v>
      </c>
      <c r="G1748" s="11">
        <v>0</v>
      </c>
      <c r="H1748" s="10">
        <v>1260</v>
      </c>
      <c r="I1748" s="9">
        <v>0</v>
      </c>
      <c r="J1748" s="10">
        <v>0</v>
      </c>
      <c r="K1748" s="9">
        <v>6</v>
      </c>
      <c r="L1748" s="10">
        <v>1260</v>
      </c>
      <c r="M1748" s="10">
        <v>862.55</v>
      </c>
      <c r="N1748" s="10">
        <v>397.45</v>
      </c>
      <c r="O1748" s="11">
        <f t="shared" si="104"/>
        <v>0.3154365079365079</v>
      </c>
      <c r="P1748" s="10">
        <v>83.33</v>
      </c>
      <c r="Q1748" s="10">
        <v>314.12</v>
      </c>
      <c r="R1748" s="11">
        <f t="shared" si="105"/>
        <v>0.2493015873015873</v>
      </c>
      <c r="S1748" t="s">
        <v>81</v>
      </c>
      <c r="T1748" t="s">
        <v>60</v>
      </c>
      <c r="U1748" t="s">
        <v>71</v>
      </c>
    </row>
    <row r="1749" spans="1:21" x14ac:dyDescent="0.35">
      <c r="A1749" t="s">
        <v>1878</v>
      </c>
      <c r="B1749" s="5">
        <v>45823</v>
      </c>
      <c r="C1749" t="s">
        <v>90</v>
      </c>
      <c r="D1749" t="s">
        <v>70</v>
      </c>
      <c r="E1749" s="9">
        <v>3</v>
      </c>
      <c r="F1749" s="10">
        <v>38</v>
      </c>
      <c r="G1749" s="11">
        <v>0.15</v>
      </c>
      <c r="H1749" s="10">
        <v>96.9</v>
      </c>
      <c r="I1749" s="9">
        <v>0</v>
      </c>
      <c r="J1749" s="10">
        <v>0</v>
      </c>
      <c r="K1749" s="9">
        <v>3</v>
      </c>
      <c r="L1749" s="10">
        <v>96.9</v>
      </c>
      <c r="M1749" s="10">
        <v>79.41</v>
      </c>
      <c r="N1749" s="10">
        <v>17.489999999999998</v>
      </c>
      <c r="O1749" s="11">
        <f t="shared" si="104"/>
        <v>0.18049535603715167</v>
      </c>
      <c r="P1749" s="10">
        <v>6.82</v>
      </c>
      <c r="Q1749" s="10">
        <v>10.67</v>
      </c>
      <c r="R1749" s="11">
        <f t="shared" si="105"/>
        <v>0.11011351909184726</v>
      </c>
      <c r="S1749" t="s">
        <v>75</v>
      </c>
      <c r="T1749" t="s">
        <v>82</v>
      </c>
      <c r="U1749" t="s">
        <v>76</v>
      </c>
    </row>
    <row r="1750" spans="1:21" x14ac:dyDescent="0.35">
      <c r="A1750" t="s">
        <v>1879</v>
      </c>
      <c r="B1750" s="5">
        <v>45759</v>
      </c>
      <c r="C1750" t="s">
        <v>97</v>
      </c>
      <c r="D1750" t="s">
        <v>57</v>
      </c>
      <c r="E1750" s="9">
        <v>3</v>
      </c>
      <c r="F1750" s="10">
        <v>55</v>
      </c>
      <c r="G1750" s="11">
        <v>0.02</v>
      </c>
      <c r="H1750" s="10">
        <v>161.69999999999999</v>
      </c>
      <c r="I1750" s="9">
        <v>0</v>
      </c>
      <c r="J1750" s="10">
        <v>0</v>
      </c>
      <c r="K1750" s="9">
        <v>3</v>
      </c>
      <c r="L1750" s="10">
        <v>161.69999999999999</v>
      </c>
      <c r="M1750" s="10">
        <v>137.21</v>
      </c>
      <c r="N1750" s="10">
        <v>24.49</v>
      </c>
      <c r="O1750" s="11">
        <f t="shared" si="104"/>
        <v>0.15145330859616574</v>
      </c>
      <c r="P1750" s="10">
        <v>17.02</v>
      </c>
      <c r="Q1750" s="10">
        <v>7.47</v>
      </c>
      <c r="R1750" s="11">
        <f t="shared" si="105"/>
        <v>4.6196660482374773E-2</v>
      </c>
      <c r="S1750" t="s">
        <v>75</v>
      </c>
      <c r="T1750" t="s">
        <v>66</v>
      </c>
      <c r="U1750" t="s">
        <v>67</v>
      </c>
    </row>
    <row r="1751" spans="1:21" x14ac:dyDescent="0.35">
      <c r="A1751" t="s">
        <v>1880</v>
      </c>
      <c r="B1751" s="5">
        <v>45980</v>
      </c>
      <c r="C1751" t="s">
        <v>92</v>
      </c>
      <c r="D1751" t="s">
        <v>79</v>
      </c>
      <c r="E1751" s="9">
        <v>1</v>
      </c>
      <c r="F1751" s="10">
        <v>85</v>
      </c>
      <c r="G1751" s="11">
        <v>0.02</v>
      </c>
      <c r="H1751" s="10">
        <v>83.3</v>
      </c>
      <c r="I1751" s="9">
        <v>0</v>
      </c>
      <c r="J1751" s="10">
        <v>0</v>
      </c>
      <c r="K1751" s="9">
        <v>1</v>
      </c>
      <c r="L1751" s="10">
        <v>83.3</v>
      </c>
      <c r="M1751" s="10">
        <v>58.61</v>
      </c>
      <c r="N1751" s="10">
        <v>24.69</v>
      </c>
      <c r="O1751" s="11">
        <f t="shared" si="104"/>
        <v>0.29639855942376953</v>
      </c>
      <c r="P1751" s="10">
        <v>4.2699999999999996</v>
      </c>
      <c r="Q1751" s="10">
        <v>20.420000000000002</v>
      </c>
      <c r="R1751" s="11">
        <f t="shared" si="105"/>
        <v>0.24513805522208887</v>
      </c>
      <c r="S1751" t="s">
        <v>65</v>
      </c>
      <c r="T1751" t="s">
        <v>66</v>
      </c>
      <c r="U1751" t="s">
        <v>71</v>
      </c>
    </row>
    <row r="1752" spans="1:21" x14ac:dyDescent="0.35">
      <c r="A1752" t="s">
        <v>1881</v>
      </c>
      <c r="B1752" s="5">
        <v>45858</v>
      </c>
      <c r="C1752" t="s">
        <v>95</v>
      </c>
      <c r="D1752" t="s">
        <v>64</v>
      </c>
      <c r="E1752" s="9">
        <v>3</v>
      </c>
      <c r="F1752" s="10">
        <v>52</v>
      </c>
      <c r="G1752" s="11">
        <v>0</v>
      </c>
      <c r="H1752" s="10">
        <v>156</v>
      </c>
      <c r="I1752" s="9">
        <v>0</v>
      </c>
      <c r="J1752" s="10">
        <v>0</v>
      </c>
      <c r="K1752" s="9">
        <v>3</v>
      </c>
      <c r="L1752" s="10">
        <v>156</v>
      </c>
      <c r="M1752" s="10">
        <v>103.86</v>
      </c>
      <c r="N1752" s="10">
        <v>52.14</v>
      </c>
      <c r="O1752" s="11">
        <f t="shared" si="104"/>
        <v>0.33423076923076922</v>
      </c>
      <c r="P1752" s="10">
        <v>13.03</v>
      </c>
      <c r="Q1752" s="10">
        <v>39.11</v>
      </c>
      <c r="R1752" s="11">
        <f t="shared" si="105"/>
        <v>0.25070512820512819</v>
      </c>
      <c r="S1752" t="s">
        <v>65</v>
      </c>
      <c r="T1752" t="s">
        <v>66</v>
      </c>
      <c r="U1752" t="s">
        <v>76</v>
      </c>
    </row>
    <row r="1753" spans="1:21" x14ac:dyDescent="0.35">
      <c r="A1753" t="s">
        <v>1882</v>
      </c>
      <c r="B1753" s="5">
        <v>45730</v>
      </c>
      <c r="C1753" t="s">
        <v>121</v>
      </c>
      <c r="D1753" t="s">
        <v>70</v>
      </c>
      <c r="E1753" s="9">
        <v>3</v>
      </c>
      <c r="F1753" s="10">
        <v>110</v>
      </c>
      <c r="G1753" s="11">
        <v>0</v>
      </c>
      <c r="H1753" s="10">
        <v>330</v>
      </c>
      <c r="I1753" s="9">
        <v>0</v>
      </c>
      <c r="J1753" s="10">
        <v>0</v>
      </c>
      <c r="K1753" s="9">
        <v>3</v>
      </c>
      <c r="L1753" s="10">
        <v>330</v>
      </c>
      <c r="M1753" s="10">
        <v>206.66</v>
      </c>
      <c r="N1753" s="10">
        <v>123.34</v>
      </c>
      <c r="O1753" s="11">
        <f t="shared" si="104"/>
        <v>0.37375757575757579</v>
      </c>
      <c r="P1753" s="10">
        <v>33.049999999999997</v>
      </c>
      <c r="Q1753" s="10">
        <v>90.29</v>
      </c>
      <c r="R1753" s="11">
        <f t="shared" si="105"/>
        <v>0.27360606060606063</v>
      </c>
      <c r="S1753" t="s">
        <v>81</v>
      </c>
      <c r="T1753" t="s">
        <v>60</v>
      </c>
      <c r="U1753" t="s">
        <v>76</v>
      </c>
    </row>
    <row r="1754" spans="1:21" x14ac:dyDescent="0.35">
      <c r="A1754" t="s">
        <v>1883</v>
      </c>
      <c r="B1754" s="5">
        <v>45905</v>
      </c>
      <c r="C1754" t="s">
        <v>63</v>
      </c>
      <c r="D1754" t="s">
        <v>64</v>
      </c>
      <c r="E1754" s="9">
        <v>1</v>
      </c>
      <c r="F1754" s="10">
        <v>145</v>
      </c>
      <c r="G1754" s="11">
        <v>0</v>
      </c>
      <c r="H1754" s="10">
        <v>145</v>
      </c>
      <c r="I1754" s="9">
        <v>1</v>
      </c>
      <c r="J1754" s="10">
        <v>145</v>
      </c>
      <c r="K1754" s="9">
        <v>0</v>
      </c>
      <c r="L1754" s="10">
        <v>0</v>
      </c>
      <c r="M1754" s="10">
        <v>0</v>
      </c>
      <c r="N1754" s="10">
        <v>0</v>
      </c>
      <c r="O1754" s="11">
        <v>0</v>
      </c>
      <c r="P1754" s="10">
        <v>0</v>
      </c>
      <c r="Q1754" s="10">
        <v>0</v>
      </c>
      <c r="R1754" s="11">
        <v>0</v>
      </c>
      <c r="S1754" t="s">
        <v>2133</v>
      </c>
      <c r="T1754" t="s">
        <v>66</v>
      </c>
      <c r="U1754" t="s">
        <v>67</v>
      </c>
    </row>
    <row r="1755" spans="1:21" x14ac:dyDescent="0.35">
      <c r="A1755" t="s">
        <v>1884</v>
      </c>
      <c r="B1755" s="5">
        <v>45707</v>
      </c>
      <c r="C1755" t="s">
        <v>56</v>
      </c>
      <c r="D1755" t="s">
        <v>57</v>
      </c>
      <c r="E1755" s="9">
        <v>2</v>
      </c>
      <c r="F1755" s="10">
        <v>40</v>
      </c>
      <c r="G1755" s="11">
        <v>0.05</v>
      </c>
      <c r="H1755" s="10">
        <v>76</v>
      </c>
      <c r="I1755" s="9">
        <v>0</v>
      </c>
      <c r="J1755" s="10">
        <v>0</v>
      </c>
      <c r="K1755" s="9">
        <v>2</v>
      </c>
      <c r="L1755" s="10">
        <v>76</v>
      </c>
      <c r="M1755" s="10">
        <v>56.09</v>
      </c>
      <c r="N1755" s="10">
        <v>19.91</v>
      </c>
      <c r="O1755" s="11">
        <f t="shared" ref="O1755:O1786" si="106">N1755/L1755</f>
        <v>0.2619736842105263</v>
      </c>
      <c r="P1755" s="10">
        <v>6.27</v>
      </c>
      <c r="Q1755" s="10">
        <v>13.64</v>
      </c>
      <c r="R1755" s="11">
        <f t="shared" ref="R1755:R1786" si="107">Q1755/L1755</f>
        <v>0.17947368421052631</v>
      </c>
      <c r="S1755" t="s">
        <v>59</v>
      </c>
      <c r="T1755" t="s">
        <v>82</v>
      </c>
      <c r="U1755" t="s">
        <v>71</v>
      </c>
    </row>
    <row r="1756" spans="1:21" x14ac:dyDescent="0.35">
      <c r="A1756" t="s">
        <v>1885</v>
      </c>
      <c r="B1756" s="5">
        <v>45860</v>
      </c>
      <c r="C1756" t="s">
        <v>78</v>
      </c>
      <c r="D1756" t="s">
        <v>79</v>
      </c>
      <c r="E1756" s="9">
        <v>6</v>
      </c>
      <c r="F1756" s="10">
        <v>120</v>
      </c>
      <c r="G1756" s="11">
        <v>0</v>
      </c>
      <c r="H1756" s="10">
        <v>720</v>
      </c>
      <c r="I1756" s="9">
        <v>0</v>
      </c>
      <c r="J1756" s="10">
        <v>0</v>
      </c>
      <c r="K1756" s="9">
        <v>6</v>
      </c>
      <c r="L1756" s="10">
        <v>720</v>
      </c>
      <c r="M1756" s="10">
        <v>541.41</v>
      </c>
      <c r="N1756" s="10">
        <v>178.59</v>
      </c>
      <c r="O1756" s="11">
        <f t="shared" si="106"/>
        <v>0.24804166666666666</v>
      </c>
      <c r="P1756" s="10">
        <v>53.27</v>
      </c>
      <c r="Q1756" s="10">
        <v>125.32</v>
      </c>
      <c r="R1756" s="11">
        <f t="shared" si="107"/>
        <v>0.17405555555555555</v>
      </c>
      <c r="S1756" t="s">
        <v>75</v>
      </c>
      <c r="T1756" t="s">
        <v>60</v>
      </c>
      <c r="U1756" t="s">
        <v>61</v>
      </c>
    </row>
    <row r="1757" spans="1:21" x14ac:dyDescent="0.35">
      <c r="A1757" t="s">
        <v>1886</v>
      </c>
      <c r="B1757" s="5">
        <v>45963</v>
      </c>
      <c r="C1757" t="s">
        <v>114</v>
      </c>
      <c r="D1757" t="s">
        <v>64</v>
      </c>
      <c r="E1757" s="9">
        <v>1</v>
      </c>
      <c r="F1757" s="10">
        <v>420</v>
      </c>
      <c r="G1757" s="11">
        <v>0</v>
      </c>
      <c r="H1757" s="10">
        <v>420</v>
      </c>
      <c r="I1757" s="9">
        <v>0</v>
      </c>
      <c r="J1757" s="10">
        <v>0</v>
      </c>
      <c r="K1757" s="9">
        <v>1</v>
      </c>
      <c r="L1757" s="10">
        <v>420</v>
      </c>
      <c r="M1757" s="10">
        <v>278.52999999999997</v>
      </c>
      <c r="N1757" s="10">
        <v>141.47</v>
      </c>
      <c r="O1757" s="11">
        <f t="shared" si="106"/>
        <v>0.33683333333333332</v>
      </c>
      <c r="P1757" s="10">
        <v>52.29</v>
      </c>
      <c r="Q1757" s="10">
        <v>89.18</v>
      </c>
      <c r="R1757" s="11">
        <f t="shared" si="107"/>
        <v>0.21233333333333335</v>
      </c>
      <c r="S1757" t="s">
        <v>75</v>
      </c>
      <c r="T1757" t="s">
        <v>60</v>
      </c>
      <c r="U1757" t="s">
        <v>61</v>
      </c>
    </row>
    <row r="1758" spans="1:21" x14ac:dyDescent="0.35">
      <c r="A1758" t="s">
        <v>1887</v>
      </c>
      <c r="B1758" s="5">
        <v>45868</v>
      </c>
      <c r="C1758" t="s">
        <v>104</v>
      </c>
      <c r="D1758" t="s">
        <v>105</v>
      </c>
      <c r="E1758" s="9">
        <v>2</v>
      </c>
      <c r="F1758" s="10">
        <v>65</v>
      </c>
      <c r="G1758" s="11">
        <v>0</v>
      </c>
      <c r="H1758" s="10">
        <v>130</v>
      </c>
      <c r="I1758" s="9">
        <v>0</v>
      </c>
      <c r="J1758" s="10">
        <v>0</v>
      </c>
      <c r="K1758" s="9">
        <v>2</v>
      </c>
      <c r="L1758" s="10">
        <v>130</v>
      </c>
      <c r="M1758" s="10">
        <v>100.26</v>
      </c>
      <c r="N1758" s="10">
        <v>29.74</v>
      </c>
      <c r="O1758" s="11">
        <f t="shared" si="106"/>
        <v>0.22876923076923075</v>
      </c>
      <c r="P1758" s="10">
        <v>13.04</v>
      </c>
      <c r="Q1758" s="10">
        <v>16.7</v>
      </c>
      <c r="R1758" s="11">
        <f t="shared" si="107"/>
        <v>0.12846153846153846</v>
      </c>
      <c r="S1758" t="s">
        <v>81</v>
      </c>
      <c r="T1758" t="s">
        <v>82</v>
      </c>
      <c r="U1758" t="s">
        <v>71</v>
      </c>
    </row>
    <row r="1759" spans="1:21" x14ac:dyDescent="0.35">
      <c r="A1759" t="s">
        <v>1888</v>
      </c>
      <c r="B1759" s="5">
        <v>45745</v>
      </c>
      <c r="C1759" t="s">
        <v>69</v>
      </c>
      <c r="D1759" t="s">
        <v>70</v>
      </c>
      <c r="E1759" s="9">
        <v>3</v>
      </c>
      <c r="F1759" s="10">
        <v>210</v>
      </c>
      <c r="G1759" s="11">
        <v>0.05</v>
      </c>
      <c r="H1759" s="10">
        <v>598.5</v>
      </c>
      <c r="I1759" s="9">
        <v>1</v>
      </c>
      <c r="J1759" s="10">
        <v>199.5</v>
      </c>
      <c r="K1759" s="9">
        <v>2</v>
      </c>
      <c r="L1759" s="10">
        <v>399</v>
      </c>
      <c r="M1759" s="10">
        <v>274.35000000000002</v>
      </c>
      <c r="N1759" s="10">
        <v>124.65</v>
      </c>
      <c r="O1759" s="11">
        <f t="shared" si="106"/>
        <v>0.31240601503759402</v>
      </c>
      <c r="P1759" s="10">
        <v>21.27</v>
      </c>
      <c r="Q1759" s="10">
        <v>103.38</v>
      </c>
      <c r="R1759" s="11">
        <f t="shared" si="107"/>
        <v>0.25909774436090227</v>
      </c>
      <c r="S1759" t="s">
        <v>75</v>
      </c>
      <c r="T1759" t="s">
        <v>82</v>
      </c>
      <c r="U1759" t="s">
        <v>76</v>
      </c>
    </row>
    <row r="1760" spans="1:21" x14ac:dyDescent="0.35">
      <c r="A1760" t="s">
        <v>1889</v>
      </c>
      <c r="B1760" s="5">
        <v>45922</v>
      </c>
      <c r="C1760" t="s">
        <v>117</v>
      </c>
      <c r="D1760" t="s">
        <v>74</v>
      </c>
      <c r="E1760" s="9">
        <v>1</v>
      </c>
      <c r="F1760" s="10">
        <v>95</v>
      </c>
      <c r="G1760" s="11">
        <v>0</v>
      </c>
      <c r="H1760" s="10">
        <v>95</v>
      </c>
      <c r="I1760" s="9">
        <v>0</v>
      </c>
      <c r="J1760" s="10">
        <v>0</v>
      </c>
      <c r="K1760" s="9">
        <v>1</v>
      </c>
      <c r="L1760" s="10">
        <v>95</v>
      </c>
      <c r="M1760" s="10">
        <v>70.88</v>
      </c>
      <c r="N1760" s="10">
        <v>24.12</v>
      </c>
      <c r="O1760" s="11">
        <f t="shared" si="106"/>
        <v>0.25389473684210528</v>
      </c>
      <c r="P1760" s="10">
        <v>12.12</v>
      </c>
      <c r="Q1760" s="10">
        <v>12</v>
      </c>
      <c r="R1760" s="11">
        <f t="shared" si="107"/>
        <v>0.12631578947368421</v>
      </c>
      <c r="S1760" t="s">
        <v>65</v>
      </c>
      <c r="T1760" t="s">
        <v>82</v>
      </c>
      <c r="U1760" t="s">
        <v>71</v>
      </c>
    </row>
    <row r="1761" spans="1:21" x14ac:dyDescent="0.35">
      <c r="A1761" t="s">
        <v>1890</v>
      </c>
      <c r="B1761" s="5">
        <v>45918</v>
      </c>
      <c r="C1761" t="s">
        <v>90</v>
      </c>
      <c r="D1761" t="s">
        <v>70</v>
      </c>
      <c r="E1761" s="9">
        <v>4</v>
      </c>
      <c r="F1761" s="10">
        <v>38</v>
      </c>
      <c r="G1761" s="11">
        <v>0</v>
      </c>
      <c r="H1761" s="10">
        <v>152</v>
      </c>
      <c r="I1761" s="9">
        <v>0</v>
      </c>
      <c r="J1761" s="10">
        <v>0</v>
      </c>
      <c r="K1761" s="9">
        <v>4</v>
      </c>
      <c r="L1761" s="10">
        <v>152</v>
      </c>
      <c r="M1761" s="10">
        <v>105.31</v>
      </c>
      <c r="N1761" s="10">
        <v>46.69</v>
      </c>
      <c r="O1761" s="11">
        <f t="shared" si="106"/>
        <v>0.30717105263157896</v>
      </c>
      <c r="P1761" s="10">
        <v>11.21</v>
      </c>
      <c r="Q1761" s="10">
        <v>35.479999999999997</v>
      </c>
      <c r="R1761" s="11">
        <f t="shared" si="107"/>
        <v>0.23342105263157892</v>
      </c>
      <c r="S1761" t="s">
        <v>81</v>
      </c>
      <c r="T1761" t="s">
        <v>60</v>
      </c>
      <c r="U1761" t="s">
        <v>71</v>
      </c>
    </row>
    <row r="1762" spans="1:21" x14ac:dyDescent="0.35">
      <c r="A1762" t="s">
        <v>1891</v>
      </c>
      <c r="B1762" s="5">
        <v>45823</v>
      </c>
      <c r="C1762" t="s">
        <v>264</v>
      </c>
      <c r="D1762" t="s">
        <v>85</v>
      </c>
      <c r="E1762" s="9">
        <v>1</v>
      </c>
      <c r="F1762" s="10">
        <v>20</v>
      </c>
      <c r="G1762" s="11">
        <v>0</v>
      </c>
      <c r="H1762" s="10">
        <v>20</v>
      </c>
      <c r="I1762" s="9">
        <v>0</v>
      </c>
      <c r="J1762" s="10">
        <v>0</v>
      </c>
      <c r="K1762" s="9">
        <v>1</v>
      </c>
      <c r="L1762" s="10">
        <v>20</v>
      </c>
      <c r="M1762" s="10">
        <v>14.73</v>
      </c>
      <c r="N1762" s="10">
        <v>5.27</v>
      </c>
      <c r="O1762" s="11">
        <f t="shared" si="106"/>
        <v>0.26349999999999996</v>
      </c>
      <c r="P1762" s="10">
        <v>1.17</v>
      </c>
      <c r="Q1762" s="10">
        <v>4.0999999999999996</v>
      </c>
      <c r="R1762" s="11">
        <f t="shared" si="107"/>
        <v>0.20499999999999999</v>
      </c>
      <c r="S1762" t="s">
        <v>75</v>
      </c>
      <c r="T1762" t="s">
        <v>82</v>
      </c>
      <c r="U1762" t="s">
        <v>76</v>
      </c>
    </row>
    <row r="1763" spans="1:21" x14ac:dyDescent="0.35">
      <c r="A1763" t="s">
        <v>1892</v>
      </c>
      <c r="B1763" s="5">
        <v>45769</v>
      </c>
      <c r="C1763" t="s">
        <v>90</v>
      </c>
      <c r="D1763" t="s">
        <v>70</v>
      </c>
      <c r="E1763" s="9">
        <v>2</v>
      </c>
      <c r="F1763" s="10">
        <v>38</v>
      </c>
      <c r="G1763" s="11">
        <v>0</v>
      </c>
      <c r="H1763" s="10">
        <v>76</v>
      </c>
      <c r="I1763" s="9">
        <v>0</v>
      </c>
      <c r="J1763" s="10">
        <v>0</v>
      </c>
      <c r="K1763" s="9">
        <v>2</v>
      </c>
      <c r="L1763" s="10">
        <v>76</v>
      </c>
      <c r="M1763" s="10">
        <v>65.099999999999994</v>
      </c>
      <c r="N1763" s="10">
        <v>10.9</v>
      </c>
      <c r="O1763" s="11">
        <f t="shared" si="106"/>
        <v>0.14342105263157895</v>
      </c>
      <c r="P1763" s="10">
        <v>7.83</v>
      </c>
      <c r="Q1763" s="10">
        <v>3.07</v>
      </c>
      <c r="R1763" s="11">
        <f t="shared" si="107"/>
        <v>4.0394736842105261E-2</v>
      </c>
      <c r="S1763" t="s">
        <v>59</v>
      </c>
      <c r="T1763" t="s">
        <v>66</v>
      </c>
      <c r="U1763" t="s">
        <v>76</v>
      </c>
    </row>
    <row r="1764" spans="1:21" x14ac:dyDescent="0.35">
      <c r="A1764" t="s">
        <v>1893</v>
      </c>
      <c r="B1764" s="5">
        <v>45894</v>
      </c>
      <c r="C1764" t="s">
        <v>73</v>
      </c>
      <c r="D1764" t="s">
        <v>74</v>
      </c>
      <c r="E1764" s="9">
        <v>1</v>
      </c>
      <c r="F1764" s="10">
        <v>280</v>
      </c>
      <c r="G1764" s="11">
        <v>0.15</v>
      </c>
      <c r="H1764" s="10">
        <v>238</v>
      </c>
      <c r="I1764" s="9">
        <v>0</v>
      </c>
      <c r="J1764" s="10">
        <v>0</v>
      </c>
      <c r="K1764" s="9">
        <v>1</v>
      </c>
      <c r="L1764" s="10">
        <v>238</v>
      </c>
      <c r="M1764" s="10">
        <v>162.28</v>
      </c>
      <c r="N1764" s="10">
        <v>75.72</v>
      </c>
      <c r="O1764" s="11">
        <f t="shared" si="106"/>
        <v>0.31815126050420167</v>
      </c>
      <c r="P1764" s="10">
        <v>16.02</v>
      </c>
      <c r="Q1764" s="10">
        <v>59.7</v>
      </c>
      <c r="R1764" s="11">
        <f t="shared" si="107"/>
        <v>0.25084033613445378</v>
      </c>
      <c r="S1764" t="s">
        <v>65</v>
      </c>
      <c r="T1764" t="s">
        <v>82</v>
      </c>
      <c r="U1764" t="s">
        <v>2133</v>
      </c>
    </row>
    <row r="1765" spans="1:21" x14ac:dyDescent="0.35">
      <c r="A1765" t="s">
        <v>1894</v>
      </c>
      <c r="B1765" s="5">
        <v>45751</v>
      </c>
      <c r="C1765" t="s">
        <v>107</v>
      </c>
      <c r="D1765" t="s">
        <v>74</v>
      </c>
      <c r="E1765" s="9">
        <v>2</v>
      </c>
      <c r="F1765" s="10">
        <v>125</v>
      </c>
      <c r="G1765" s="11">
        <v>0</v>
      </c>
      <c r="H1765" s="10">
        <v>250</v>
      </c>
      <c r="I1765" s="9">
        <v>0</v>
      </c>
      <c r="J1765" s="10">
        <v>0</v>
      </c>
      <c r="K1765" s="9">
        <v>2</v>
      </c>
      <c r="L1765" s="10">
        <v>250</v>
      </c>
      <c r="M1765" s="10">
        <v>200.54</v>
      </c>
      <c r="N1765" s="10">
        <v>49.46</v>
      </c>
      <c r="O1765" s="11">
        <f t="shared" si="106"/>
        <v>0.19784000000000002</v>
      </c>
      <c r="P1765" s="10">
        <v>19.899999999999999</v>
      </c>
      <c r="Q1765" s="10">
        <v>29.56</v>
      </c>
      <c r="R1765" s="11">
        <f t="shared" si="107"/>
        <v>0.11824</v>
      </c>
      <c r="S1765" t="s">
        <v>65</v>
      </c>
      <c r="T1765" t="s">
        <v>82</v>
      </c>
      <c r="U1765" t="s">
        <v>71</v>
      </c>
    </row>
    <row r="1766" spans="1:21" x14ac:dyDescent="0.35">
      <c r="A1766" t="s">
        <v>1895</v>
      </c>
      <c r="B1766" s="5">
        <v>45951</v>
      </c>
      <c r="C1766" t="s">
        <v>63</v>
      </c>
      <c r="D1766" t="s">
        <v>64</v>
      </c>
      <c r="E1766" s="9">
        <v>6</v>
      </c>
      <c r="F1766" s="10">
        <v>145</v>
      </c>
      <c r="G1766" s="11">
        <v>0.05</v>
      </c>
      <c r="H1766" s="10">
        <v>826.5</v>
      </c>
      <c r="I1766" s="9">
        <v>0</v>
      </c>
      <c r="J1766" s="10">
        <v>0</v>
      </c>
      <c r="K1766" s="9">
        <v>6</v>
      </c>
      <c r="L1766" s="10">
        <v>826.5</v>
      </c>
      <c r="M1766" s="10">
        <v>623.70000000000005</v>
      </c>
      <c r="N1766" s="10">
        <v>202.8</v>
      </c>
      <c r="O1766" s="11">
        <f t="shared" si="106"/>
        <v>0.24537205081669694</v>
      </c>
      <c r="P1766" s="10">
        <v>75.06</v>
      </c>
      <c r="Q1766" s="10">
        <v>127.74</v>
      </c>
      <c r="R1766" s="11">
        <f t="shared" si="107"/>
        <v>0.15455535390199637</v>
      </c>
      <c r="S1766" t="s">
        <v>2133</v>
      </c>
      <c r="T1766" t="s">
        <v>86</v>
      </c>
      <c r="U1766" t="s">
        <v>76</v>
      </c>
    </row>
    <row r="1767" spans="1:21" x14ac:dyDescent="0.35">
      <c r="A1767" t="s">
        <v>1896</v>
      </c>
      <c r="B1767" s="5">
        <v>45715</v>
      </c>
      <c r="C1767" t="s">
        <v>264</v>
      </c>
      <c r="D1767" t="s">
        <v>85</v>
      </c>
      <c r="E1767" s="9">
        <v>2</v>
      </c>
      <c r="F1767" s="10">
        <v>20</v>
      </c>
      <c r="G1767" s="11">
        <v>0</v>
      </c>
      <c r="H1767" s="10">
        <v>40</v>
      </c>
      <c r="I1767" s="9">
        <v>0</v>
      </c>
      <c r="J1767" s="10">
        <v>0</v>
      </c>
      <c r="K1767" s="9">
        <v>2</v>
      </c>
      <c r="L1767" s="10">
        <v>40</v>
      </c>
      <c r="M1767" s="10">
        <v>26.3</v>
      </c>
      <c r="N1767" s="10">
        <v>13.7</v>
      </c>
      <c r="O1767" s="11">
        <f t="shared" si="106"/>
        <v>0.34249999999999997</v>
      </c>
      <c r="P1767" s="10">
        <v>4.79</v>
      </c>
      <c r="Q1767" s="10">
        <v>8.91</v>
      </c>
      <c r="R1767" s="11">
        <f t="shared" si="107"/>
        <v>0.22275</v>
      </c>
      <c r="S1767" t="s">
        <v>75</v>
      </c>
      <c r="T1767" t="s">
        <v>60</v>
      </c>
      <c r="U1767" t="s">
        <v>61</v>
      </c>
    </row>
    <row r="1768" spans="1:21" x14ac:dyDescent="0.35">
      <c r="A1768" t="s">
        <v>1897</v>
      </c>
      <c r="B1768" s="5">
        <v>45720</v>
      </c>
      <c r="C1768" t="s">
        <v>84</v>
      </c>
      <c r="D1768" t="s">
        <v>85</v>
      </c>
      <c r="E1768" s="9">
        <v>5</v>
      </c>
      <c r="F1768" s="10">
        <v>48</v>
      </c>
      <c r="G1768" s="11">
        <v>0.1</v>
      </c>
      <c r="H1768" s="10">
        <v>216</v>
      </c>
      <c r="I1768" s="9">
        <v>0</v>
      </c>
      <c r="J1768" s="10">
        <v>0</v>
      </c>
      <c r="K1768" s="9">
        <v>5</v>
      </c>
      <c r="L1768" s="10">
        <v>216</v>
      </c>
      <c r="M1768" s="10">
        <v>165.38</v>
      </c>
      <c r="N1768" s="10">
        <v>50.62</v>
      </c>
      <c r="O1768" s="11">
        <f t="shared" si="106"/>
        <v>0.23435185185185184</v>
      </c>
      <c r="P1768" s="10">
        <v>11.07</v>
      </c>
      <c r="Q1768" s="10">
        <v>39.549999999999997</v>
      </c>
      <c r="R1768" s="11">
        <f t="shared" si="107"/>
        <v>0.18310185185185185</v>
      </c>
      <c r="S1768" t="s">
        <v>65</v>
      </c>
      <c r="T1768" t="s">
        <v>86</v>
      </c>
      <c r="U1768" t="s">
        <v>67</v>
      </c>
    </row>
    <row r="1769" spans="1:21" x14ac:dyDescent="0.35">
      <c r="A1769" t="s">
        <v>1898</v>
      </c>
      <c r="B1769" s="5">
        <v>45950</v>
      </c>
      <c r="C1769" t="s">
        <v>100</v>
      </c>
      <c r="D1769" t="s">
        <v>64</v>
      </c>
      <c r="E1769" s="9">
        <v>4</v>
      </c>
      <c r="F1769" s="10">
        <v>310</v>
      </c>
      <c r="G1769" s="11">
        <v>0.1</v>
      </c>
      <c r="H1769" s="10">
        <v>1116</v>
      </c>
      <c r="I1769" s="9">
        <v>0</v>
      </c>
      <c r="J1769" s="10">
        <v>0</v>
      </c>
      <c r="K1769" s="9">
        <v>4</v>
      </c>
      <c r="L1769" s="10">
        <v>1116</v>
      </c>
      <c r="M1769" s="10">
        <v>781</v>
      </c>
      <c r="N1769" s="10">
        <v>335</v>
      </c>
      <c r="O1769" s="11">
        <f t="shared" si="106"/>
        <v>0.30017921146953402</v>
      </c>
      <c r="P1769" s="10">
        <v>57.01</v>
      </c>
      <c r="Q1769" s="10">
        <v>277.99</v>
      </c>
      <c r="R1769" s="11">
        <f t="shared" si="107"/>
        <v>0.24909498207885306</v>
      </c>
      <c r="S1769" t="s">
        <v>65</v>
      </c>
      <c r="T1769" t="s">
        <v>86</v>
      </c>
      <c r="U1769" t="s">
        <v>67</v>
      </c>
    </row>
    <row r="1770" spans="1:21" x14ac:dyDescent="0.35">
      <c r="A1770" t="s">
        <v>1899</v>
      </c>
      <c r="B1770" s="5">
        <v>45734</v>
      </c>
      <c r="C1770" t="s">
        <v>69</v>
      </c>
      <c r="D1770" t="s">
        <v>70</v>
      </c>
      <c r="E1770" s="9">
        <v>1</v>
      </c>
      <c r="F1770" s="10">
        <v>210</v>
      </c>
      <c r="G1770" s="11">
        <v>0.02</v>
      </c>
      <c r="H1770" s="10">
        <v>205.8</v>
      </c>
      <c r="I1770" s="9">
        <v>0</v>
      </c>
      <c r="J1770" s="10">
        <v>0</v>
      </c>
      <c r="K1770" s="9">
        <v>1</v>
      </c>
      <c r="L1770" s="10">
        <v>205.8</v>
      </c>
      <c r="M1770" s="10">
        <v>167.92</v>
      </c>
      <c r="N1770" s="10">
        <v>37.880000000000003</v>
      </c>
      <c r="O1770" s="11">
        <f t="shared" si="106"/>
        <v>0.18406219630709428</v>
      </c>
      <c r="P1770" s="10">
        <v>24.72</v>
      </c>
      <c r="Q1770" s="10">
        <v>13.16</v>
      </c>
      <c r="R1770" s="11">
        <f t="shared" si="107"/>
        <v>6.3945578231292516E-2</v>
      </c>
      <c r="S1770" t="s">
        <v>75</v>
      </c>
      <c r="T1770" t="s">
        <v>82</v>
      </c>
      <c r="U1770" t="s">
        <v>67</v>
      </c>
    </row>
    <row r="1771" spans="1:21" x14ac:dyDescent="0.35">
      <c r="A1771" t="s">
        <v>1900</v>
      </c>
      <c r="B1771" s="5">
        <v>45760</v>
      </c>
      <c r="C1771" t="s">
        <v>56</v>
      </c>
      <c r="D1771" t="s">
        <v>57</v>
      </c>
      <c r="E1771" s="9">
        <v>2</v>
      </c>
      <c r="F1771" s="10">
        <v>40</v>
      </c>
      <c r="G1771" s="11">
        <v>0</v>
      </c>
      <c r="H1771" s="10">
        <v>80</v>
      </c>
      <c r="I1771" s="9">
        <v>0</v>
      </c>
      <c r="J1771" s="10">
        <v>0</v>
      </c>
      <c r="K1771" s="9">
        <v>2</v>
      </c>
      <c r="L1771" s="10">
        <v>80</v>
      </c>
      <c r="M1771" s="10">
        <v>55.65</v>
      </c>
      <c r="N1771" s="10">
        <v>24.35</v>
      </c>
      <c r="O1771" s="11">
        <f t="shared" si="106"/>
        <v>0.30437500000000001</v>
      </c>
      <c r="P1771" s="10">
        <v>6.22</v>
      </c>
      <c r="Q1771" s="10">
        <v>18.13</v>
      </c>
      <c r="R1771" s="11">
        <f t="shared" si="107"/>
        <v>0.22662499999999999</v>
      </c>
      <c r="S1771" t="s">
        <v>59</v>
      </c>
      <c r="T1771" t="s">
        <v>86</v>
      </c>
      <c r="U1771" t="s">
        <v>76</v>
      </c>
    </row>
    <row r="1772" spans="1:21" x14ac:dyDescent="0.35">
      <c r="A1772" t="s">
        <v>1901</v>
      </c>
      <c r="B1772" s="5">
        <v>45693</v>
      </c>
      <c r="C1772" t="s">
        <v>56</v>
      </c>
      <c r="D1772" t="s">
        <v>57</v>
      </c>
      <c r="E1772" s="9">
        <v>8</v>
      </c>
      <c r="F1772" s="10">
        <v>40</v>
      </c>
      <c r="G1772" s="11">
        <v>0.1</v>
      </c>
      <c r="H1772" s="10">
        <v>288</v>
      </c>
      <c r="I1772" s="9">
        <v>0</v>
      </c>
      <c r="J1772" s="10">
        <v>0</v>
      </c>
      <c r="K1772" s="9">
        <v>8</v>
      </c>
      <c r="L1772" s="10">
        <v>288</v>
      </c>
      <c r="M1772" s="10">
        <v>179.82</v>
      </c>
      <c r="N1772" s="10">
        <v>108.18</v>
      </c>
      <c r="O1772" s="11">
        <f t="shared" si="106"/>
        <v>0.37562500000000004</v>
      </c>
      <c r="P1772" s="10">
        <v>25.83</v>
      </c>
      <c r="Q1772" s="10">
        <v>82.35</v>
      </c>
      <c r="R1772" s="11">
        <f t="shared" si="107"/>
        <v>0.28593749999999996</v>
      </c>
      <c r="S1772" t="s">
        <v>59</v>
      </c>
      <c r="T1772" t="s">
        <v>82</v>
      </c>
      <c r="U1772" t="s">
        <v>76</v>
      </c>
    </row>
    <row r="1773" spans="1:21" x14ac:dyDescent="0.35">
      <c r="A1773" t="s">
        <v>1902</v>
      </c>
      <c r="B1773" s="5">
        <v>46008</v>
      </c>
      <c r="C1773" t="s">
        <v>264</v>
      </c>
      <c r="D1773" t="s">
        <v>85</v>
      </c>
      <c r="E1773" s="9">
        <v>1</v>
      </c>
      <c r="F1773" s="10">
        <v>20</v>
      </c>
      <c r="G1773" s="11">
        <v>0</v>
      </c>
      <c r="H1773" s="10">
        <v>20</v>
      </c>
      <c r="I1773" s="9">
        <v>0</v>
      </c>
      <c r="J1773" s="10">
        <v>0</v>
      </c>
      <c r="K1773" s="9">
        <v>1</v>
      </c>
      <c r="L1773" s="10">
        <v>20</v>
      </c>
      <c r="M1773" s="10">
        <v>16.07</v>
      </c>
      <c r="N1773" s="10">
        <v>3.93</v>
      </c>
      <c r="O1773" s="11">
        <f t="shared" si="106"/>
        <v>0.19650000000000001</v>
      </c>
      <c r="P1773" s="10">
        <v>1.9</v>
      </c>
      <c r="Q1773" s="10">
        <v>2.0299999999999998</v>
      </c>
      <c r="R1773" s="11">
        <f t="shared" si="107"/>
        <v>0.10149999999999999</v>
      </c>
      <c r="S1773" t="s">
        <v>75</v>
      </c>
      <c r="T1773" t="s">
        <v>86</v>
      </c>
      <c r="U1773" t="s">
        <v>71</v>
      </c>
    </row>
    <row r="1774" spans="1:21" x14ac:dyDescent="0.35">
      <c r="A1774" t="s">
        <v>1903</v>
      </c>
      <c r="B1774" s="5">
        <v>45968</v>
      </c>
      <c r="C1774" t="s">
        <v>121</v>
      </c>
      <c r="D1774" t="s">
        <v>70</v>
      </c>
      <c r="E1774" s="9">
        <v>4</v>
      </c>
      <c r="F1774" s="10">
        <v>110</v>
      </c>
      <c r="G1774" s="11">
        <v>0</v>
      </c>
      <c r="H1774" s="10">
        <v>440</v>
      </c>
      <c r="I1774" s="9">
        <v>0</v>
      </c>
      <c r="J1774" s="10">
        <v>0</v>
      </c>
      <c r="K1774" s="9">
        <v>4</v>
      </c>
      <c r="L1774" s="10">
        <v>440</v>
      </c>
      <c r="M1774" s="10">
        <v>364.11</v>
      </c>
      <c r="N1774" s="10">
        <v>75.89</v>
      </c>
      <c r="O1774" s="11">
        <f t="shared" si="106"/>
        <v>0.17247727272727273</v>
      </c>
      <c r="P1774" s="10">
        <v>22.84</v>
      </c>
      <c r="Q1774" s="10">
        <v>53.05</v>
      </c>
      <c r="R1774" s="11">
        <f t="shared" si="107"/>
        <v>0.12056818181818181</v>
      </c>
      <c r="S1774" t="s">
        <v>81</v>
      </c>
      <c r="T1774" t="s">
        <v>60</v>
      </c>
      <c r="U1774" t="s">
        <v>61</v>
      </c>
    </row>
    <row r="1775" spans="1:21" x14ac:dyDescent="0.35">
      <c r="A1775" t="s">
        <v>1904</v>
      </c>
      <c r="B1775" s="5">
        <v>45682</v>
      </c>
      <c r="C1775" t="s">
        <v>109</v>
      </c>
      <c r="D1775" t="s">
        <v>85</v>
      </c>
      <c r="E1775" s="9">
        <v>6</v>
      </c>
      <c r="F1775" s="10">
        <v>180</v>
      </c>
      <c r="G1775" s="11">
        <v>0.1</v>
      </c>
      <c r="H1775" s="10">
        <v>972</v>
      </c>
      <c r="I1775" s="9">
        <v>0</v>
      </c>
      <c r="J1775" s="10">
        <v>0</v>
      </c>
      <c r="K1775" s="9">
        <v>6</v>
      </c>
      <c r="L1775" s="10">
        <v>972</v>
      </c>
      <c r="M1775" s="10">
        <v>724.99</v>
      </c>
      <c r="N1775" s="10">
        <v>247.01</v>
      </c>
      <c r="O1775" s="11">
        <f t="shared" si="106"/>
        <v>0.25412551440329217</v>
      </c>
      <c r="P1775" s="10">
        <v>92.55</v>
      </c>
      <c r="Q1775" s="10">
        <v>154.46</v>
      </c>
      <c r="R1775" s="11">
        <f t="shared" si="107"/>
        <v>0.15890946502057615</v>
      </c>
      <c r="S1775" t="s">
        <v>59</v>
      </c>
      <c r="T1775" t="s">
        <v>66</v>
      </c>
      <c r="U1775" t="s">
        <v>61</v>
      </c>
    </row>
    <row r="1776" spans="1:21" x14ac:dyDescent="0.35">
      <c r="A1776" t="s">
        <v>1905</v>
      </c>
      <c r="B1776" s="5">
        <v>45740</v>
      </c>
      <c r="C1776" t="s">
        <v>107</v>
      </c>
      <c r="D1776" t="s">
        <v>74</v>
      </c>
      <c r="E1776" s="9">
        <v>2</v>
      </c>
      <c r="F1776" s="10">
        <v>125</v>
      </c>
      <c r="G1776" s="11">
        <v>0.05</v>
      </c>
      <c r="H1776" s="10">
        <v>237.5</v>
      </c>
      <c r="I1776" s="9">
        <v>0</v>
      </c>
      <c r="J1776" s="10">
        <v>0</v>
      </c>
      <c r="K1776" s="9">
        <v>2</v>
      </c>
      <c r="L1776" s="10">
        <v>237.5</v>
      </c>
      <c r="M1776" s="10">
        <v>203.16</v>
      </c>
      <c r="N1776" s="10">
        <v>34.340000000000003</v>
      </c>
      <c r="O1776" s="11">
        <f t="shared" si="106"/>
        <v>0.14458947368421055</v>
      </c>
      <c r="P1776" s="10">
        <v>28.49</v>
      </c>
      <c r="Q1776" s="10">
        <v>5.85</v>
      </c>
      <c r="R1776" s="11">
        <f t="shared" si="107"/>
        <v>2.4631578947368421E-2</v>
      </c>
      <c r="S1776" t="s">
        <v>59</v>
      </c>
      <c r="T1776" t="s">
        <v>82</v>
      </c>
      <c r="U1776" t="s">
        <v>71</v>
      </c>
    </row>
    <row r="1777" spans="1:21" x14ac:dyDescent="0.35">
      <c r="A1777" t="s">
        <v>1906</v>
      </c>
      <c r="B1777" s="5">
        <v>45839</v>
      </c>
      <c r="C1777" t="s">
        <v>107</v>
      </c>
      <c r="D1777" t="s">
        <v>74</v>
      </c>
      <c r="E1777" s="9">
        <v>1</v>
      </c>
      <c r="F1777" s="10">
        <v>125</v>
      </c>
      <c r="G1777" s="11">
        <v>0</v>
      </c>
      <c r="H1777" s="10">
        <v>125</v>
      </c>
      <c r="I1777" s="9">
        <v>0</v>
      </c>
      <c r="J1777" s="10">
        <v>0</v>
      </c>
      <c r="K1777" s="9">
        <v>1</v>
      </c>
      <c r="L1777" s="10">
        <v>125</v>
      </c>
      <c r="M1777" s="10">
        <v>80.55</v>
      </c>
      <c r="N1777" s="10">
        <v>44.45</v>
      </c>
      <c r="O1777" s="11">
        <f t="shared" si="106"/>
        <v>0.35560000000000003</v>
      </c>
      <c r="P1777" s="10">
        <v>8.3000000000000007</v>
      </c>
      <c r="Q1777" s="10">
        <v>36.15</v>
      </c>
      <c r="R1777" s="11">
        <f t="shared" si="107"/>
        <v>0.28920000000000001</v>
      </c>
      <c r="S1777" t="s">
        <v>59</v>
      </c>
      <c r="T1777" t="s">
        <v>66</v>
      </c>
      <c r="U1777" t="s">
        <v>76</v>
      </c>
    </row>
    <row r="1778" spans="1:21" x14ac:dyDescent="0.35">
      <c r="A1778" t="s">
        <v>1907</v>
      </c>
      <c r="B1778" s="5">
        <v>45800</v>
      </c>
      <c r="C1778" t="s">
        <v>84</v>
      </c>
      <c r="D1778" t="s">
        <v>85</v>
      </c>
      <c r="E1778" s="9">
        <v>8</v>
      </c>
      <c r="F1778" s="10">
        <v>48</v>
      </c>
      <c r="G1778" s="11">
        <v>0</v>
      </c>
      <c r="H1778" s="10">
        <v>384</v>
      </c>
      <c r="I1778" s="9">
        <v>0</v>
      </c>
      <c r="J1778" s="10">
        <v>0</v>
      </c>
      <c r="K1778" s="9">
        <v>8</v>
      </c>
      <c r="L1778" s="10">
        <v>384</v>
      </c>
      <c r="M1778" s="10">
        <v>285.06</v>
      </c>
      <c r="N1778" s="10">
        <v>98.94</v>
      </c>
      <c r="O1778" s="11">
        <f t="shared" si="106"/>
        <v>0.25765624999999998</v>
      </c>
      <c r="P1778" s="10">
        <v>43.97</v>
      </c>
      <c r="Q1778" s="10">
        <v>54.97</v>
      </c>
      <c r="R1778" s="11">
        <f t="shared" si="107"/>
        <v>0.14315104166666667</v>
      </c>
      <c r="S1778" t="s">
        <v>65</v>
      </c>
      <c r="T1778" t="s">
        <v>86</v>
      </c>
      <c r="U1778" t="s">
        <v>71</v>
      </c>
    </row>
    <row r="1779" spans="1:21" x14ac:dyDescent="0.35">
      <c r="A1779" t="s">
        <v>1908</v>
      </c>
      <c r="B1779" s="5">
        <v>45938</v>
      </c>
      <c r="C1779" t="s">
        <v>97</v>
      </c>
      <c r="D1779" t="s">
        <v>57</v>
      </c>
      <c r="E1779" s="9">
        <v>5</v>
      </c>
      <c r="F1779" s="10">
        <v>55</v>
      </c>
      <c r="G1779" s="11">
        <v>0</v>
      </c>
      <c r="H1779" s="10">
        <v>275</v>
      </c>
      <c r="I1779" s="9">
        <v>0</v>
      </c>
      <c r="J1779" s="10">
        <v>0</v>
      </c>
      <c r="K1779" s="9">
        <v>5</v>
      </c>
      <c r="L1779" s="10">
        <v>275</v>
      </c>
      <c r="M1779" s="10">
        <v>173.16</v>
      </c>
      <c r="N1779" s="10">
        <v>101.84</v>
      </c>
      <c r="O1779" s="11">
        <f t="shared" si="106"/>
        <v>0.37032727272727273</v>
      </c>
      <c r="P1779" s="10">
        <v>23.11</v>
      </c>
      <c r="Q1779" s="10">
        <v>78.73</v>
      </c>
      <c r="R1779" s="11">
        <f t="shared" si="107"/>
        <v>0.2862909090909091</v>
      </c>
      <c r="S1779" t="s">
        <v>65</v>
      </c>
      <c r="T1779" t="s">
        <v>82</v>
      </c>
      <c r="U1779" t="s">
        <v>76</v>
      </c>
    </row>
    <row r="1780" spans="1:21" x14ac:dyDescent="0.35">
      <c r="A1780" t="s">
        <v>1909</v>
      </c>
      <c r="B1780" s="5">
        <v>45856</v>
      </c>
      <c r="C1780" t="s">
        <v>69</v>
      </c>
      <c r="D1780" t="s">
        <v>70</v>
      </c>
      <c r="E1780" s="9">
        <v>5</v>
      </c>
      <c r="F1780" s="10">
        <v>210</v>
      </c>
      <c r="G1780" s="11">
        <v>0.1</v>
      </c>
      <c r="H1780" s="10">
        <v>945</v>
      </c>
      <c r="I1780" s="9">
        <v>0</v>
      </c>
      <c r="J1780" s="10">
        <v>0</v>
      </c>
      <c r="K1780" s="9">
        <v>5</v>
      </c>
      <c r="L1780" s="10">
        <v>945</v>
      </c>
      <c r="M1780" s="10">
        <v>653.45000000000005</v>
      </c>
      <c r="N1780" s="10">
        <v>291.55</v>
      </c>
      <c r="O1780" s="11">
        <f t="shared" si="106"/>
        <v>0.30851851851851853</v>
      </c>
      <c r="P1780" s="10">
        <v>58.72</v>
      </c>
      <c r="Q1780" s="10">
        <v>232.83</v>
      </c>
      <c r="R1780" s="11">
        <f t="shared" si="107"/>
        <v>0.24638095238095239</v>
      </c>
      <c r="S1780" t="s">
        <v>65</v>
      </c>
      <c r="T1780" t="s">
        <v>60</v>
      </c>
      <c r="U1780" t="s">
        <v>61</v>
      </c>
    </row>
    <row r="1781" spans="1:21" x14ac:dyDescent="0.35">
      <c r="A1781" t="s">
        <v>1910</v>
      </c>
      <c r="B1781" s="5">
        <v>45734</v>
      </c>
      <c r="C1781" t="s">
        <v>264</v>
      </c>
      <c r="D1781" t="s">
        <v>85</v>
      </c>
      <c r="E1781" s="9">
        <v>3</v>
      </c>
      <c r="F1781" s="10">
        <v>20</v>
      </c>
      <c r="G1781" s="11">
        <v>0.05</v>
      </c>
      <c r="H1781" s="10">
        <v>57</v>
      </c>
      <c r="I1781" s="9">
        <v>0</v>
      </c>
      <c r="J1781" s="10">
        <v>0</v>
      </c>
      <c r="K1781" s="9">
        <v>3</v>
      </c>
      <c r="L1781" s="10">
        <v>57</v>
      </c>
      <c r="M1781" s="10">
        <v>38.42</v>
      </c>
      <c r="N1781" s="10">
        <v>18.579999999999998</v>
      </c>
      <c r="O1781" s="11">
        <f t="shared" si="106"/>
        <v>0.32596491228070174</v>
      </c>
      <c r="P1781" s="10">
        <v>6.66</v>
      </c>
      <c r="Q1781" s="10">
        <v>11.92</v>
      </c>
      <c r="R1781" s="11">
        <f t="shared" si="107"/>
        <v>0.20912280701754385</v>
      </c>
      <c r="S1781" t="s">
        <v>59</v>
      </c>
      <c r="T1781" t="s">
        <v>66</v>
      </c>
      <c r="U1781" t="s">
        <v>61</v>
      </c>
    </row>
    <row r="1782" spans="1:21" x14ac:dyDescent="0.35">
      <c r="A1782" t="s">
        <v>1911</v>
      </c>
      <c r="B1782" s="5">
        <v>45721</v>
      </c>
      <c r="C1782" t="s">
        <v>90</v>
      </c>
      <c r="D1782" t="s">
        <v>70</v>
      </c>
      <c r="E1782" s="9">
        <v>1</v>
      </c>
      <c r="F1782" s="10">
        <v>38</v>
      </c>
      <c r="G1782" s="11">
        <v>0</v>
      </c>
      <c r="H1782" s="10">
        <v>38</v>
      </c>
      <c r="I1782" s="9">
        <v>0</v>
      </c>
      <c r="J1782" s="10">
        <v>0</v>
      </c>
      <c r="K1782" s="9">
        <v>1</v>
      </c>
      <c r="L1782" s="10">
        <v>38</v>
      </c>
      <c r="M1782" s="10">
        <v>25.32</v>
      </c>
      <c r="N1782" s="10">
        <v>12.68</v>
      </c>
      <c r="O1782" s="11">
        <f t="shared" si="106"/>
        <v>0.33368421052631581</v>
      </c>
      <c r="P1782" s="10">
        <v>2.4700000000000002</v>
      </c>
      <c r="Q1782" s="10">
        <v>10.210000000000001</v>
      </c>
      <c r="R1782" s="11">
        <f t="shared" si="107"/>
        <v>0.2686842105263158</v>
      </c>
      <c r="S1782" t="s">
        <v>59</v>
      </c>
      <c r="T1782" t="s">
        <v>86</v>
      </c>
      <c r="U1782" t="s">
        <v>71</v>
      </c>
    </row>
    <row r="1783" spans="1:21" x14ac:dyDescent="0.35">
      <c r="A1783" t="s">
        <v>1912</v>
      </c>
      <c r="B1783" s="5">
        <v>45755</v>
      </c>
      <c r="C1783" t="s">
        <v>97</v>
      </c>
      <c r="D1783" t="s">
        <v>57</v>
      </c>
      <c r="E1783" s="9">
        <v>2</v>
      </c>
      <c r="F1783" s="10">
        <v>55</v>
      </c>
      <c r="G1783" s="11">
        <v>0.1</v>
      </c>
      <c r="H1783" s="10">
        <v>99</v>
      </c>
      <c r="I1783" s="9">
        <v>0</v>
      </c>
      <c r="J1783" s="10">
        <v>0</v>
      </c>
      <c r="K1783" s="9">
        <v>2</v>
      </c>
      <c r="L1783" s="10">
        <v>99</v>
      </c>
      <c r="M1783" s="10">
        <v>62.04</v>
      </c>
      <c r="N1783" s="10">
        <v>36.96</v>
      </c>
      <c r="O1783" s="11">
        <f t="shared" si="106"/>
        <v>0.37333333333333335</v>
      </c>
      <c r="P1783" s="10">
        <v>9.4700000000000006</v>
      </c>
      <c r="Q1783" s="10">
        <v>27.49</v>
      </c>
      <c r="R1783" s="11">
        <f t="shared" si="107"/>
        <v>0.27767676767676769</v>
      </c>
      <c r="S1783" t="s">
        <v>65</v>
      </c>
      <c r="T1783" t="s">
        <v>60</v>
      </c>
      <c r="U1783" t="s">
        <v>71</v>
      </c>
    </row>
    <row r="1784" spans="1:21" x14ac:dyDescent="0.35">
      <c r="A1784" t="s">
        <v>1913</v>
      </c>
      <c r="B1784" s="5">
        <v>45824</v>
      </c>
      <c r="C1784" t="s">
        <v>73</v>
      </c>
      <c r="D1784" t="s">
        <v>74</v>
      </c>
      <c r="E1784" s="9">
        <v>6</v>
      </c>
      <c r="F1784" s="10">
        <v>280</v>
      </c>
      <c r="G1784" s="11">
        <v>0.05</v>
      </c>
      <c r="H1784" s="10">
        <v>1596</v>
      </c>
      <c r="I1784" s="9">
        <v>0</v>
      </c>
      <c r="J1784" s="10">
        <v>0</v>
      </c>
      <c r="K1784" s="9">
        <v>6</v>
      </c>
      <c r="L1784" s="10">
        <v>1596</v>
      </c>
      <c r="M1784" s="10">
        <v>1083.45</v>
      </c>
      <c r="N1784" s="10">
        <v>512.54999999999995</v>
      </c>
      <c r="O1784" s="11">
        <f t="shared" si="106"/>
        <v>0.32114661654135335</v>
      </c>
      <c r="P1784" s="10">
        <v>81.41</v>
      </c>
      <c r="Q1784" s="10">
        <v>431.14</v>
      </c>
      <c r="R1784" s="11">
        <f t="shared" si="107"/>
        <v>0.27013784461152879</v>
      </c>
      <c r="S1784" t="s">
        <v>59</v>
      </c>
      <c r="T1784" t="s">
        <v>82</v>
      </c>
      <c r="U1784" t="s">
        <v>67</v>
      </c>
    </row>
    <row r="1785" spans="1:21" x14ac:dyDescent="0.35">
      <c r="A1785" t="s">
        <v>1914</v>
      </c>
      <c r="B1785" s="5">
        <v>45966</v>
      </c>
      <c r="C1785" t="s">
        <v>121</v>
      </c>
      <c r="D1785" t="s">
        <v>70</v>
      </c>
      <c r="E1785" s="9">
        <v>1</v>
      </c>
      <c r="F1785" s="10">
        <v>110</v>
      </c>
      <c r="G1785" s="11">
        <v>0</v>
      </c>
      <c r="H1785" s="10">
        <v>110</v>
      </c>
      <c r="I1785" s="9">
        <v>0</v>
      </c>
      <c r="J1785" s="10">
        <v>0</v>
      </c>
      <c r="K1785" s="9">
        <v>1</v>
      </c>
      <c r="L1785" s="10">
        <v>110</v>
      </c>
      <c r="M1785" s="10">
        <v>82.29</v>
      </c>
      <c r="N1785" s="10">
        <v>27.71</v>
      </c>
      <c r="O1785" s="11">
        <f t="shared" si="106"/>
        <v>0.25190909090909092</v>
      </c>
      <c r="P1785" s="10">
        <v>12.31</v>
      </c>
      <c r="Q1785" s="10">
        <v>15.4</v>
      </c>
      <c r="R1785" s="11">
        <f t="shared" si="107"/>
        <v>0.14000000000000001</v>
      </c>
      <c r="S1785" t="s">
        <v>59</v>
      </c>
      <c r="T1785" t="s">
        <v>60</v>
      </c>
      <c r="U1785" t="s">
        <v>71</v>
      </c>
    </row>
    <row r="1786" spans="1:21" x14ac:dyDescent="0.35">
      <c r="A1786" t="s">
        <v>1915</v>
      </c>
      <c r="B1786" s="5">
        <v>45859</v>
      </c>
      <c r="C1786" t="s">
        <v>78</v>
      </c>
      <c r="D1786" t="s">
        <v>79</v>
      </c>
      <c r="E1786" s="9">
        <v>1</v>
      </c>
      <c r="F1786" s="10">
        <v>120</v>
      </c>
      <c r="G1786" s="11">
        <v>0</v>
      </c>
      <c r="H1786" s="10">
        <v>120</v>
      </c>
      <c r="I1786" s="9">
        <v>0</v>
      </c>
      <c r="J1786" s="10">
        <v>0</v>
      </c>
      <c r="K1786" s="9">
        <v>1</v>
      </c>
      <c r="L1786" s="10">
        <v>120</v>
      </c>
      <c r="M1786" s="10">
        <v>93.22</v>
      </c>
      <c r="N1786" s="10">
        <v>26.78</v>
      </c>
      <c r="O1786" s="11">
        <f t="shared" si="106"/>
        <v>0.22316666666666668</v>
      </c>
      <c r="P1786" s="10">
        <v>7.78</v>
      </c>
      <c r="Q1786" s="10">
        <v>19</v>
      </c>
      <c r="R1786" s="11">
        <f t="shared" si="107"/>
        <v>0.15833333333333333</v>
      </c>
      <c r="S1786" t="s">
        <v>59</v>
      </c>
      <c r="T1786" t="s">
        <v>66</v>
      </c>
      <c r="U1786" t="s">
        <v>76</v>
      </c>
    </row>
    <row r="1787" spans="1:21" x14ac:dyDescent="0.35">
      <c r="A1787" t="s">
        <v>1916</v>
      </c>
      <c r="B1787" s="5">
        <v>45997</v>
      </c>
      <c r="C1787" t="s">
        <v>69</v>
      </c>
      <c r="D1787" t="s">
        <v>70</v>
      </c>
      <c r="E1787" s="9">
        <v>5</v>
      </c>
      <c r="F1787" s="10">
        <v>210</v>
      </c>
      <c r="G1787" s="11">
        <v>0.02</v>
      </c>
      <c r="H1787" s="10">
        <v>1029</v>
      </c>
      <c r="I1787" s="9">
        <v>0</v>
      </c>
      <c r="J1787" s="10">
        <v>0</v>
      </c>
      <c r="K1787" s="9">
        <v>5</v>
      </c>
      <c r="L1787" s="10">
        <v>1029</v>
      </c>
      <c r="M1787" s="10">
        <v>767.69</v>
      </c>
      <c r="N1787" s="10">
        <v>261.31</v>
      </c>
      <c r="O1787" s="11">
        <f t="shared" ref="O1787:O1818" si="108">N1787/L1787</f>
        <v>0.25394557823129255</v>
      </c>
      <c r="P1787" s="10">
        <v>53.07</v>
      </c>
      <c r="Q1787" s="10">
        <v>208.24</v>
      </c>
      <c r="R1787" s="11">
        <f t="shared" ref="R1787:R1818" si="109">Q1787/L1787</f>
        <v>0.2023712342079689</v>
      </c>
      <c r="S1787" t="s">
        <v>59</v>
      </c>
      <c r="T1787" t="s">
        <v>86</v>
      </c>
      <c r="U1787" t="s">
        <v>61</v>
      </c>
    </row>
    <row r="1788" spans="1:21" x14ac:dyDescent="0.35">
      <c r="A1788" t="s">
        <v>1917</v>
      </c>
      <c r="B1788" s="5">
        <v>45879</v>
      </c>
      <c r="C1788" t="s">
        <v>84</v>
      </c>
      <c r="D1788" t="s">
        <v>85</v>
      </c>
      <c r="E1788" s="9">
        <v>1</v>
      </c>
      <c r="F1788" s="10">
        <v>48</v>
      </c>
      <c r="G1788" s="11">
        <v>0</v>
      </c>
      <c r="H1788" s="10">
        <v>48</v>
      </c>
      <c r="I1788" s="9">
        <v>0</v>
      </c>
      <c r="J1788" s="10">
        <v>0</v>
      </c>
      <c r="K1788" s="9">
        <v>1</v>
      </c>
      <c r="L1788" s="10">
        <v>48</v>
      </c>
      <c r="M1788" s="10">
        <v>30.01</v>
      </c>
      <c r="N1788" s="10">
        <v>17.989999999999998</v>
      </c>
      <c r="O1788" s="11">
        <f t="shared" si="108"/>
        <v>0.37479166666666663</v>
      </c>
      <c r="P1788" s="10">
        <v>4.6399999999999997</v>
      </c>
      <c r="Q1788" s="10">
        <v>13.35</v>
      </c>
      <c r="R1788" s="11">
        <f t="shared" si="109"/>
        <v>0.27812500000000001</v>
      </c>
      <c r="S1788" t="s">
        <v>81</v>
      </c>
      <c r="T1788" t="s">
        <v>66</v>
      </c>
      <c r="U1788" t="s">
        <v>61</v>
      </c>
    </row>
    <row r="1789" spans="1:21" x14ac:dyDescent="0.35">
      <c r="A1789" t="s">
        <v>1918</v>
      </c>
      <c r="B1789" s="5">
        <v>45778</v>
      </c>
      <c r="C1789" t="s">
        <v>90</v>
      </c>
      <c r="D1789" t="s">
        <v>70</v>
      </c>
      <c r="E1789" s="9">
        <v>2</v>
      </c>
      <c r="F1789" s="10">
        <v>38</v>
      </c>
      <c r="G1789" s="11">
        <v>0</v>
      </c>
      <c r="H1789" s="10">
        <v>76</v>
      </c>
      <c r="I1789" s="9">
        <v>0</v>
      </c>
      <c r="J1789" s="10">
        <v>0</v>
      </c>
      <c r="K1789" s="9">
        <v>2</v>
      </c>
      <c r="L1789" s="10">
        <v>76</v>
      </c>
      <c r="M1789" s="10">
        <v>49.9</v>
      </c>
      <c r="N1789" s="10">
        <v>26.1</v>
      </c>
      <c r="O1789" s="11">
        <f t="shared" si="108"/>
        <v>0.34342105263157896</v>
      </c>
      <c r="P1789" s="10">
        <v>4.5999999999999996</v>
      </c>
      <c r="Q1789" s="10">
        <v>21.5</v>
      </c>
      <c r="R1789" s="11">
        <f t="shared" si="109"/>
        <v>0.28289473684210525</v>
      </c>
      <c r="S1789" t="s">
        <v>75</v>
      </c>
      <c r="T1789" t="s">
        <v>60</v>
      </c>
      <c r="U1789" t="s">
        <v>76</v>
      </c>
    </row>
    <row r="1790" spans="1:21" x14ac:dyDescent="0.35">
      <c r="A1790" t="s">
        <v>1919</v>
      </c>
      <c r="B1790" s="5">
        <v>45712</v>
      </c>
      <c r="C1790" t="s">
        <v>109</v>
      </c>
      <c r="D1790" t="s">
        <v>85</v>
      </c>
      <c r="E1790" s="9">
        <v>5</v>
      </c>
      <c r="F1790" s="10">
        <v>180</v>
      </c>
      <c r="G1790" s="11">
        <v>0</v>
      </c>
      <c r="H1790" s="10">
        <v>900</v>
      </c>
      <c r="I1790" s="9">
        <v>0</v>
      </c>
      <c r="J1790" s="10">
        <v>0</v>
      </c>
      <c r="K1790" s="9">
        <v>5</v>
      </c>
      <c r="L1790" s="10">
        <v>900</v>
      </c>
      <c r="M1790" s="10">
        <v>566.12</v>
      </c>
      <c r="N1790" s="10">
        <v>333.88</v>
      </c>
      <c r="O1790" s="11">
        <f t="shared" si="108"/>
        <v>0.3709777777777778</v>
      </c>
      <c r="P1790" s="10">
        <v>109.69</v>
      </c>
      <c r="Q1790" s="10">
        <v>224.19</v>
      </c>
      <c r="R1790" s="11">
        <f t="shared" si="109"/>
        <v>0.24909999999999999</v>
      </c>
      <c r="S1790" t="s">
        <v>65</v>
      </c>
      <c r="T1790" t="s">
        <v>60</v>
      </c>
      <c r="U1790" t="s">
        <v>76</v>
      </c>
    </row>
    <row r="1791" spans="1:21" x14ac:dyDescent="0.35">
      <c r="A1791" t="s">
        <v>1920</v>
      </c>
      <c r="B1791" s="5">
        <v>45801</v>
      </c>
      <c r="C1791" t="s">
        <v>114</v>
      </c>
      <c r="D1791" t="s">
        <v>64</v>
      </c>
      <c r="E1791" s="9">
        <v>4</v>
      </c>
      <c r="F1791" s="10">
        <v>420</v>
      </c>
      <c r="G1791" s="11">
        <v>0.02</v>
      </c>
      <c r="H1791" s="10">
        <v>1646.4</v>
      </c>
      <c r="I1791" s="9">
        <v>0</v>
      </c>
      <c r="J1791" s="10">
        <v>0</v>
      </c>
      <c r="K1791" s="9">
        <v>4</v>
      </c>
      <c r="L1791" s="10">
        <v>1646.4</v>
      </c>
      <c r="M1791" s="10">
        <v>1305.53</v>
      </c>
      <c r="N1791" s="10">
        <v>340.87</v>
      </c>
      <c r="O1791" s="11">
        <f t="shared" si="108"/>
        <v>0.20703960155490767</v>
      </c>
      <c r="P1791" s="10">
        <v>193.65</v>
      </c>
      <c r="Q1791" s="10">
        <v>147.22</v>
      </c>
      <c r="R1791" s="11">
        <f t="shared" si="109"/>
        <v>8.9419339164237124E-2</v>
      </c>
      <c r="S1791" t="s">
        <v>59</v>
      </c>
      <c r="T1791" t="s">
        <v>82</v>
      </c>
      <c r="U1791" t="s">
        <v>76</v>
      </c>
    </row>
    <row r="1792" spans="1:21" x14ac:dyDescent="0.35">
      <c r="A1792" t="s">
        <v>1921</v>
      </c>
      <c r="B1792" s="5">
        <v>45925</v>
      </c>
      <c r="C1792" t="s">
        <v>73</v>
      </c>
      <c r="D1792" t="s">
        <v>74</v>
      </c>
      <c r="E1792" s="9">
        <v>2</v>
      </c>
      <c r="F1792" s="10">
        <v>280</v>
      </c>
      <c r="G1792" s="11">
        <v>0</v>
      </c>
      <c r="H1792" s="10">
        <v>560</v>
      </c>
      <c r="I1792" s="9">
        <v>0</v>
      </c>
      <c r="J1792" s="10">
        <v>0</v>
      </c>
      <c r="K1792" s="9">
        <v>2</v>
      </c>
      <c r="L1792" s="10">
        <v>560</v>
      </c>
      <c r="M1792" s="10">
        <v>359.88</v>
      </c>
      <c r="N1792" s="10">
        <v>200.12</v>
      </c>
      <c r="O1792" s="11">
        <f t="shared" si="108"/>
        <v>0.35735714285714287</v>
      </c>
      <c r="P1792" s="10">
        <v>72.05</v>
      </c>
      <c r="Q1792" s="10">
        <v>128.07</v>
      </c>
      <c r="R1792" s="11">
        <f t="shared" si="109"/>
        <v>0.22869642857142855</v>
      </c>
      <c r="S1792" t="s">
        <v>65</v>
      </c>
      <c r="T1792" t="s">
        <v>66</v>
      </c>
      <c r="U1792" t="s">
        <v>76</v>
      </c>
    </row>
    <row r="1793" spans="1:21" x14ac:dyDescent="0.35">
      <c r="A1793" t="s">
        <v>1922</v>
      </c>
      <c r="B1793" s="5">
        <v>45772</v>
      </c>
      <c r="C1793" t="s">
        <v>92</v>
      </c>
      <c r="D1793" t="s">
        <v>79</v>
      </c>
      <c r="E1793" s="9">
        <v>8</v>
      </c>
      <c r="F1793" s="10">
        <v>85</v>
      </c>
      <c r="G1793" s="11">
        <v>0.05</v>
      </c>
      <c r="H1793" s="10">
        <v>646</v>
      </c>
      <c r="I1793" s="9">
        <v>0</v>
      </c>
      <c r="J1793" s="10">
        <v>0</v>
      </c>
      <c r="K1793" s="9">
        <v>8</v>
      </c>
      <c r="L1793" s="10">
        <v>646</v>
      </c>
      <c r="M1793" s="10">
        <v>502.78</v>
      </c>
      <c r="N1793" s="10">
        <v>143.22</v>
      </c>
      <c r="O1793" s="11">
        <f t="shared" si="108"/>
        <v>0.22170278637770899</v>
      </c>
      <c r="P1793" s="10">
        <v>36.21</v>
      </c>
      <c r="Q1793" s="10">
        <v>107.01</v>
      </c>
      <c r="R1793" s="11">
        <f t="shared" si="109"/>
        <v>0.16565015479876161</v>
      </c>
      <c r="S1793" t="s">
        <v>65</v>
      </c>
      <c r="T1793" t="s">
        <v>60</v>
      </c>
      <c r="U1793" t="s">
        <v>76</v>
      </c>
    </row>
    <row r="1794" spans="1:21" x14ac:dyDescent="0.35">
      <c r="A1794" t="s">
        <v>1923</v>
      </c>
      <c r="B1794" s="5">
        <v>45723</v>
      </c>
      <c r="C1794" t="s">
        <v>125</v>
      </c>
      <c r="D1794" t="s">
        <v>85</v>
      </c>
      <c r="E1794" s="9">
        <v>4</v>
      </c>
      <c r="F1794" s="10">
        <v>125</v>
      </c>
      <c r="G1794" s="11">
        <v>0.05</v>
      </c>
      <c r="H1794" s="10">
        <v>475</v>
      </c>
      <c r="I1794" s="9">
        <v>0</v>
      </c>
      <c r="J1794" s="10">
        <v>0</v>
      </c>
      <c r="K1794" s="9">
        <v>4</v>
      </c>
      <c r="L1794" s="10">
        <v>475</v>
      </c>
      <c r="M1794" s="10">
        <v>354.14</v>
      </c>
      <c r="N1794" s="10">
        <v>120.86</v>
      </c>
      <c r="O1794" s="11">
        <f t="shared" si="108"/>
        <v>0.25444210526315791</v>
      </c>
      <c r="P1794" s="10">
        <v>55.1</v>
      </c>
      <c r="Q1794" s="10">
        <v>65.760000000000005</v>
      </c>
      <c r="R1794" s="11">
        <f t="shared" si="109"/>
        <v>0.13844210526315789</v>
      </c>
      <c r="S1794" t="s">
        <v>59</v>
      </c>
      <c r="T1794" t="s">
        <v>60</v>
      </c>
      <c r="U1794" t="s">
        <v>76</v>
      </c>
    </row>
    <row r="1795" spans="1:21" x14ac:dyDescent="0.35">
      <c r="A1795" t="s">
        <v>1924</v>
      </c>
      <c r="B1795" s="5">
        <v>45955</v>
      </c>
      <c r="C1795" t="s">
        <v>104</v>
      </c>
      <c r="D1795" t="s">
        <v>105</v>
      </c>
      <c r="E1795" s="9">
        <v>3</v>
      </c>
      <c r="F1795" s="10">
        <v>65</v>
      </c>
      <c r="G1795" s="11">
        <v>0</v>
      </c>
      <c r="H1795" s="10">
        <v>195</v>
      </c>
      <c r="I1795" s="9">
        <v>0</v>
      </c>
      <c r="J1795" s="10">
        <v>0</v>
      </c>
      <c r="K1795" s="9">
        <v>3</v>
      </c>
      <c r="L1795" s="10">
        <v>195</v>
      </c>
      <c r="M1795" s="10">
        <v>151.83000000000001</v>
      </c>
      <c r="N1795" s="10">
        <v>43.17</v>
      </c>
      <c r="O1795" s="11">
        <f t="shared" si="108"/>
        <v>0.2213846153846154</v>
      </c>
      <c r="P1795" s="10">
        <v>12.97</v>
      </c>
      <c r="Q1795" s="10">
        <v>30.2</v>
      </c>
      <c r="R1795" s="11">
        <f t="shared" si="109"/>
        <v>0.15487179487179487</v>
      </c>
      <c r="S1795" t="s">
        <v>65</v>
      </c>
      <c r="T1795" t="s">
        <v>86</v>
      </c>
      <c r="U1795" t="s">
        <v>67</v>
      </c>
    </row>
    <row r="1796" spans="1:21" x14ac:dyDescent="0.35">
      <c r="A1796" t="s">
        <v>1925</v>
      </c>
      <c r="B1796" s="5">
        <v>45689</v>
      </c>
      <c r="C1796" t="s">
        <v>56</v>
      </c>
      <c r="D1796" t="s">
        <v>57</v>
      </c>
      <c r="E1796" s="9">
        <v>5</v>
      </c>
      <c r="F1796" s="10">
        <v>40</v>
      </c>
      <c r="G1796" s="11">
        <v>0.02</v>
      </c>
      <c r="H1796" s="10">
        <v>196</v>
      </c>
      <c r="I1796" s="9">
        <v>0</v>
      </c>
      <c r="J1796" s="10">
        <v>0</v>
      </c>
      <c r="K1796" s="9">
        <v>5</v>
      </c>
      <c r="L1796" s="10">
        <v>196</v>
      </c>
      <c r="M1796" s="10">
        <v>138.74</v>
      </c>
      <c r="N1796" s="10">
        <v>57.26</v>
      </c>
      <c r="O1796" s="11">
        <f t="shared" si="108"/>
        <v>0.29214285714285715</v>
      </c>
      <c r="P1796" s="10">
        <v>9.93</v>
      </c>
      <c r="Q1796" s="10">
        <v>47.33</v>
      </c>
      <c r="R1796" s="11">
        <f t="shared" si="109"/>
        <v>0.24147959183673467</v>
      </c>
      <c r="S1796" t="s">
        <v>65</v>
      </c>
      <c r="T1796" t="s">
        <v>60</v>
      </c>
      <c r="U1796" t="s">
        <v>61</v>
      </c>
    </row>
    <row r="1797" spans="1:21" x14ac:dyDescent="0.35">
      <c r="A1797" t="s">
        <v>1926</v>
      </c>
      <c r="B1797" s="5">
        <v>45952</v>
      </c>
      <c r="C1797" t="s">
        <v>56</v>
      </c>
      <c r="D1797" t="s">
        <v>57</v>
      </c>
      <c r="E1797" s="9">
        <v>5</v>
      </c>
      <c r="F1797" s="10">
        <v>40</v>
      </c>
      <c r="G1797" s="11">
        <v>0</v>
      </c>
      <c r="H1797" s="10">
        <v>200</v>
      </c>
      <c r="I1797" s="9">
        <v>0</v>
      </c>
      <c r="J1797" s="10">
        <v>0</v>
      </c>
      <c r="K1797" s="9">
        <v>5</v>
      </c>
      <c r="L1797" s="10">
        <v>200</v>
      </c>
      <c r="M1797" s="10">
        <v>129.61000000000001</v>
      </c>
      <c r="N1797" s="10">
        <v>70.39</v>
      </c>
      <c r="O1797" s="11">
        <f t="shared" si="108"/>
        <v>0.35194999999999999</v>
      </c>
      <c r="P1797" s="10">
        <v>25.74</v>
      </c>
      <c r="Q1797" s="10">
        <v>44.65</v>
      </c>
      <c r="R1797" s="11">
        <f t="shared" si="109"/>
        <v>0.22325</v>
      </c>
      <c r="S1797" t="s">
        <v>65</v>
      </c>
      <c r="T1797" t="s">
        <v>66</v>
      </c>
      <c r="U1797" t="s">
        <v>61</v>
      </c>
    </row>
    <row r="1798" spans="1:21" x14ac:dyDescent="0.35">
      <c r="A1798" t="s">
        <v>1927</v>
      </c>
      <c r="B1798" s="5">
        <v>45867</v>
      </c>
      <c r="C1798" t="s">
        <v>107</v>
      </c>
      <c r="D1798" t="s">
        <v>74</v>
      </c>
      <c r="E1798" s="9">
        <v>2</v>
      </c>
      <c r="F1798" s="10">
        <v>125</v>
      </c>
      <c r="G1798" s="11">
        <v>0</v>
      </c>
      <c r="H1798" s="10">
        <v>250</v>
      </c>
      <c r="I1798" s="9">
        <v>0</v>
      </c>
      <c r="J1798" s="10">
        <v>0</v>
      </c>
      <c r="K1798" s="9">
        <v>2</v>
      </c>
      <c r="L1798" s="10">
        <v>250</v>
      </c>
      <c r="M1798" s="10">
        <v>202.35</v>
      </c>
      <c r="N1798" s="10">
        <v>47.65</v>
      </c>
      <c r="O1798" s="11">
        <f t="shared" si="108"/>
        <v>0.19059999999999999</v>
      </c>
      <c r="P1798" s="10">
        <v>13.08</v>
      </c>
      <c r="Q1798" s="10">
        <v>34.57</v>
      </c>
      <c r="R1798" s="11">
        <f t="shared" si="109"/>
        <v>0.13828000000000001</v>
      </c>
      <c r="S1798" t="s">
        <v>65</v>
      </c>
      <c r="T1798" t="s">
        <v>66</v>
      </c>
      <c r="U1798" t="s">
        <v>76</v>
      </c>
    </row>
    <row r="1799" spans="1:21" x14ac:dyDescent="0.35">
      <c r="A1799" t="s">
        <v>1928</v>
      </c>
      <c r="B1799" s="5">
        <v>45737</v>
      </c>
      <c r="C1799" t="s">
        <v>121</v>
      </c>
      <c r="D1799" t="s">
        <v>70</v>
      </c>
      <c r="E1799" s="9">
        <v>2</v>
      </c>
      <c r="F1799" s="10">
        <v>110</v>
      </c>
      <c r="G1799" s="11">
        <v>0.02</v>
      </c>
      <c r="H1799" s="10">
        <v>215.6</v>
      </c>
      <c r="I1799" s="9">
        <v>0</v>
      </c>
      <c r="J1799" s="10">
        <v>0</v>
      </c>
      <c r="K1799" s="9">
        <v>2</v>
      </c>
      <c r="L1799" s="10">
        <v>215.6</v>
      </c>
      <c r="M1799" s="10">
        <v>175.06</v>
      </c>
      <c r="N1799" s="10">
        <v>40.54</v>
      </c>
      <c r="O1799" s="11">
        <f t="shared" si="108"/>
        <v>0.18803339517625231</v>
      </c>
      <c r="P1799" s="10">
        <v>14.66</v>
      </c>
      <c r="Q1799" s="10">
        <v>25.88</v>
      </c>
      <c r="R1799" s="11">
        <f t="shared" si="109"/>
        <v>0.12003710575139147</v>
      </c>
      <c r="S1799" t="s">
        <v>75</v>
      </c>
      <c r="T1799" t="s">
        <v>60</v>
      </c>
      <c r="U1799" t="s">
        <v>61</v>
      </c>
    </row>
    <row r="1800" spans="1:21" x14ac:dyDescent="0.35">
      <c r="A1800" t="s">
        <v>1929</v>
      </c>
      <c r="B1800" s="5">
        <v>45672</v>
      </c>
      <c r="C1800" t="s">
        <v>97</v>
      </c>
      <c r="D1800" t="s">
        <v>57</v>
      </c>
      <c r="E1800" s="9">
        <v>1</v>
      </c>
      <c r="F1800" s="10">
        <v>55</v>
      </c>
      <c r="G1800" s="11">
        <v>0.05</v>
      </c>
      <c r="H1800" s="10">
        <v>52.25</v>
      </c>
      <c r="I1800" s="9">
        <v>0</v>
      </c>
      <c r="J1800" s="10">
        <v>0</v>
      </c>
      <c r="K1800" s="9">
        <v>1</v>
      </c>
      <c r="L1800" s="10">
        <v>52.25</v>
      </c>
      <c r="M1800" s="10">
        <v>40.32</v>
      </c>
      <c r="N1800" s="10">
        <v>11.93</v>
      </c>
      <c r="O1800" s="11">
        <f t="shared" si="108"/>
        <v>0.22832535885167463</v>
      </c>
      <c r="P1800" s="10">
        <v>3.17</v>
      </c>
      <c r="Q1800" s="10">
        <v>8.76</v>
      </c>
      <c r="R1800" s="11">
        <f t="shared" si="109"/>
        <v>0.1676555023923445</v>
      </c>
      <c r="S1800" t="s">
        <v>75</v>
      </c>
      <c r="T1800" t="s">
        <v>82</v>
      </c>
      <c r="U1800" t="s">
        <v>71</v>
      </c>
    </row>
    <row r="1801" spans="1:21" x14ac:dyDescent="0.35">
      <c r="A1801" t="s">
        <v>1930</v>
      </c>
      <c r="B1801" s="5">
        <v>45839</v>
      </c>
      <c r="C1801" t="s">
        <v>69</v>
      </c>
      <c r="D1801" t="s">
        <v>70</v>
      </c>
      <c r="E1801" s="9">
        <v>4</v>
      </c>
      <c r="F1801" s="10">
        <v>210</v>
      </c>
      <c r="G1801" s="11">
        <v>0</v>
      </c>
      <c r="H1801" s="10">
        <v>840</v>
      </c>
      <c r="I1801" s="9">
        <v>0</v>
      </c>
      <c r="J1801" s="10">
        <v>0</v>
      </c>
      <c r="K1801" s="9">
        <v>4</v>
      </c>
      <c r="L1801" s="10">
        <v>840</v>
      </c>
      <c r="M1801" s="10">
        <v>630.99</v>
      </c>
      <c r="N1801" s="10">
        <v>209.01</v>
      </c>
      <c r="O1801" s="11">
        <f t="shared" si="108"/>
        <v>0.24882142857142855</v>
      </c>
      <c r="P1801" s="10">
        <v>108.92</v>
      </c>
      <c r="Q1801" s="10">
        <v>100.09</v>
      </c>
      <c r="R1801" s="11">
        <f t="shared" si="109"/>
        <v>0.1191547619047619</v>
      </c>
      <c r="S1801" t="s">
        <v>59</v>
      </c>
      <c r="T1801" t="s">
        <v>86</v>
      </c>
      <c r="U1801" t="s">
        <v>76</v>
      </c>
    </row>
    <row r="1802" spans="1:21" x14ac:dyDescent="0.35">
      <c r="A1802" t="s">
        <v>1931</v>
      </c>
      <c r="B1802" s="5">
        <v>45810</v>
      </c>
      <c r="C1802" t="s">
        <v>92</v>
      </c>
      <c r="D1802" t="s">
        <v>79</v>
      </c>
      <c r="E1802" s="9">
        <v>4</v>
      </c>
      <c r="F1802" s="10">
        <v>85</v>
      </c>
      <c r="G1802" s="11">
        <v>0</v>
      </c>
      <c r="H1802" s="10">
        <v>340</v>
      </c>
      <c r="I1802" s="9">
        <v>0</v>
      </c>
      <c r="J1802" s="10">
        <v>0</v>
      </c>
      <c r="K1802" s="9">
        <v>4</v>
      </c>
      <c r="L1802" s="10">
        <v>340</v>
      </c>
      <c r="M1802" s="10">
        <v>224.75</v>
      </c>
      <c r="N1802" s="10">
        <v>115.25</v>
      </c>
      <c r="O1802" s="11">
        <f t="shared" si="108"/>
        <v>0.33897058823529413</v>
      </c>
      <c r="P1802" s="10">
        <v>26.69</v>
      </c>
      <c r="Q1802" s="10">
        <v>88.56</v>
      </c>
      <c r="R1802" s="11">
        <f t="shared" si="109"/>
        <v>0.26047058823529412</v>
      </c>
      <c r="S1802" t="s">
        <v>65</v>
      </c>
      <c r="T1802" t="s">
        <v>82</v>
      </c>
      <c r="U1802" t="s">
        <v>76</v>
      </c>
    </row>
    <row r="1803" spans="1:21" x14ac:dyDescent="0.35">
      <c r="A1803" t="s">
        <v>1932</v>
      </c>
      <c r="B1803" s="5">
        <v>45889</v>
      </c>
      <c r="C1803" t="s">
        <v>90</v>
      </c>
      <c r="D1803" t="s">
        <v>70</v>
      </c>
      <c r="E1803" s="9">
        <v>2</v>
      </c>
      <c r="F1803" s="10">
        <v>38</v>
      </c>
      <c r="G1803" s="11">
        <v>0.05</v>
      </c>
      <c r="H1803" s="10">
        <v>72.2</v>
      </c>
      <c r="I1803" s="9">
        <v>0</v>
      </c>
      <c r="J1803" s="10">
        <v>0</v>
      </c>
      <c r="K1803" s="9">
        <v>2</v>
      </c>
      <c r="L1803" s="10">
        <v>72.2</v>
      </c>
      <c r="M1803" s="10">
        <v>52.71</v>
      </c>
      <c r="N1803" s="10">
        <v>19.489999999999998</v>
      </c>
      <c r="O1803" s="11">
        <f t="shared" si="108"/>
        <v>0.26994459833795009</v>
      </c>
      <c r="P1803" s="10">
        <v>9.3000000000000007</v>
      </c>
      <c r="Q1803" s="10">
        <v>10.19</v>
      </c>
      <c r="R1803" s="11">
        <f t="shared" si="109"/>
        <v>0.14113573407202215</v>
      </c>
      <c r="S1803" t="s">
        <v>65</v>
      </c>
      <c r="T1803" t="s">
        <v>60</v>
      </c>
      <c r="U1803" t="s">
        <v>76</v>
      </c>
    </row>
    <row r="1804" spans="1:21" x14ac:dyDescent="0.35">
      <c r="A1804" t="s">
        <v>1933</v>
      </c>
      <c r="B1804" s="5">
        <v>45925</v>
      </c>
      <c r="C1804" t="s">
        <v>121</v>
      </c>
      <c r="D1804" t="s">
        <v>70</v>
      </c>
      <c r="E1804" s="9">
        <v>1</v>
      </c>
      <c r="F1804" s="10">
        <v>110</v>
      </c>
      <c r="G1804" s="11">
        <v>0</v>
      </c>
      <c r="H1804" s="10">
        <v>110</v>
      </c>
      <c r="I1804" s="9">
        <v>0</v>
      </c>
      <c r="J1804" s="10">
        <v>0</v>
      </c>
      <c r="K1804" s="9">
        <v>1</v>
      </c>
      <c r="L1804" s="10">
        <v>110</v>
      </c>
      <c r="M1804" s="10">
        <v>85.06</v>
      </c>
      <c r="N1804" s="10">
        <v>24.94</v>
      </c>
      <c r="O1804" s="11">
        <f t="shared" si="108"/>
        <v>0.22672727272727275</v>
      </c>
      <c r="P1804" s="10">
        <v>13.07</v>
      </c>
      <c r="Q1804" s="10">
        <v>11.87</v>
      </c>
      <c r="R1804" s="11">
        <f t="shared" si="109"/>
        <v>0.1079090909090909</v>
      </c>
      <c r="S1804" t="s">
        <v>75</v>
      </c>
      <c r="T1804" t="s">
        <v>86</v>
      </c>
      <c r="U1804" t="s">
        <v>71</v>
      </c>
    </row>
    <row r="1805" spans="1:21" x14ac:dyDescent="0.35">
      <c r="A1805" t="s">
        <v>1934</v>
      </c>
      <c r="B1805" s="5">
        <v>45984</v>
      </c>
      <c r="C1805" t="s">
        <v>125</v>
      </c>
      <c r="D1805" t="s">
        <v>85</v>
      </c>
      <c r="E1805" s="9">
        <v>1</v>
      </c>
      <c r="F1805" s="10">
        <v>125</v>
      </c>
      <c r="G1805" s="11">
        <v>0.05</v>
      </c>
      <c r="H1805" s="10">
        <v>118.75</v>
      </c>
      <c r="I1805" s="9">
        <v>0</v>
      </c>
      <c r="J1805" s="10">
        <v>0</v>
      </c>
      <c r="K1805" s="9">
        <v>1</v>
      </c>
      <c r="L1805" s="10">
        <v>118.75</v>
      </c>
      <c r="M1805" s="10">
        <v>95.57</v>
      </c>
      <c r="N1805" s="10">
        <v>23.18</v>
      </c>
      <c r="O1805" s="11">
        <f t="shared" si="108"/>
        <v>0.19519999999999998</v>
      </c>
      <c r="P1805" s="10">
        <v>13.28</v>
      </c>
      <c r="Q1805" s="10">
        <v>9.9</v>
      </c>
      <c r="R1805" s="11">
        <f t="shared" si="109"/>
        <v>8.3368421052631578E-2</v>
      </c>
      <c r="S1805" t="s">
        <v>81</v>
      </c>
      <c r="T1805" t="s">
        <v>66</v>
      </c>
      <c r="U1805" t="s">
        <v>71</v>
      </c>
    </row>
    <row r="1806" spans="1:21" x14ac:dyDescent="0.35">
      <c r="A1806" t="s">
        <v>1935</v>
      </c>
      <c r="B1806" s="5">
        <v>45740</v>
      </c>
      <c r="C1806" t="s">
        <v>117</v>
      </c>
      <c r="D1806" t="s">
        <v>74</v>
      </c>
      <c r="E1806" s="9">
        <v>2</v>
      </c>
      <c r="F1806" s="10">
        <v>95</v>
      </c>
      <c r="G1806" s="11">
        <v>0</v>
      </c>
      <c r="H1806" s="10">
        <v>190</v>
      </c>
      <c r="I1806" s="9">
        <v>0</v>
      </c>
      <c r="J1806" s="10">
        <v>0</v>
      </c>
      <c r="K1806" s="9">
        <v>2</v>
      </c>
      <c r="L1806" s="10">
        <v>190</v>
      </c>
      <c r="M1806" s="10">
        <v>159.11000000000001</v>
      </c>
      <c r="N1806" s="10">
        <v>30.89</v>
      </c>
      <c r="O1806" s="11">
        <f t="shared" si="108"/>
        <v>0.16257894736842105</v>
      </c>
      <c r="P1806" s="10">
        <v>12.77</v>
      </c>
      <c r="Q1806" s="10">
        <v>18.12</v>
      </c>
      <c r="R1806" s="11">
        <f t="shared" si="109"/>
        <v>9.5368421052631588E-2</v>
      </c>
      <c r="S1806" t="s">
        <v>59</v>
      </c>
      <c r="T1806" t="s">
        <v>86</v>
      </c>
      <c r="U1806" t="s">
        <v>71</v>
      </c>
    </row>
    <row r="1807" spans="1:21" x14ac:dyDescent="0.35">
      <c r="A1807" t="s">
        <v>1936</v>
      </c>
      <c r="B1807" s="5">
        <v>45845</v>
      </c>
      <c r="C1807" t="s">
        <v>109</v>
      </c>
      <c r="D1807" t="s">
        <v>85</v>
      </c>
      <c r="E1807" s="9">
        <v>3</v>
      </c>
      <c r="F1807" s="10">
        <v>180</v>
      </c>
      <c r="G1807" s="11">
        <v>0.02</v>
      </c>
      <c r="H1807" s="10">
        <v>529.20000000000005</v>
      </c>
      <c r="I1807" s="9">
        <v>0</v>
      </c>
      <c r="J1807" s="10">
        <v>0</v>
      </c>
      <c r="K1807" s="9">
        <v>3</v>
      </c>
      <c r="L1807" s="10">
        <v>529.20000000000005</v>
      </c>
      <c r="M1807" s="10">
        <v>337.95</v>
      </c>
      <c r="N1807" s="10">
        <v>191.25</v>
      </c>
      <c r="O1807" s="11">
        <f t="shared" si="108"/>
        <v>0.36139455782312924</v>
      </c>
      <c r="P1807" s="10">
        <v>32.36</v>
      </c>
      <c r="Q1807" s="10">
        <v>158.88999999999999</v>
      </c>
      <c r="R1807" s="11">
        <f t="shared" si="109"/>
        <v>0.30024565381708235</v>
      </c>
      <c r="S1807" t="s">
        <v>65</v>
      </c>
      <c r="T1807" t="s">
        <v>66</v>
      </c>
      <c r="U1807" t="s">
        <v>61</v>
      </c>
    </row>
    <row r="1808" spans="1:21" x14ac:dyDescent="0.35">
      <c r="A1808" t="s">
        <v>1937</v>
      </c>
      <c r="B1808" s="5">
        <v>45886</v>
      </c>
      <c r="C1808" t="s">
        <v>107</v>
      </c>
      <c r="D1808" t="s">
        <v>74</v>
      </c>
      <c r="E1808" s="9">
        <v>3</v>
      </c>
      <c r="F1808" s="10">
        <v>125</v>
      </c>
      <c r="G1808" s="11">
        <v>0</v>
      </c>
      <c r="H1808" s="10">
        <v>375</v>
      </c>
      <c r="I1808" s="9">
        <v>0</v>
      </c>
      <c r="J1808" s="10">
        <v>0</v>
      </c>
      <c r="K1808" s="9">
        <v>3</v>
      </c>
      <c r="L1808" s="10">
        <v>375</v>
      </c>
      <c r="M1808" s="10">
        <v>269.57</v>
      </c>
      <c r="N1808" s="10">
        <v>105.43</v>
      </c>
      <c r="O1808" s="11">
        <f t="shared" si="108"/>
        <v>0.28114666666666671</v>
      </c>
      <c r="P1808" s="10">
        <v>30.91</v>
      </c>
      <c r="Q1808" s="10">
        <v>74.52</v>
      </c>
      <c r="R1808" s="11">
        <f t="shared" si="109"/>
        <v>0.19871999999999998</v>
      </c>
      <c r="S1808" t="s">
        <v>75</v>
      </c>
      <c r="T1808" t="s">
        <v>66</v>
      </c>
      <c r="U1808" t="s">
        <v>67</v>
      </c>
    </row>
    <row r="1809" spans="1:21" x14ac:dyDescent="0.35">
      <c r="A1809" t="s">
        <v>1938</v>
      </c>
      <c r="B1809" s="5">
        <v>46004</v>
      </c>
      <c r="C1809" t="s">
        <v>121</v>
      </c>
      <c r="D1809" t="s">
        <v>70</v>
      </c>
      <c r="E1809" s="9">
        <v>2</v>
      </c>
      <c r="F1809" s="10">
        <v>110</v>
      </c>
      <c r="G1809" s="11">
        <v>0</v>
      </c>
      <c r="H1809" s="10">
        <v>220</v>
      </c>
      <c r="I1809" s="9">
        <v>0</v>
      </c>
      <c r="J1809" s="10">
        <v>0</v>
      </c>
      <c r="K1809" s="9">
        <v>2</v>
      </c>
      <c r="L1809" s="10">
        <v>220</v>
      </c>
      <c r="M1809" s="10">
        <v>155.16999999999999</v>
      </c>
      <c r="N1809" s="10">
        <v>64.83</v>
      </c>
      <c r="O1809" s="11">
        <f t="shared" si="108"/>
        <v>0.29468181818181816</v>
      </c>
      <c r="P1809" s="10">
        <v>15.3</v>
      </c>
      <c r="Q1809" s="10">
        <v>49.53</v>
      </c>
      <c r="R1809" s="11">
        <f t="shared" si="109"/>
        <v>0.22513636363636363</v>
      </c>
      <c r="S1809" t="s">
        <v>75</v>
      </c>
      <c r="T1809" t="s">
        <v>66</v>
      </c>
      <c r="U1809" t="s">
        <v>67</v>
      </c>
    </row>
    <row r="1810" spans="1:21" x14ac:dyDescent="0.35">
      <c r="A1810" t="s">
        <v>1939</v>
      </c>
      <c r="B1810" s="5">
        <v>45944</v>
      </c>
      <c r="C1810" t="s">
        <v>92</v>
      </c>
      <c r="D1810" t="s">
        <v>79</v>
      </c>
      <c r="E1810" s="9">
        <v>3</v>
      </c>
      <c r="F1810" s="10">
        <v>85</v>
      </c>
      <c r="G1810" s="11">
        <v>0</v>
      </c>
      <c r="H1810" s="10">
        <v>255</v>
      </c>
      <c r="I1810" s="9">
        <v>0</v>
      </c>
      <c r="J1810" s="10">
        <v>0</v>
      </c>
      <c r="K1810" s="9">
        <v>3</v>
      </c>
      <c r="L1810" s="10">
        <v>255</v>
      </c>
      <c r="M1810" s="10">
        <v>185.71</v>
      </c>
      <c r="N1810" s="10">
        <v>69.290000000000006</v>
      </c>
      <c r="O1810" s="11">
        <f t="shared" si="108"/>
        <v>0.27172549019607845</v>
      </c>
      <c r="P1810" s="10">
        <v>31.16</v>
      </c>
      <c r="Q1810" s="10">
        <v>38.130000000000003</v>
      </c>
      <c r="R1810" s="11">
        <f t="shared" si="109"/>
        <v>0.14952941176470588</v>
      </c>
      <c r="S1810" t="s">
        <v>75</v>
      </c>
      <c r="T1810" t="s">
        <v>60</v>
      </c>
      <c r="U1810" t="s">
        <v>76</v>
      </c>
    </row>
    <row r="1811" spans="1:21" x14ac:dyDescent="0.35">
      <c r="A1811" t="s">
        <v>1940</v>
      </c>
      <c r="B1811" s="5">
        <v>45834</v>
      </c>
      <c r="C1811" t="s">
        <v>88</v>
      </c>
      <c r="D1811" t="s">
        <v>57</v>
      </c>
      <c r="E1811" s="9">
        <v>6</v>
      </c>
      <c r="F1811" s="10">
        <v>30</v>
      </c>
      <c r="G1811" s="11">
        <v>0.15</v>
      </c>
      <c r="H1811" s="10">
        <v>153</v>
      </c>
      <c r="I1811" s="9">
        <v>0</v>
      </c>
      <c r="J1811" s="10">
        <v>0</v>
      </c>
      <c r="K1811" s="9">
        <v>6</v>
      </c>
      <c r="L1811" s="10">
        <v>153</v>
      </c>
      <c r="M1811" s="10">
        <v>95.81</v>
      </c>
      <c r="N1811" s="10">
        <v>57.19</v>
      </c>
      <c r="O1811" s="11">
        <f t="shared" si="108"/>
        <v>0.37379084967320259</v>
      </c>
      <c r="P1811" s="10">
        <v>11.6</v>
      </c>
      <c r="Q1811" s="10">
        <v>45.59</v>
      </c>
      <c r="R1811" s="11">
        <f t="shared" si="109"/>
        <v>0.29797385620915035</v>
      </c>
      <c r="S1811" t="s">
        <v>59</v>
      </c>
      <c r="T1811" t="s">
        <v>82</v>
      </c>
      <c r="U1811" t="s">
        <v>67</v>
      </c>
    </row>
    <row r="1812" spans="1:21" x14ac:dyDescent="0.35">
      <c r="A1812" t="s">
        <v>1941</v>
      </c>
      <c r="B1812" s="5">
        <v>45773</v>
      </c>
      <c r="C1812" t="s">
        <v>78</v>
      </c>
      <c r="D1812" t="s">
        <v>79</v>
      </c>
      <c r="E1812" s="9">
        <v>2</v>
      </c>
      <c r="F1812" s="10">
        <v>120</v>
      </c>
      <c r="G1812" s="11">
        <v>0.1</v>
      </c>
      <c r="H1812" s="10">
        <v>216</v>
      </c>
      <c r="I1812" s="9">
        <v>0</v>
      </c>
      <c r="J1812" s="10">
        <v>0</v>
      </c>
      <c r="K1812" s="9">
        <v>2</v>
      </c>
      <c r="L1812" s="10">
        <v>216</v>
      </c>
      <c r="M1812" s="10">
        <v>145.37</v>
      </c>
      <c r="N1812" s="10">
        <v>70.63</v>
      </c>
      <c r="O1812" s="11">
        <f t="shared" si="108"/>
        <v>0.32699074074074069</v>
      </c>
      <c r="P1812" s="10">
        <v>26.52</v>
      </c>
      <c r="Q1812" s="10">
        <v>44.11</v>
      </c>
      <c r="R1812" s="11">
        <f t="shared" si="109"/>
        <v>0.20421296296296296</v>
      </c>
      <c r="S1812" t="s">
        <v>75</v>
      </c>
      <c r="T1812" t="s">
        <v>82</v>
      </c>
      <c r="U1812" t="s">
        <v>71</v>
      </c>
    </row>
    <row r="1813" spans="1:21" x14ac:dyDescent="0.35">
      <c r="A1813" t="s">
        <v>1942</v>
      </c>
      <c r="B1813" s="5">
        <v>45724</v>
      </c>
      <c r="C1813" t="s">
        <v>125</v>
      </c>
      <c r="D1813" t="s">
        <v>85</v>
      </c>
      <c r="E1813" s="9">
        <v>2</v>
      </c>
      <c r="F1813" s="10">
        <v>125</v>
      </c>
      <c r="G1813" s="11">
        <v>0</v>
      </c>
      <c r="H1813" s="10">
        <v>250</v>
      </c>
      <c r="I1813" s="9">
        <v>0</v>
      </c>
      <c r="J1813" s="10">
        <v>0</v>
      </c>
      <c r="K1813" s="9">
        <v>2</v>
      </c>
      <c r="L1813" s="10">
        <v>250</v>
      </c>
      <c r="M1813" s="10">
        <v>183.15</v>
      </c>
      <c r="N1813" s="10">
        <v>66.849999999999994</v>
      </c>
      <c r="O1813" s="11">
        <f t="shared" si="108"/>
        <v>0.26739999999999997</v>
      </c>
      <c r="P1813" s="10">
        <v>22.8</v>
      </c>
      <c r="Q1813" s="10">
        <v>44.05</v>
      </c>
      <c r="R1813" s="11">
        <f t="shared" si="109"/>
        <v>0.1762</v>
      </c>
      <c r="S1813" t="s">
        <v>75</v>
      </c>
      <c r="T1813" t="s">
        <v>86</v>
      </c>
      <c r="U1813" t="s">
        <v>71</v>
      </c>
    </row>
    <row r="1814" spans="1:21" x14ac:dyDescent="0.35">
      <c r="A1814" t="s">
        <v>1943</v>
      </c>
      <c r="B1814" s="5">
        <v>45754</v>
      </c>
      <c r="C1814" t="s">
        <v>264</v>
      </c>
      <c r="D1814" t="s">
        <v>85</v>
      </c>
      <c r="E1814" s="9">
        <v>3</v>
      </c>
      <c r="F1814" s="10">
        <v>20</v>
      </c>
      <c r="G1814" s="11">
        <v>0</v>
      </c>
      <c r="H1814" s="10">
        <v>60</v>
      </c>
      <c r="I1814" s="9">
        <v>0</v>
      </c>
      <c r="J1814" s="10">
        <v>0</v>
      </c>
      <c r="K1814" s="9">
        <v>3</v>
      </c>
      <c r="L1814" s="10">
        <v>60</v>
      </c>
      <c r="M1814" s="10">
        <v>51.35</v>
      </c>
      <c r="N1814" s="10">
        <v>8.65</v>
      </c>
      <c r="O1814" s="11">
        <f t="shared" si="108"/>
        <v>0.14416666666666667</v>
      </c>
      <c r="P1814" s="10">
        <v>5.34</v>
      </c>
      <c r="Q1814" s="10">
        <v>3.31</v>
      </c>
      <c r="R1814" s="11">
        <f t="shared" si="109"/>
        <v>5.5166666666666669E-2</v>
      </c>
      <c r="S1814" t="s">
        <v>59</v>
      </c>
      <c r="T1814" t="s">
        <v>66</v>
      </c>
      <c r="U1814" t="s">
        <v>67</v>
      </c>
    </row>
    <row r="1815" spans="1:21" x14ac:dyDescent="0.35">
      <c r="A1815" t="s">
        <v>1944</v>
      </c>
      <c r="B1815" s="5">
        <v>45792</v>
      </c>
      <c r="C1815" t="s">
        <v>100</v>
      </c>
      <c r="D1815" t="s">
        <v>64</v>
      </c>
      <c r="E1815" s="9">
        <v>2</v>
      </c>
      <c r="F1815" s="10">
        <v>310</v>
      </c>
      <c r="G1815" s="11">
        <v>0.02</v>
      </c>
      <c r="H1815" s="10">
        <v>607.6</v>
      </c>
      <c r="I1815" s="9">
        <v>0</v>
      </c>
      <c r="J1815" s="10">
        <v>0</v>
      </c>
      <c r="K1815" s="9">
        <v>2</v>
      </c>
      <c r="L1815" s="10">
        <v>607.6</v>
      </c>
      <c r="M1815" s="10">
        <v>425.54</v>
      </c>
      <c r="N1815" s="10">
        <v>182.06</v>
      </c>
      <c r="O1815" s="11">
        <f t="shared" si="108"/>
        <v>0.29963791968400261</v>
      </c>
      <c r="P1815" s="10">
        <v>62.16</v>
      </c>
      <c r="Q1815" s="10">
        <v>119.9</v>
      </c>
      <c r="R1815" s="11">
        <f t="shared" si="109"/>
        <v>0.19733377221856485</v>
      </c>
      <c r="S1815" t="s">
        <v>81</v>
      </c>
      <c r="T1815" t="s">
        <v>82</v>
      </c>
      <c r="U1815" t="s">
        <v>61</v>
      </c>
    </row>
    <row r="1816" spans="1:21" x14ac:dyDescent="0.35">
      <c r="A1816" t="s">
        <v>1945</v>
      </c>
      <c r="B1816" s="5">
        <v>45724</v>
      </c>
      <c r="C1816" t="s">
        <v>109</v>
      </c>
      <c r="D1816" t="s">
        <v>85</v>
      </c>
      <c r="E1816" s="9">
        <v>2</v>
      </c>
      <c r="F1816" s="10">
        <v>180</v>
      </c>
      <c r="G1816" s="11">
        <v>0</v>
      </c>
      <c r="H1816" s="10">
        <v>360</v>
      </c>
      <c r="I1816" s="9">
        <v>0</v>
      </c>
      <c r="J1816" s="10">
        <v>0</v>
      </c>
      <c r="K1816" s="9">
        <v>2</v>
      </c>
      <c r="L1816" s="10">
        <v>360</v>
      </c>
      <c r="M1816" s="10">
        <v>281.92</v>
      </c>
      <c r="N1816" s="10">
        <v>78.08</v>
      </c>
      <c r="O1816" s="11">
        <f t="shared" si="108"/>
        <v>0.21688888888888888</v>
      </c>
      <c r="P1816" s="10">
        <v>23.01</v>
      </c>
      <c r="Q1816" s="10">
        <v>55.07</v>
      </c>
      <c r="R1816" s="11">
        <f t="shared" si="109"/>
        <v>0.15297222222222223</v>
      </c>
      <c r="S1816" t="s">
        <v>65</v>
      </c>
      <c r="T1816" t="s">
        <v>2133</v>
      </c>
      <c r="U1816" t="s">
        <v>67</v>
      </c>
    </row>
    <row r="1817" spans="1:21" x14ac:dyDescent="0.35">
      <c r="A1817" t="s">
        <v>1946</v>
      </c>
      <c r="B1817" s="5">
        <v>45919</v>
      </c>
      <c r="C1817" t="s">
        <v>100</v>
      </c>
      <c r="D1817" t="s">
        <v>64</v>
      </c>
      <c r="E1817" s="9">
        <v>5</v>
      </c>
      <c r="F1817" s="10">
        <v>310</v>
      </c>
      <c r="G1817" s="11">
        <v>0.1</v>
      </c>
      <c r="H1817" s="10">
        <v>1395</v>
      </c>
      <c r="I1817" s="9">
        <v>0</v>
      </c>
      <c r="J1817" s="10">
        <v>0</v>
      </c>
      <c r="K1817" s="9">
        <v>5</v>
      </c>
      <c r="L1817" s="10">
        <v>1395</v>
      </c>
      <c r="M1817" s="10">
        <v>950.95</v>
      </c>
      <c r="N1817" s="10">
        <v>444.05</v>
      </c>
      <c r="O1817" s="11">
        <f t="shared" si="108"/>
        <v>0.31831541218637993</v>
      </c>
      <c r="P1817" s="10">
        <v>125.39</v>
      </c>
      <c r="Q1817" s="10">
        <v>318.66000000000003</v>
      </c>
      <c r="R1817" s="11">
        <f t="shared" si="109"/>
        <v>0.22843010752688173</v>
      </c>
      <c r="S1817" t="s">
        <v>65</v>
      </c>
      <c r="T1817" t="s">
        <v>66</v>
      </c>
      <c r="U1817" t="s">
        <v>61</v>
      </c>
    </row>
    <row r="1818" spans="1:21" x14ac:dyDescent="0.35">
      <c r="A1818" t="s">
        <v>1947</v>
      </c>
      <c r="B1818" s="5">
        <v>45728</v>
      </c>
      <c r="C1818" t="s">
        <v>84</v>
      </c>
      <c r="D1818" t="s">
        <v>85</v>
      </c>
      <c r="E1818" s="9">
        <v>5</v>
      </c>
      <c r="F1818" s="10">
        <v>48</v>
      </c>
      <c r="G1818" s="11">
        <v>0.02</v>
      </c>
      <c r="H1818" s="10">
        <v>235.2</v>
      </c>
      <c r="I1818" s="9">
        <v>0</v>
      </c>
      <c r="J1818" s="10">
        <v>0</v>
      </c>
      <c r="K1818" s="9">
        <v>5</v>
      </c>
      <c r="L1818" s="10">
        <v>235.2</v>
      </c>
      <c r="M1818" s="10">
        <v>165.43</v>
      </c>
      <c r="N1818" s="10">
        <v>69.77</v>
      </c>
      <c r="O1818" s="11">
        <f t="shared" si="108"/>
        <v>0.29664115646258504</v>
      </c>
      <c r="P1818" s="10">
        <v>18.3</v>
      </c>
      <c r="Q1818" s="10">
        <v>51.47</v>
      </c>
      <c r="R1818" s="11">
        <f t="shared" si="109"/>
        <v>0.21883503401360546</v>
      </c>
      <c r="S1818" t="s">
        <v>75</v>
      </c>
      <c r="T1818" t="s">
        <v>86</v>
      </c>
      <c r="U1818" t="s">
        <v>67</v>
      </c>
    </row>
    <row r="1819" spans="1:21" x14ac:dyDescent="0.35">
      <c r="A1819" t="s">
        <v>1948</v>
      </c>
      <c r="B1819" s="5">
        <v>45913</v>
      </c>
      <c r="C1819" t="s">
        <v>109</v>
      </c>
      <c r="D1819" t="s">
        <v>85</v>
      </c>
      <c r="E1819" s="9">
        <v>2</v>
      </c>
      <c r="F1819" s="10">
        <v>180</v>
      </c>
      <c r="G1819" s="11">
        <v>0.05</v>
      </c>
      <c r="H1819" s="10">
        <v>342</v>
      </c>
      <c r="I1819" s="9">
        <v>0</v>
      </c>
      <c r="J1819" s="10">
        <v>0</v>
      </c>
      <c r="K1819" s="9">
        <v>2</v>
      </c>
      <c r="L1819" s="10">
        <v>342</v>
      </c>
      <c r="M1819" s="10">
        <v>284.58</v>
      </c>
      <c r="N1819" s="10">
        <v>57.42</v>
      </c>
      <c r="O1819" s="11">
        <f t="shared" ref="O1819:O1850" si="110">N1819/L1819</f>
        <v>0.16789473684210526</v>
      </c>
      <c r="P1819" s="10">
        <v>26.45</v>
      </c>
      <c r="Q1819" s="10">
        <v>30.97</v>
      </c>
      <c r="R1819" s="11">
        <f t="shared" ref="R1819:R1850" si="111">Q1819/L1819</f>
        <v>9.0555555555555556E-2</v>
      </c>
      <c r="S1819" t="s">
        <v>81</v>
      </c>
      <c r="T1819" t="s">
        <v>60</v>
      </c>
      <c r="U1819" t="s">
        <v>61</v>
      </c>
    </row>
    <row r="1820" spans="1:21" x14ac:dyDescent="0.35">
      <c r="A1820" t="s">
        <v>1949</v>
      </c>
      <c r="B1820" s="5">
        <v>45899</v>
      </c>
      <c r="C1820" t="s">
        <v>114</v>
      </c>
      <c r="D1820" t="s">
        <v>64</v>
      </c>
      <c r="E1820" s="9">
        <v>1</v>
      </c>
      <c r="F1820" s="10">
        <v>420</v>
      </c>
      <c r="G1820" s="11">
        <v>0</v>
      </c>
      <c r="H1820" s="10">
        <v>420</v>
      </c>
      <c r="I1820" s="9">
        <v>0</v>
      </c>
      <c r="J1820" s="10">
        <v>0</v>
      </c>
      <c r="K1820" s="9">
        <v>1</v>
      </c>
      <c r="L1820" s="10">
        <v>420</v>
      </c>
      <c r="M1820" s="10">
        <v>308.98</v>
      </c>
      <c r="N1820" s="10">
        <v>111.02</v>
      </c>
      <c r="O1820" s="11">
        <f t="shared" si="110"/>
        <v>0.26433333333333331</v>
      </c>
      <c r="P1820" s="10">
        <v>36.54</v>
      </c>
      <c r="Q1820" s="10">
        <v>74.48</v>
      </c>
      <c r="R1820" s="11">
        <f t="shared" si="111"/>
        <v>0.17733333333333334</v>
      </c>
      <c r="S1820" t="s">
        <v>75</v>
      </c>
      <c r="T1820" t="s">
        <v>82</v>
      </c>
      <c r="U1820" t="s">
        <v>61</v>
      </c>
    </row>
    <row r="1821" spans="1:21" x14ac:dyDescent="0.35">
      <c r="A1821" t="s">
        <v>1950</v>
      </c>
      <c r="B1821" s="5">
        <v>45796</v>
      </c>
      <c r="C1821" t="s">
        <v>107</v>
      </c>
      <c r="D1821" t="s">
        <v>74</v>
      </c>
      <c r="E1821" s="9">
        <v>1</v>
      </c>
      <c r="F1821" s="10">
        <v>125</v>
      </c>
      <c r="G1821" s="11">
        <v>0</v>
      </c>
      <c r="H1821" s="10">
        <v>125</v>
      </c>
      <c r="I1821" s="9">
        <v>0</v>
      </c>
      <c r="J1821" s="10">
        <v>0</v>
      </c>
      <c r="K1821" s="9">
        <v>1</v>
      </c>
      <c r="L1821" s="10">
        <v>125</v>
      </c>
      <c r="M1821" s="10">
        <v>103.28</v>
      </c>
      <c r="N1821" s="10">
        <v>21.72</v>
      </c>
      <c r="O1821" s="11">
        <f t="shared" si="110"/>
        <v>0.17376</v>
      </c>
      <c r="P1821" s="10">
        <v>14.73</v>
      </c>
      <c r="Q1821" s="10">
        <v>6.99</v>
      </c>
      <c r="R1821" s="11">
        <f t="shared" si="111"/>
        <v>5.5920000000000004E-2</v>
      </c>
      <c r="S1821" t="s">
        <v>75</v>
      </c>
      <c r="T1821" t="s">
        <v>86</v>
      </c>
      <c r="U1821" t="s">
        <v>71</v>
      </c>
    </row>
    <row r="1822" spans="1:21" x14ac:dyDescent="0.35">
      <c r="A1822" t="s">
        <v>1951</v>
      </c>
      <c r="B1822" s="5">
        <v>45815</v>
      </c>
      <c r="C1822" t="s">
        <v>264</v>
      </c>
      <c r="D1822" t="s">
        <v>85</v>
      </c>
      <c r="E1822" s="9">
        <v>3</v>
      </c>
      <c r="F1822" s="10">
        <v>20</v>
      </c>
      <c r="G1822" s="11">
        <v>0.05</v>
      </c>
      <c r="H1822" s="10">
        <v>57</v>
      </c>
      <c r="I1822" s="9">
        <v>0</v>
      </c>
      <c r="J1822" s="10">
        <v>0</v>
      </c>
      <c r="K1822" s="9">
        <v>3</v>
      </c>
      <c r="L1822" s="10">
        <v>57</v>
      </c>
      <c r="M1822" s="10">
        <v>48.14</v>
      </c>
      <c r="N1822" s="10">
        <v>8.86</v>
      </c>
      <c r="O1822" s="11">
        <f t="shared" si="110"/>
        <v>0.15543859649122807</v>
      </c>
      <c r="P1822" s="10">
        <v>4.66</v>
      </c>
      <c r="Q1822" s="10">
        <v>4.2</v>
      </c>
      <c r="R1822" s="11">
        <f t="shared" si="111"/>
        <v>7.3684210526315796E-2</v>
      </c>
      <c r="S1822" t="s">
        <v>65</v>
      </c>
      <c r="T1822" t="s">
        <v>60</v>
      </c>
      <c r="U1822" t="s">
        <v>67</v>
      </c>
    </row>
    <row r="1823" spans="1:21" x14ac:dyDescent="0.35">
      <c r="A1823" t="s">
        <v>1952</v>
      </c>
      <c r="B1823" s="5">
        <v>45936</v>
      </c>
      <c r="C1823" t="s">
        <v>104</v>
      </c>
      <c r="D1823" t="s">
        <v>105</v>
      </c>
      <c r="E1823" s="9">
        <v>6</v>
      </c>
      <c r="F1823" s="10">
        <v>65</v>
      </c>
      <c r="G1823" s="11">
        <v>0</v>
      </c>
      <c r="H1823" s="10">
        <v>390</v>
      </c>
      <c r="I1823" s="9">
        <v>0</v>
      </c>
      <c r="J1823" s="10">
        <v>0</v>
      </c>
      <c r="K1823" s="9">
        <v>6</v>
      </c>
      <c r="L1823" s="10">
        <v>390</v>
      </c>
      <c r="M1823" s="10">
        <v>269.19</v>
      </c>
      <c r="N1823" s="10">
        <v>120.81</v>
      </c>
      <c r="O1823" s="11">
        <f t="shared" si="110"/>
        <v>0.3097692307692308</v>
      </c>
      <c r="P1823" s="10">
        <v>35.43</v>
      </c>
      <c r="Q1823" s="10">
        <v>85.38</v>
      </c>
      <c r="R1823" s="11">
        <f t="shared" si="111"/>
        <v>0.21892307692307691</v>
      </c>
      <c r="S1823" t="s">
        <v>81</v>
      </c>
      <c r="T1823" t="s">
        <v>82</v>
      </c>
      <c r="U1823" t="s">
        <v>76</v>
      </c>
    </row>
    <row r="1824" spans="1:21" x14ac:dyDescent="0.35">
      <c r="A1824" t="s">
        <v>1953</v>
      </c>
      <c r="B1824" s="5">
        <v>45965</v>
      </c>
      <c r="C1824" t="s">
        <v>56</v>
      </c>
      <c r="D1824" t="s">
        <v>57</v>
      </c>
      <c r="E1824" s="9">
        <v>4</v>
      </c>
      <c r="F1824" s="10">
        <v>40</v>
      </c>
      <c r="G1824" s="11">
        <v>0</v>
      </c>
      <c r="H1824" s="10">
        <v>160</v>
      </c>
      <c r="I1824" s="9">
        <v>0</v>
      </c>
      <c r="J1824" s="10">
        <v>0</v>
      </c>
      <c r="K1824" s="9">
        <v>4</v>
      </c>
      <c r="L1824" s="10">
        <v>160</v>
      </c>
      <c r="M1824" s="10">
        <v>131.51</v>
      </c>
      <c r="N1824" s="10">
        <v>28.49</v>
      </c>
      <c r="O1824" s="11">
        <f t="shared" si="110"/>
        <v>0.17806249999999998</v>
      </c>
      <c r="P1824" s="10">
        <v>16.93</v>
      </c>
      <c r="Q1824" s="10">
        <v>11.56</v>
      </c>
      <c r="R1824" s="11">
        <f t="shared" si="111"/>
        <v>7.2250000000000009E-2</v>
      </c>
      <c r="S1824" t="s">
        <v>75</v>
      </c>
      <c r="T1824" t="s">
        <v>60</v>
      </c>
      <c r="U1824" t="s">
        <v>76</v>
      </c>
    </row>
    <row r="1825" spans="1:21" x14ac:dyDescent="0.35">
      <c r="A1825" t="s">
        <v>1954</v>
      </c>
      <c r="B1825" s="5">
        <v>45990</v>
      </c>
      <c r="C1825" t="s">
        <v>69</v>
      </c>
      <c r="D1825" t="s">
        <v>70</v>
      </c>
      <c r="E1825" s="9">
        <v>1</v>
      </c>
      <c r="F1825" s="10">
        <v>210</v>
      </c>
      <c r="G1825" s="11">
        <v>0.1</v>
      </c>
      <c r="H1825" s="10">
        <v>189</v>
      </c>
      <c r="I1825" s="9">
        <v>0</v>
      </c>
      <c r="J1825" s="10">
        <v>0</v>
      </c>
      <c r="K1825" s="9">
        <v>1</v>
      </c>
      <c r="L1825" s="10">
        <v>189</v>
      </c>
      <c r="M1825" s="10">
        <v>131.38</v>
      </c>
      <c r="N1825" s="10">
        <v>57.62</v>
      </c>
      <c r="O1825" s="11">
        <f t="shared" si="110"/>
        <v>0.30486772486772484</v>
      </c>
      <c r="P1825" s="10">
        <v>19.72</v>
      </c>
      <c r="Q1825" s="10">
        <v>37.9</v>
      </c>
      <c r="R1825" s="11">
        <f t="shared" si="111"/>
        <v>0.20052910052910053</v>
      </c>
      <c r="S1825" t="s">
        <v>65</v>
      </c>
      <c r="T1825" t="s">
        <v>60</v>
      </c>
      <c r="U1825" t="s">
        <v>67</v>
      </c>
    </row>
    <row r="1826" spans="1:21" x14ac:dyDescent="0.35">
      <c r="A1826" t="s">
        <v>1955</v>
      </c>
      <c r="B1826" s="5">
        <v>45945</v>
      </c>
      <c r="C1826" t="s">
        <v>100</v>
      </c>
      <c r="D1826" t="s">
        <v>64</v>
      </c>
      <c r="E1826" s="9">
        <v>3</v>
      </c>
      <c r="F1826" s="10">
        <v>310</v>
      </c>
      <c r="G1826" s="11">
        <v>0</v>
      </c>
      <c r="H1826" s="10">
        <v>930</v>
      </c>
      <c r="I1826" s="9">
        <v>0</v>
      </c>
      <c r="J1826" s="10">
        <v>0</v>
      </c>
      <c r="K1826" s="9">
        <v>3</v>
      </c>
      <c r="L1826" s="10">
        <v>930</v>
      </c>
      <c r="M1826" s="10">
        <v>638.35</v>
      </c>
      <c r="N1826" s="10">
        <v>291.64999999999998</v>
      </c>
      <c r="O1826" s="11">
        <f t="shared" si="110"/>
        <v>0.31360215053763441</v>
      </c>
      <c r="P1826" s="10">
        <v>55.42</v>
      </c>
      <c r="Q1826" s="10">
        <v>236.23</v>
      </c>
      <c r="R1826" s="11">
        <f t="shared" si="111"/>
        <v>0.25401075268817203</v>
      </c>
      <c r="S1826" t="s">
        <v>81</v>
      </c>
      <c r="T1826" t="s">
        <v>86</v>
      </c>
      <c r="U1826" t="s">
        <v>76</v>
      </c>
    </row>
    <row r="1827" spans="1:21" x14ac:dyDescent="0.35">
      <c r="A1827" t="s">
        <v>1956</v>
      </c>
      <c r="B1827" s="5">
        <v>46005</v>
      </c>
      <c r="C1827" t="s">
        <v>90</v>
      </c>
      <c r="D1827" t="s">
        <v>70</v>
      </c>
      <c r="E1827" s="9">
        <v>2</v>
      </c>
      <c r="F1827" s="10">
        <v>38</v>
      </c>
      <c r="G1827" s="11">
        <v>0</v>
      </c>
      <c r="H1827" s="10">
        <v>76</v>
      </c>
      <c r="I1827" s="9">
        <v>0</v>
      </c>
      <c r="J1827" s="10">
        <v>0</v>
      </c>
      <c r="K1827" s="9">
        <v>2</v>
      </c>
      <c r="L1827" s="10">
        <v>76</v>
      </c>
      <c r="M1827" s="10">
        <v>51.61</v>
      </c>
      <c r="N1827" s="10">
        <v>24.39</v>
      </c>
      <c r="O1827" s="11">
        <f t="shared" si="110"/>
        <v>0.32092105263157894</v>
      </c>
      <c r="P1827" s="10">
        <v>5.71</v>
      </c>
      <c r="Q1827" s="10">
        <v>18.68</v>
      </c>
      <c r="R1827" s="11">
        <f t="shared" si="111"/>
        <v>0.24578947368421053</v>
      </c>
      <c r="S1827" t="s">
        <v>81</v>
      </c>
      <c r="T1827" t="s">
        <v>66</v>
      </c>
      <c r="U1827" t="s">
        <v>61</v>
      </c>
    </row>
    <row r="1828" spans="1:21" x14ac:dyDescent="0.35">
      <c r="A1828" t="s">
        <v>1957</v>
      </c>
      <c r="B1828" s="5">
        <v>45670</v>
      </c>
      <c r="C1828" t="s">
        <v>100</v>
      </c>
      <c r="D1828" t="s">
        <v>64</v>
      </c>
      <c r="E1828" s="9">
        <v>2</v>
      </c>
      <c r="F1828" s="10">
        <v>310</v>
      </c>
      <c r="G1828" s="11">
        <v>0.1</v>
      </c>
      <c r="H1828" s="10">
        <v>558</v>
      </c>
      <c r="I1828" s="9">
        <v>0</v>
      </c>
      <c r="J1828" s="10">
        <v>0</v>
      </c>
      <c r="K1828" s="9">
        <v>2</v>
      </c>
      <c r="L1828" s="10">
        <v>558</v>
      </c>
      <c r="M1828" s="10">
        <v>473.24</v>
      </c>
      <c r="N1828" s="10">
        <v>84.76</v>
      </c>
      <c r="O1828" s="11">
        <f t="shared" si="110"/>
        <v>0.15189964157706093</v>
      </c>
      <c r="P1828" s="10">
        <v>49.89</v>
      </c>
      <c r="Q1828" s="10">
        <v>34.869999999999997</v>
      </c>
      <c r="R1828" s="11">
        <f t="shared" si="111"/>
        <v>6.2491039426523294E-2</v>
      </c>
      <c r="S1828" t="s">
        <v>65</v>
      </c>
      <c r="T1828" t="s">
        <v>82</v>
      </c>
      <c r="U1828" t="s">
        <v>76</v>
      </c>
    </row>
    <row r="1829" spans="1:21" x14ac:dyDescent="0.35">
      <c r="A1829" t="s">
        <v>1958</v>
      </c>
      <c r="B1829" s="5">
        <v>45950</v>
      </c>
      <c r="C1829" t="s">
        <v>125</v>
      </c>
      <c r="D1829" t="s">
        <v>85</v>
      </c>
      <c r="E1829" s="9">
        <v>1</v>
      </c>
      <c r="F1829" s="10">
        <v>125</v>
      </c>
      <c r="G1829" s="11">
        <v>0</v>
      </c>
      <c r="H1829" s="10">
        <v>125</v>
      </c>
      <c r="I1829" s="9">
        <v>0</v>
      </c>
      <c r="J1829" s="10">
        <v>0</v>
      </c>
      <c r="K1829" s="9">
        <v>1</v>
      </c>
      <c r="L1829" s="10">
        <v>125</v>
      </c>
      <c r="M1829" s="10">
        <v>88.63</v>
      </c>
      <c r="N1829" s="10">
        <v>36.369999999999997</v>
      </c>
      <c r="O1829" s="11">
        <f t="shared" si="110"/>
        <v>0.29096</v>
      </c>
      <c r="P1829" s="10">
        <v>11.01</v>
      </c>
      <c r="Q1829" s="10">
        <v>25.36</v>
      </c>
      <c r="R1829" s="11">
        <f t="shared" si="111"/>
        <v>0.20288</v>
      </c>
      <c r="S1829" t="s">
        <v>81</v>
      </c>
      <c r="T1829" t="s">
        <v>86</v>
      </c>
      <c r="U1829" t="s">
        <v>76</v>
      </c>
    </row>
    <row r="1830" spans="1:21" x14ac:dyDescent="0.35">
      <c r="A1830" t="s">
        <v>1959</v>
      </c>
      <c r="B1830" s="5">
        <v>45677</v>
      </c>
      <c r="C1830" t="s">
        <v>104</v>
      </c>
      <c r="D1830" t="s">
        <v>105</v>
      </c>
      <c r="E1830" s="9">
        <v>3</v>
      </c>
      <c r="F1830" s="10">
        <v>65</v>
      </c>
      <c r="G1830" s="11">
        <v>0</v>
      </c>
      <c r="H1830" s="10">
        <v>195</v>
      </c>
      <c r="I1830" s="9">
        <v>0</v>
      </c>
      <c r="J1830" s="10">
        <v>0</v>
      </c>
      <c r="K1830" s="9">
        <v>3</v>
      </c>
      <c r="L1830" s="10">
        <v>195</v>
      </c>
      <c r="M1830" s="10">
        <v>141.63</v>
      </c>
      <c r="N1830" s="10">
        <v>53.37</v>
      </c>
      <c r="O1830" s="11">
        <f t="shared" si="110"/>
        <v>0.27369230769230768</v>
      </c>
      <c r="P1830" s="10">
        <v>25.14</v>
      </c>
      <c r="Q1830" s="10">
        <v>28.23</v>
      </c>
      <c r="R1830" s="11">
        <f t="shared" si="111"/>
        <v>0.14476923076923076</v>
      </c>
      <c r="S1830" t="s">
        <v>75</v>
      </c>
      <c r="T1830" t="s">
        <v>60</v>
      </c>
      <c r="U1830" t="s">
        <v>71</v>
      </c>
    </row>
    <row r="1831" spans="1:21" x14ac:dyDescent="0.35">
      <c r="A1831" t="s">
        <v>1960</v>
      </c>
      <c r="B1831" s="5">
        <v>45931</v>
      </c>
      <c r="C1831" t="s">
        <v>84</v>
      </c>
      <c r="D1831" t="s">
        <v>85</v>
      </c>
      <c r="E1831" s="9">
        <v>3</v>
      </c>
      <c r="F1831" s="10">
        <v>48</v>
      </c>
      <c r="G1831" s="11">
        <v>0</v>
      </c>
      <c r="H1831" s="10">
        <v>144</v>
      </c>
      <c r="I1831" s="9">
        <v>0</v>
      </c>
      <c r="J1831" s="10">
        <v>0</v>
      </c>
      <c r="K1831" s="9">
        <v>3</v>
      </c>
      <c r="L1831" s="10">
        <v>144</v>
      </c>
      <c r="M1831" s="10">
        <v>108.39</v>
      </c>
      <c r="N1831" s="10">
        <v>35.61</v>
      </c>
      <c r="O1831" s="11">
        <f t="shared" si="110"/>
        <v>0.24729166666666666</v>
      </c>
      <c r="P1831" s="10">
        <v>11.7</v>
      </c>
      <c r="Q1831" s="10">
        <v>23.91</v>
      </c>
      <c r="R1831" s="11">
        <f t="shared" si="111"/>
        <v>0.16604166666666667</v>
      </c>
      <c r="S1831" t="s">
        <v>81</v>
      </c>
      <c r="T1831" t="s">
        <v>86</v>
      </c>
      <c r="U1831" t="s">
        <v>61</v>
      </c>
    </row>
    <row r="1832" spans="1:21" x14ac:dyDescent="0.35">
      <c r="A1832" t="s">
        <v>1961</v>
      </c>
      <c r="B1832" s="5">
        <v>45837</v>
      </c>
      <c r="C1832" t="s">
        <v>63</v>
      </c>
      <c r="D1832" t="s">
        <v>64</v>
      </c>
      <c r="E1832" s="9">
        <v>4</v>
      </c>
      <c r="F1832" s="10">
        <v>145</v>
      </c>
      <c r="G1832" s="11">
        <v>0</v>
      </c>
      <c r="H1832" s="10">
        <v>580</v>
      </c>
      <c r="I1832" s="9">
        <v>0</v>
      </c>
      <c r="J1832" s="10">
        <v>0</v>
      </c>
      <c r="K1832" s="9">
        <v>4</v>
      </c>
      <c r="L1832" s="10">
        <v>580</v>
      </c>
      <c r="M1832" s="10">
        <v>482.15</v>
      </c>
      <c r="N1832" s="10">
        <v>97.85</v>
      </c>
      <c r="O1832" s="11">
        <f t="shared" si="110"/>
        <v>0.16870689655172413</v>
      </c>
      <c r="P1832" s="10">
        <v>54.75</v>
      </c>
      <c r="Q1832" s="10">
        <v>43.1</v>
      </c>
      <c r="R1832" s="11">
        <f t="shared" si="111"/>
        <v>7.4310344827586208E-2</v>
      </c>
      <c r="S1832" t="s">
        <v>65</v>
      </c>
      <c r="T1832" t="s">
        <v>66</v>
      </c>
      <c r="U1832" t="s">
        <v>76</v>
      </c>
    </row>
    <row r="1833" spans="1:21" x14ac:dyDescent="0.35">
      <c r="A1833" t="s">
        <v>1962</v>
      </c>
      <c r="B1833" s="5">
        <v>45828</v>
      </c>
      <c r="C1833" t="s">
        <v>264</v>
      </c>
      <c r="D1833" t="s">
        <v>85</v>
      </c>
      <c r="E1833" s="9">
        <v>1</v>
      </c>
      <c r="F1833" s="10">
        <v>20</v>
      </c>
      <c r="G1833" s="11">
        <v>0.05</v>
      </c>
      <c r="H1833" s="10">
        <v>19</v>
      </c>
      <c r="I1833" s="9">
        <v>0</v>
      </c>
      <c r="J1833" s="10">
        <v>0</v>
      </c>
      <c r="K1833" s="9">
        <v>1</v>
      </c>
      <c r="L1833" s="10">
        <v>19</v>
      </c>
      <c r="M1833" s="10">
        <v>12.28</v>
      </c>
      <c r="N1833" s="10">
        <v>6.72</v>
      </c>
      <c r="O1833" s="11">
        <f t="shared" si="110"/>
        <v>0.35368421052631577</v>
      </c>
      <c r="P1833" s="10">
        <v>1.21</v>
      </c>
      <c r="Q1833" s="10">
        <v>5.51</v>
      </c>
      <c r="R1833" s="11">
        <f t="shared" si="111"/>
        <v>0.28999999999999998</v>
      </c>
      <c r="S1833" t="s">
        <v>81</v>
      </c>
      <c r="T1833" t="s">
        <v>86</v>
      </c>
      <c r="U1833" t="s">
        <v>61</v>
      </c>
    </row>
    <row r="1834" spans="1:21" x14ac:dyDescent="0.35">
      <c r="A1834" t="s">
        <v>1963</v>
      </c>
      <c r="B1834" s="5">
        <v>45790</v>
      </c>
      <c r="C1834" t="s">
        <v>100</v>
      </c>
      <c r="D1834" t="s">
        <v>64</v>
      </c>
      <c r="E1834" s="9">
        <v>8</v>
      </c>
      <c r="F1834" s="10">
        <v>310</v>
      </c>
      <c r="G1834" s="11">
        <v>0</v>
      </c>
      <c r="H1834" s="10">
        <v>2480</v>
      </c>
      <c r="I1834" s="9">
        <v>0</v>
      </c>
      <c r="J1834" s="10">
        <v>0</v>
      </c>
      <c r="K1834" s="9">
        <v>8</v>
      </c>
      <c r="L1834" s="10">
        <v>2480</v>
      </c>
      <c r="M1834" s="10">
        <v>1771</v>
      </c>
      <c r="N1834" s="10">
        <v>709</v>
      </c>
      <c r="O1834" s="11">
        <f t="shared" si="110"/>
        <v>0.28588709677419355</v>
      </c>
      <c r="P1834" s="10">
        <v>284.08</v>
      </c>
      <c r="Q1834" s="10">
        <v>424.92</v>
      </c>
      <c r="R1834" s="11">
        <f t="shared" si="111"/>
        <v>0.17133870967741935</v>
      </c>
      <c r="S1834" t="s">
        <v>65</v>
      </c>
      <c r="T1834" t="s">
        <v>82</v>
      </c>
      <c r="U1834" t="s">
        <v>67</v>
      </c>
    </row>
    <row r="1835" spans="1:21" x14ac:dyDescent="0.35">
      <c r="A1835" t="s">
        <v>1964</v>
      </c>
      <c r="B1835" s="5">
        <v>45799</v>
      </c>
      <c r="C1835" t="s">
        <v>63</v>
      </c>
      <c r="D1835" t="s">
        <v>64</v>
      </c>
      <c r="E1835" s="9">
        <v>2</v>
      </c>
      <c r="F1835" s="10">
        <v>145</v>
      </c>
      <c r="G1835" s="11">
        <v>0</v>
      </c>
      <c r="H1835" s="10">
        <v>290</v>
      </c>
      <c r="I1835" s="9">
        <v>0</v>
      </c>
      <c r="J1835" s="10">
        <v>0</v>
      </c>
      <c r="K1835" s="9">
        <v>2</v>
      </c>
      <c r="L1835" s="10">
        <v>290</v>
      </c>
      <c r="M1835" s="10">
        <v>224.62</v>
      </c>
      <c r="N1835" s="10">
        <v>65.38</v>
      </c>
      <c r="O1835" s="11">
        <f t="shared" si="110"/>
        <v>0.22544827586206895</v>
      </c>
      <c r="P1835" s="10">
        <v>14.78</v>
      </c>
      <c r="Q1835" s="10">
        <v>50.6</v>
      </c>
      <c r="R1835" s="11">
        <f t="shared" si="111"/>
        <v>0.17448275862068965</v>
      </c>
      <c r="S1835" t="s">
        <v>75</v>
      </c>
      <c r="T1835" t="s">
        <v>82</v>
      </c>
      <c r="U1835" t="s">
        <v>71</v>
      </c>
    </row>
    <row r="1836" spans="1:21" x14ac:dyDescent="0.35">
      <c r="A1836" t="s">
        <v>1965</v>
      </c>
      <c r="B1836" s="5">
        <v>45719</v>
      </c>
      <c r="C1836" t="s">
        <v>125</v>
      </c>
      <c r="D1836" t="s">
        <v>85</v>
      </c>
      <c r="E1836" s="9">
        <v>4</v>
      </c>
      <c r="F1836" s="10">
        <v>125</v>
      </c>
      <c r="G1836" s="11">
        <v>0</v>
      </c>
      <c r="H1836" s="10">
        <v>500</v>
      </c>
      <c r="I1836" s="9">
        <v>0</v>
      </c>
      <c r="J1836" s="10">
        <v>0</v>
      </c>
      <c r="K1836" s="9">
        <v>4</v>
      </c>
      <c r="L1836" s="10">
        <v>500</v>
      </c>
      <c r="M1836" s="10">
        <v>340.61</v>
      </c>
      <c r="N1836" s="10">
        <v>159.38999999999999</v>
      </c>
      <c r="O1836" s="11">
        <f t="shared" si="110"/>
        <v>0.31877999999999995</v>
      </c>
      <c r="P1836" s="10">
        <v>57.31</v>
      </c>
      <c r="Q1836" s="10">
        <v>102.08</v>
      </c>
      <c r="R1836" s="11">
        <f t="shared" si="111"/>
        <v>0.20416000000000001</v>
      </c>
      <c r="S1836" t="s">
        <v>59</v>
      </c>
      <c r="T1836" t="s">
        <v>66</v>
      </c>
      <c r="U1836" t="s">
        <v>67</v>
      </c>
    </row>
    <row r="1837" spans="1:21" x14ac:dyDescent="0.35">
      <c r="A1837" t="s">
        <v>1966</v>
      </c>
      <c r="B1837" s="5">
        <v>45755</v>
      </c>
      <c r="C1837" t="s">
        <v>264</v>
      </c>
      <c r="D1837" t="s">
        <v>85</v>
      </c>
      <c r="E1837" s="9">
        <v>3</v>
      </c>
      <c r="F1837" s="10">
        <v>20</v>
      </c>
      <c r="G1837" s="11">
        <v>0.02</v>
      </c>
      <c r="H1837" s="10">
        <v>58.8</v>
      </c>
      <c r="I1837" s="9">
        <v>0</v>
      </c>
      <c r="J1837" s="10">
        <v>0</v>
      </c>
      <c r="K1837" s="9">
        <v>3</v>
      </c>
      <c r="L1837" s="10">
        <v>58.8</v>
      </c>
      <c r="M1837" s="10">
        <v>50.4</v>
      </c>
      <c r="N1837" s="10">
        <v>8.4</v>
      </c>
      <c r="O1837" s="11">
        <f t="shared" si="110"/>
        <v>0.14285714285714288</v>
      </c>
      <c r="P1837" s="10">
        <v>3.25</v>
      </c>
      <c r="Q1837" s="10">
        <v>5.15</v>
      </c>
      <c r="R1837" s="11">
        <f t="shared" si="111"/>
        <v>8.7585034013605456E-2</v>
      </c>
      <c r="S1837" t="s">
        <v>65</v>
      </c>
      <c r="T1837" t="s">
        <v>60</v>
      </c>
      <c r="U1837" t="s">
        <v>67</v>
      </c>
    </row>
    <row r="1838" spans="1:21" x14ac:dyDescent="0.35">
      <c r="A1838" t="s">
        <v>1967</v>
      </c>
      <c r="B1838" s="5">
        <v>45810</v>
      </c>
      <c r="C1838" t="s">
        <v>117</v>
      </c>
      <c r="D1838" t="s">
        <v>74</v>
      </c>
      <c r="E1838" s="9">
        <v>2</v>
      </c>
      <c r="F1838" s="10">
        <v>95</v>
      </c>
      <c r="G1838" s="11">
        <v>0</v>
      </c>
      <c r="H1838" s="10">
        <v>190</v>
      </c>
      <c r="I1838" s="9">
        <v>0</v>
      </c>
      <c r="J1838" s="10">
        <v>0</v>
      </c>
      <c r="K1838" s="9">
        <v>2</v>
      </c>
      <c r="L1838" s="10">
        <v>190</v>
      </c>
      <c r="M1838" s="10">
        <v>145.6</v>
      </c>
      <c r="N1838" s="10">
        <v>44.4</v>
      </c>
      <c r="O1838" s="11">
        <f t="shared" si="110"/>
        <v>0.23368421052631577</v>
      </c>
      <c r="P1838" s="10">
        <v>20.12</v>
      </c>
      <c r="Q1838" s="10">
        <v>24.28</v>
      </c>
      <c r="R1838" s="11">
        <f t="shared" si="111"/>
        <v>0.12778947368421054</v>
      </c>
      <c r="S1838" t="s">
        <v>81</v>
      </c>
      <c r="T1838" t="s">
        <v>60</v>
      </c>
      <c r="U1838" t="s">
        <v>71</v>
      </c>
    </row>
    <row r="1839" spans="1:21" x14ac:dyDescent="0.35">
      <c r="A1839" t="s">
        <v>1968</v>
      </c>
      <c r="B1839" s="5">
        <v>45952</v>
      </c>
      <c r="C1839" t="s">
        <v>95</v>
      </c>
      <c r="D1839" t="s">
        <v>64</v>
      </c>
      <c r="E1839" s="9">
        <v>8</v>
      </c>
      <c r="F1839" s="10">
        <v>52</v>
      </c>
      <c r="G1839" s="11">
        <v>0.15</v>
      </c>
      <c r="H1839" s="10">
        <v>353.6</v>
      </c>
      <c r="I1839" s="9">
        <v>0</v>
      </c>
      <c r="J1839" s="10">
        <v>0</v>
      </c>
      <c r="K1839" s="9">
        <v>8</v>
      </c>
      <c r="L1839" s="10">
        <v>353.6</v>
      </c>
      <c r="M1839" s="10">
        <v>229.87</v>
      </c>
      <c r="N1839" s="10">
        <v>123.73</v>
      </c>
      <c r="O1839" s="11">
        <f t="shared" si="110"/>
        <v>0.3499151583710407</v>
      </c>
      <c r="P1839" s="10">
        <v>36.82</v>
      </c>
      <c r="Q1839" s="10">
        <v>86.91</v>
      </c>
      <c r="R1839" s="11">
        <f t="shared" si="111"/>
        <v>0.24578619909502261</v>
      </c>
      <c r="S1839" t="s">
        <v>59</v>
      </c>
      <c r="T1839" t="s">
        <v>82</v>
      </c>
      <c r="U1839" t="s">
        <v>67</v>
      </c>
    </row>
    <row r="1840" spans="1:21" x14ac:dyDescent="0.35">
      <c r="A1840" t="s">
        <v>1969</v>
      </c>
      <c r="B1840" s="5">
        <v>45929</v>
      </c>
      <c r="C1840" t="s">
        <v>88</v>
      </c>
      <c r="D1840" t="s">
        <v>57</v>
      </c>
      <c r="E1840" s="9">
        <v>3</v>
      </c>
      <c r="F1840" s="10">
        <v>30</v>
      </c>
      <c r="G1840" s="11">
        <v>0</v>
      </c>
      <c r="H1840" s="10">
        <v>90</v>
      </c>
      <c r="I1840" s="9">
        <v>0</v>
      </c>
      <c r="J1840" s="10">
        <v>0</v>
      </c>
      <c r="K1840" s="9">
        <v>3</v>
      </c>
      <c r="L1840" s="10">
        <v>90</v>
      </c>
      <c r="M1840" s="10">
        <v>58.02</v>
      </c>
      <c r="N1840" s="10">
        <v>31.98</v>
      </c>
      <c r="O1840" s="11">
        <f t="shared" si="110"/>
        <v>0.35533333333333333</v>
      </c>
      <c r="P1840" s="10">
        <v>6.93</v>
      </c>
      <c r="Q1840" s="10">
        <v>25.05</v>
      </c>
      <c r="R1840" s="11">
        <f t="shared" si="111"/>
        <v>0.27833333333333332</v>
      </c>
      <c r="S1840" t="s">
        <v>75</v>
      </c>
      <c r="T1840" t="s">
        <v>82</v>
      </c>
      <c r="U1840" t="s">
        <v>71</v>
      </c>
    </row>
    <row r="1841" spans="1:21" x14ac:dyDescent="0.35">
      <c r="A1841" t="s">
        <v>1970</v>
      </c>
      <c r="B1841" s="5">
        <v>45953</v>
      </c>
      <c r="C1841" t="s">
        <v>63</v>
      </c>
      <c r="D1841" t="s">
        <v>64</v>
      </c>
      <c r="E1841" s="9">
        <v>1</v>
      </c>
      <c r="F1841" s="10">
        <v>145</v>
      </c>
      <c r="G1841" s="11">
        <v>0</v>
      </c>
      <c r="H1841" s="10">
        <v>145</v>
      </c>
      <c r="I1841" s="9">
        <v>0</v>
      </c>
      <c r="J1841" s="10">
        <v>0</v>
      </c>
      <c r="K1841" s="9">
        <v>1</v>
      </c>
      <c r="L1841" s="10">
        <v>145</v>
      </c>
      <c r="M1841" s="10">
        <v>105.81</v>
      </c>
      <c r="N1841" s="10">
        <v>39.19</v>
      </c>
      <c r="O1841" s="11">
        <f t="shared" si="110"/>
        <v>0.27027586206896548</v>
      </c>
      <c r="P1841" s="10">
        <v>8.4700000000000006</v>
      </c>
      <c r="Q1841" s="10">
        <v>30.72</v>
      </c>
      <c r="R1841" s="11">
        <f t="shared" si="111"/>
        <v>0.21186206896551724</v>
      </c>
      <c r="S1841" t="s">
        <v>65</v>
      </c>
      <c r="T1841" t="s">
        <v>60</v>
      </c>
      <c r="U1841" t="s">
        <v>67</v>
      </c>
    </row>
    <row r="1842" spans="1:21" x14ac:dyDescent="0.35">
      <c r="A1842" t="s">
        <v>1971</v>
      </c>
      <c r="B1842" s="5">
        <v>46014</v>
      </c>
      <c r="C1842" t="s">
        <v>107</v>
      </c>
      <c r="D1842" t="s">
        <v>74</v>
      </c>
      <c r="E1842" s="9">
        <v>6</v>
      </c>
      <c r="F1842" s="10">
        <v>125</v>
      </c>
      <c r="G1842" s="11">
        <v>0</v>
      </c>
      <c r="H1842" s="10">
        <v>750</v>
      </c>
      <c r="I1842" s="9">
        <v>0</v>
      </c>
      <c r="J1842" s="10">
        <v>0</v>
      </c>
      <c r="K1842" s="9">
        <v>6</v>
      </c>
      <c r="L1842" s="10">
        <v>750</v>
      </c>
      <c r="M1842" s="10">
        <v>493.67</v>
      </c>
      <c r="N1842" s="10">
        <v>256.33</v>
      </c>
      <c r="O1842" s="11">
        <f t="shared" si="110"/>
        <v>0.34177333333333332</v>
      </c>
      <c r="P1842" s="10">
        <v>87.12</v>
      </c>
      <c r="Q1842" s="10">
        <v>169.21</v>
      </c>
      <c r="R1842" s="11">
        <f t="shared" si="111"/>
        <v>0.22561333333333333</v>
      </c>
      <c r="S1842" t="s">
        <v>59</v>
      </c>
      <c r="T1842" t="s">
        <v>66</v>
      </c>
      <c r="U1842" t="s">
        <v>76</v>
      </c>
    </row>
    <row r="1843" spans="1:21" x14ac:dyDescent="0.35">
      <c r="A1843" t="s">
        <v>1972</v>
      </c>
      <c r="B1843" s="5">
        <v>45798</v>
      </c>
      <c r="C1843" t="s">
        <v>107</v>
      </c>
      <c r="D1843" t="s">
        <v>74</v>
      </c>
      <c r="E1843" s="9">
        <v>6</v>
      </c>
      <c r="F1843" s="10">
        <v>125</v>
      </c>
      <c r="G1843" s="11">
        <v>0</v>
      </c>
      <c r="H1843" s="10">
        <v>750</v>
      </c>
      <c r="I1843" s="9">
        <v>0</v>
      </c>
      <c r="J1843" s="10">
        <v>0</v>
      </c>
      <c r="K1843" s="9">
        <v>6</v>
      </c>
      <c r="L1843" s="10">
        <v>750</v>
      </c>
      <c r="M1843" s="10">
        <v>537.92999999999995</v>
      </c>
      <c r="N1843" s="10">
        <v>212.07</v>
      </c>
      <c r="O1843" s="11">
        <f t="shared" si="110"/>
        <v>0.28276000000000001</v>
      </c>
      <c r="P1843" s="10">
        <v>58.69</v>
      </c>
      <c r="Q1843" s="10">
        <v>153.38</v>
      </c>
      <c r="R1843" s="11">
        <f t="shared" si="111"/>
        <v>0.20450666666666667</v>
      </c>
      <c r="S1843" t="s">
        <v>81</v>
      </c>
      <c r="T1843" t="s">
        <v>86</v>
      </c>
      <c r="U1843" t="s">
        <v>76</v>
      </c>
    </row>
    <row r="1844" spans="1:21" x14ac:dyDescent="0.35">
      <c r="A1844" t="s">
        <v>1973</v>
      </c>
      <c r="B1844" s="5">
        <v>45941</v>
      </c>
      <c r="C1844" t="s">
        <v>90</v>
      </c>
      <c r="D1844" t="s">
        <v>70</v>
      </c>
      <c r="E1844" s="9">
        <v>3</v>
      </c>
      <c r="F1844" s="10">
        <v>38</v>
      </c>
      <c r="G1844" s="11">
        <v>0</v>
      </c>
      <c r="H1844" s="10">
        <v>114</v>
      </c>
      <c r="I1844" s="9">
        <v>0</v>
      </c>
      <c r="J1844" s="10">
        <v>0</v>
      </c>
      <c r="K1844" s="9">
        <v>3</v>
      </c>
      <c r="L1844" s="10">
        <v>114</v>
      </c>
      <c r="M1844" s="10">
        <v>85.38</v>
      </c>
      <c r="N1844" s="10">
        <v>28.62</v>
      </c>
      <c r="O1844" s="11">
        <f t="shared" si="110"/>
        <v>0.25105263157894736</v>
      </c>
      <c r="P1844" s="10">
        <v>9.44</v>
      </c>
      <c r="Q1844" s="10">
        <v>19.18</v>
      </c>
      <c r="R1844" s="11">
        <f t="shared" si="111"/>
        <v>0.16824561403508773</v>
      </c>
      <c r="S1844" t="s">
        <v>81</v>
      </c>
      <c r="T1844" t="s">
        <v>66</v>
      </c>
      <c r="U1844" t="s">
        <v>71</v>
      </c>
    </row>
    <row r="1845" spans="1:21" x14ac:dyDescent="0.35">
      <c r="A1845" t="s">
        <v>1974</v>
      </c>
      <c r="B1845" s="5">
        <v>45754</v>
      </c>
      <c r="C1845" t="s">
        <v>100</v>
      </c>
      <c r="D1845" t="s">
        <v>64</v>
      </c>
      <c r="E1845" s="9">
        <v>1</v>
      </c>
      <c r="F1845" s="10">
        <v>310</v>
      </c>
      <c r="G1845" s="11">
        <v>0</v>
      </c>
      <c r="H1845" s="10">
        <v>310</v>
      </c>
      <c r="I1845" s="9">
        <v>0</v>
      </c>
      <c r="J1845" s="10">
        <v>0</v>
      </c>
      <c r="K1845" s="9">
        <v>1</v>
      </c>
      <c r="L1845" s="10">
        <v>310</v>
      </c>
      <c r="M1845" s="10">
        <v>256.10000000000002</v>
      </c>
      <c r="N1845" s="10">
        <v>53.9</v>
      </c>
      <c r="O1845" s="11">
        <f t="shared" si="110"/>
        <v>0.17387096774193547</v>
      </c>
      <c r="P1845" s="10">
        <v>39.21</v>
      </c>
      <c r="Q1845" s="10">
        <v>14.69</v>
      </c>
      <c r="R1845" s="11">
        <f t="shared" si="111"/>
        <v>4.7387096774193546E-2</v>
      </c>
      <c r="S1845" t="s">
        <v>75</v>
      </c>
      <c r="T1845" t="s">
        <v>86</v>
      </c>
      <c r="U1845" t="s">
        <v>61</v>
      </c>
    </row>
    <row r="1846" spans="1:21" x14ac:dyDescent="0.35">
      <c r="A1846" t="s">
        <v>1975</v>
      </c>
      <c r="B1846" s="5">
        <v>45716</v>
      </c>
      <c r="C1846" t="s">
        <v>95</v>
      </c>
      <c r="D1846" t="s">
        <v>64</v>
      </c>
      <c r="E1846" s="9">
        <v>2</v>
      </c>
      <c r="F1846" s="10">
        <v>52</v>
      </c>
      <c r="G1846" s="11">
        <v>0.1</v>
      </c>
      <c r="H1846" s="10">
        <v>93.6</v>
      </c>
      <c r="I1846" s="9">
        <v>0</v>
      </c>
      <c r="J1846" s="10">
        <v>0</v>
      </c>
      <c r="K1846" s="9">
        <v>2</v>
      </c>
      <c r="L1846" s="10">
        <v>93.6</v>
      </c>
      <c r="M1846" s="10">
        <v>78.02</v>
      </c>
      <c r="N1846" s="10">
        <v>15.58</v>
      </c>
      <c r="O1846" s="11">
        <f t="shared" si="110"/>
        <v>0.16645299145299147</v>
      </c>
      <c r="P1846" s="10">
        <v>8.6999999999999993</v>
      </c>
      <c r="Q1846" s="10">
        <v>6.88</v>
      </c>
      <c r="R1846" s="11">
        <f t="shared" si="111"/>
        <v>7.3504273504273507E-2</v>
      </c>
      <c r="S1846" t="s">
        <v>75</v>
      </c>
      <c r="T1846" t="s">
        <v>66</v>
      </c>
      <c r="U1846" t="s">
        <v>61</v>
      </c>
    </row>
    <row r="1847" spans="1:21" x14ac:dyDescent="0.35">
      <c r="A1847" t="s">
        <v>1976</v>
      </c>
      <c r="B1847" s="5">
        <v>45680</v>
      </c>
      <c r="C1847" t="s">
        <v>104</v>
      </c>
      <c r="D1847" t="s">
        <v>105</v>
      </c>
      <c r="E1847" s="9">
        <v>4</v>
      </c>
      <c r="F1847" s="10">
        <v>65</v>
      </c>
      <c r="G1847" s="11">
        <v>0</v>
      </c>
      <c r="H1847" s="10">
        <v>260</v>
      </c>
      <c r="I1847" s="9">
        <v>0</v>
      </c>
      <c r="J1847" s="10">
        <v>0</v>
      </c>
      <c r="K1847" s="9">
        <v>4</v>
      </c>
      <c r="L1847" s="10">
        <v>260</v>
      </c>
      <c r="M1847" s="10">
        <v>213.42</v>
      </c>
      <c r="N1847" s="10">
        <v>46.58</v>
      </c>
      <c r="O1847" s="11">
        <f t="shared" si="110"/>
        <v>0.17915384615384614</v>
      </c>
      <c r="P1847" s="10">
        <v>16.88</v>
      </c>
      <c r="Q1847" s="10">
        <v>29.7</v>
      </c>
      <c r="R1847" s="11">
        <f t="shared" si="111"/>
        <v>0.11423076923076923</v>
      </c>
      <c r="S1847" t="s">
        <v>81</v>
      </c>
      <c r="T1847" t="s">
        <v>60</v>
      </c>
      <c r="U1847" t="s">
        <v>76</v>
      </c>
    </row>
    <row r="1848" spans="1:21" x14ac:dyDescent="0.35">
      <c r="A1848" t="s">
        <v>1977</v>
      </c>
      <c r="B1848" s="5">
        <v>45920</v>
      </c>
      <c r="C1848" t="s">
        <v>125</v>
      </c>
      <c r="D1848" t="s">
        <v>85</v>
      </c>
      <c r="E1848" s="9">
        <v>5</v>
      </c>
      <c r="F1848" s="10">
        <v>125</v>
      </c>
      <c r="G1848" s="11">
        <v>0.1</v>
      </c>
      <c r="H1848" s="10">
        <v>562.5</v>
      </c>
      <c r="I1848" s="9">
        <v>0</v>
      </c>
      <c r="J1848" s="10">
        <v>0</v>
      </c>
      <c r="K1848" s="9">
        <v>5</v>
      </c>
      <c r="L1848" s="10">
        <v>562.5</v>
      </c>
      <c r="M1848" s="10">
        <v>367.73</v>
      </c>
      <c r="N1848" s="10">
        <v>194.77</v>
      </c>
      <c r="O1848" s="11">
        <f t="shared" si="110"/>
        <v>0.34625777777777778</v>
      </c>
      <c r="P1848" s="10">
        <v>53.22</v>
      </c>
      <c r="Q1848" s="10">
        <v>141.55000000000001</v>
      </c>
      <c r="R1848" s="11">
        <f t="shared" si="111"/>
        <v>0.25164444444444445</v>
      </c>
      <c r="S1848" t="s">
        <v>75</v>
      </c>
      <c r="T1848" t="s">
        <v>86</v>
      </c>
      <c r="U1848" t="s">
        <v>67</v>
      </c>
    </row>
    <row r="1849" spans="1:21" x14ac:dyDescent="0.35">
      <c r="A1849" t="s">
        <v>1978</v>
      </c>
      <c r="B1849" s="5">
        <v>45798</v>
      </c>
      <c r="C1849" t="s">
        <v>117</v>
      </c>
      <c r="D1849" t="s">
        <v>74</v>
      </c>
      <c r="E1849" s="9">
        <v>4</v>
      </c>
      <c r="F1849" s="10">
        <v>95</v>
      </c>
      <c r="G1849" s="11">
        <v>0</v>
      </c>
      <c r="H1849" s="10">
        <v>380</v>
      </c>
      <c r="I1849" s="9">
        <v>0</v>
      </c>
      <c r="J1849" s="10">
        <v>0</v>
      </c>
      <c r="K1849" s="9">
        <v>4</v>
      </c>
      <c r="L1849" s="10">
        <v>380</v>
      </c>
      <c r="M1849" s="10">
        <v>247.21</v>
      </c>
      <c r="N1849" s="10">
        <v>132.79</v>
      </c>
      <c r="O1849" s="11">
        <f t="shared" si="110"/>
        <v>0.34944736842105262</v>
      </c>
      <c r="P1849" s="10">
        <v>49.28</v>
      </c>
      <c r="Q1849" s="10">
        <v>83.51</v>
      </c>
      <c r="R1849" s="11">
        <f t="shared" si="111"/>
        <v>0.21976315789473685</v>
      </c>
      <c r="S1849" t="s">
        <v>59</v>
      </c>
      <c r="T1849" t="s">
        <v>86</v>
      </c>
      <c r="U1849" t="s">
        <v>61</v>
      </c>
    </row>
    <row r="1850" spans="1:21" x14ac:dyDescent="0.35">
      <c r="A1850" t="s">
        <v>1979</v>
      </c>
      <c r="B1850" s="5">
        <v>45673</v>
      </c>
      <c r="C1850" t="s">
        <v>88</v>
      </c>
      <c r="D1850" t="s">
        <v>57</v>
      </c>
      <c r="E1850" s="9">
        <v>2</v>
      </c>
      <c r="F1850" s="10">
        <v>30</v>
      </c>
      <c r="G1850" s="11">
        <v>0</v>
      </c>
      <c r="H1850" s="10">
        <v>60</v>
      </c>
      <c r="I1850" s="9">
        <v>0</v>
      </c>
      <c r="J1850" s="10">
        <v>0</v>
      </c>
      <c r="K1850" s="9">
        <v>2</v>
      </c>
      <c r="L1850" s="10">
        <v>60</v>
      </c>
      <c r="M1850" s="10">
        <v>44.72</v>
      </c>
      <c r="N1850" s="10">
        <v>15.28</v>
      </c>
      <c r="O1850" s="11">
        <f t="shared" si="110"/>
        <v>0.25466666666666665</v>
      </c>
      <c r="P1850" s="10">
        <v>3.01</v>
      </c>
      <c r="Q1850" s="10">
        <v>12.27</v>
      </c>
      <c r="R1850" s="11">
        <f t="shared" si="111"/>
        <v>0.20449999999999999</v>
      </c>
      <c r="S1850" t="s">
        <v>75</v>
      </c>
      <c r="T1850" t="s">
        <v>82</v>
      </c>
      <c r="U1850" t="s">
        <v>67</v>
      </c>
    </row>
    <row r="1851" spans="1:21" x14ac:dyDescent="0.35">
      <c r="A1851" t="s">
        <v>1980</v>
      </c>
      <c r="B1851" s="5">
        <v>45834</v>
      </c>
      <c r="C1851" t="s">
        <v>63</v>
      </c>
      <c r="D1851" t="s">
        <v>64</v>
      </c>
      <c r="E1851" s="9">
        <v>1</v>
      </c>
      <c r="F1851" s="10">
        <v>145</v>
      </c>
      <c r="G1851" s="11">
        <v>0</v>
      </c>
      <c r="H1851" s="10">
        <v>145</v>
      </c>
      <c r="I1851" s="9">
        <v>0</v>
      </c>
      <c r="J1851" s="10">
        <v>0</v>
      </c>
      <c r="K1851" s="9">
        <v>1</v>
      </c>
      <c r="L1851" s="10">
        <v>145</v>
      </c>
      <c r="M1851" s="10">
        <v>106.77</v>
      </c>
      <c r="N1851" s="10">
        <v>38.229999999999997</v>
      </c>
      <c r="O1851" s="11">
        <f t="shared" ref="O1851:O1862" si="112">N1851/L1851</f>
        <v>0.2636551724137931</v>
      </c>
      <c r="P1851" s="10">
        <v>10.69</v>
      </c>
      <c r="Q1851" s="10">
        <v>27.54</v>
      </c>
      <c r="R1851" s="11">
        <f t="shared" ref="R1851:R1862" si="113">Q1851/L1851</f>
        <v>0.18993103448275861</v>
      </c>
      <c r="S1851" t="s">
        <v>81</v>
      </c>
      <c r="T1851" t="s">
        <v>82</v>
      </c>
      <c r="U1851" t="s">
        <v>67</v>
      </c>
    </row>
    <row r="1852" spans="1:21" x14ac:dyDescent="0.35">
      <c r="A1852" t="s">
        <v>1981</v>
      </c>
      <c r="B1852" s="5">
        <v>45844</v>
      </c>
      <c r="C1852" t="s">
        <v>56</v>
      </c>
      <c r="D1852" t="s">
        <v>57</v>
      </c>
      <c r="E1852" s="9">
        <v>2</v>
      </c>
      <c r="F1852" s="10">
        <v>40</v>
      </c>
      <c r="G1852" s="11">
        <v>0.05</v>
      </c>
      <c r="H1852" s="10">
        <v>76</v>
      </c>
      <c r="I1852" s="9">
        <v>0</v>
      </c>
      <c r="J1852" s="10">
        <v>0</v>
      </c>
      <c r="K1852" s="9">
        <v>2</v>
      </c>
      <c r="L1852" s="10">
        <v>76</v>
      </c>
      <c r="M1852" s="10">
        <v>55.05</v>
      </c>
      <c r="N1852" s="10">
        <v>20.95</v>
      </c>
      <c r="O1852" s="11">
        <f t="shared" si="112"/>
        <v>0.2756578947368421</v>
      </c>
      <c r="P1852" s="10">
        <v>8.42</v>
      </c>
      <c r="Q1852" s="10">
        <v>12.53</v>
      </c>
      <c r="R1852" s="11">
        <f t="shared" si="113"/>
        <v>0.16486842105263158</v>
      </c>
      <c r="S1852" t="s">
        <v>81</v>
      </c>
      <c r="T1852" t="s">
        <v>86</v>
      </c>
      <c r="U1852" t="s">
        <v>76</v>
      </c>
    </row>
    <row r="1853" spans="1:21" x14ac:dyDescent="0.35">
      <c r="A1853" t="s">
        <v>1982</v>
      </c>
      <c r="B1853" s="5">
        <v>46022</v>
      </c>
      <c r="C1853" t="s">
        <v>73</v>
      </c>
      <c r="D1853" t="s">
        <v>74</v>
      </c>
      <c r="E1853" s="9">
        <v>2</v>
      </c>
      <c r="F1853" s="10">
        <v>280</v>
      </c>
      <c r="G1853" s="11">
        <v>0</v>
      </c>
      <c r="H1853" s="10">
        <v>560</v>
      </c>
      <c r="I1853" s="9">
        <v>0</v>
      </c>
      <c r="J1853" s="10">
        <v>0</v>
      </c>
      <c r="K1853" s="9">
        <v>2</v>
      </c>
      <c r="L1853" s="10">
        <v>560</v>
      </c>
      <c r="M1853" s="10">
        <v>425.07</v>
      </c>
      <c r="N1853" s="10">
        <v>134.93</v>
      </c>
      <c r="O1853" s="11">
        <f t="shared" si="112"/>
        <v>0.24094642857142859</v>
      </c>
      <c r="P1853" s="10">
        <v>63.24</v>
      </c>
      <c r="Q1853" s="10">
        <v>71.69</v>
      </c>
      <c r="R1853" s="11">
        <f t="shared" si="113"/>
        <v>0.12801785714285713</v>
      </c>
      <c r="S1853" t="s">
        <v>65</v>
      </c>
      <c r="T1853" t="s">
        <v>66</v>
      </c>
      <c r="U1853" t="s">
        <v>76</v>
      </c>
    </row>
    <row r="1854" spans="1:21" x14ac:dyDescent="0.35">
      <c r="A1854" t="s">
        <v>1983</v>
      </c>
      <c r="B1854" s="5">
        <v>45839</v>
      </c>
      <c r="C1854" t="s">
        <v>73</v>
      </c>
      <c r="D1854" t="s">
        <v>74</v>
      </c>
      <c r="E1854" s="9">
        <v>1</v>
      </c>
      <c r="F1854" s="10">
        <v>280</v>
      </c>
      <c r="G1854" s="11">
        <v>0.05</v>
      </c>
      <c r="H1854" s="10">
        <v>266</v>
      </c>
      <c r="I1854" s="9">
        <v>0</v>
      </c>
      <c r="J1854" s="10">
        <v>0</v>
      </c>
      <c r="K1854" s="9">
        <v>1</v>
      </c>
      <c r="L1854" s="10">
        <v>266</v>
      </c>
      <c r="M1854" s="10">
        <v>209.81</v>
      </c>
      <c r="N1854" s="10">
        <v>56.19</v>
      </c>
      <c r="O1854" s="11">
        <f t="shared" si="112"/>
        <v>0.2112406015037594</v>
      </c>
      <c r="P1854" s="10">
        <v>32.299999999999997</v>
      </c>
      <c r="Q1854" s="10">
        <v>23.89</v>
      </c>
      <c r="R1854" s="11">
        <f t="shared" si="113"/>
        <v>8.9812030075187968E-2</v>
      </c>
      <c r="S1854" t="s">
        <v>75</v>
      </c>
      <c r="T1854" t="s">
        <v>66</v>
      </c>
      <c r="U1854" t="s">
        <v>67</v>
      </c>
    </row>
    <row r="1855" spans="1:21" x14ac:dyDescent="0.35">
      <c r="A1855" t="s">
        <v>1984</v>
      </c>
      <c r="B1855" s="5">
        <v>45710</v>
      </c>
      <c r="C1855" t="s">
        <v>121</v>
      </c>
      <c r="D1855" t="s">
        <v>70</v>
      </c>
      <c r="E1855" s="9">
        <v>2</v>
      </c>
      <c r="F1855" s="10">
        <v>110</v>
      </c>
      <c r="G1855" s="11">
        <v>0.1</v>
      </c>
      <c r="H1855" s="10">
        <v>198</v>
      </c>
      <c r="I1855" s="9">
        <v>0</v>
      </c>
      <c r="J1855" s="10">
        <v>0</v>
      </c>
      <c r="K1855" s="9">
        <v>2</v>
      </c>
      <c r="L1855" s="10">
        <v>198</v>
      </c>
      <c r="M1855" s="10">
        <v>132.88</v>
      </c>
      <c r="N1855" s="10">
        <v>65.12</v>
      </c>
      <c r="O1855" s="11">
        <f t="shared" si="112"/>
        <v>0.3288888888888889</v>
      </c>
      <c r="P1855" s="10">
        <v>14.94</v>
      </c>
      <c r="Q1855" s="10">
        <v>50.18</v>
      </c>
      <c r="R1855" s="11">
        <f t="shared" si="113"/>
        <v>0.25343434343434346</v>
      </c>
      <c r="S1855" t="s">
        <v>75</v>
      </c>
      <c r="T1855" t="s">
        <v>82</v>
      </c>
      <c r="U1855" t="s">
        <v>71</v>
      </c>
    </row>
    <row r="1856" spans="1:21" x14ac:dyDescent="0.35">
      <c r="A1856" t="s">
        <v>1985</v>
      </c>
      <c r="B1856" s="5">
        <v>45866</v>
      </c>
      <c r="C1856" t="s">
        <v>95</v>
      </c>
      <c r="D1856" t="s">
        <v>64</v>
      </c>
      <c r="E1856" s="9">
        <v>1</v>
      </c>
      <c r="F1856" s="10">
        <v>52</v>
      </c>
      <c r="G1856" s="11">
        <v>0.02</v>
      </c>
      <c r="H1856" s="10">
        <v>50.96</v>
      </c>
      <c r="I1856" s="9">
        <v>0</v>
      </c>
      <c r="J1856" s="10">
        <v>0</v>
      </c>
      <c r="K1856" s="9">
        <v>1</v>
      </c>
      <c r="L1856" s="10">
        <v>50.96</v>
      </c>
      <c r="M1856" s="10">
        <v>36.67</v>
      </c>
      <c r="N1856" s="10">
        <v>14.29</v>
      </c>
      <c r="O1856" s="11">
        <f t="shared" si="112"/>
        <v>0.28041601255886967</v>
      </c>
      <c r="P1856" s="10">
        <v>4.26</v>
      </c>
      <c r="Q1856" s="10">
        <v>10.029999999999999</v>
      </c>
      <c r="R1856" s="11">
        <f t="shared" si="113"/>
        <v>0.19682103610675036</v>
      </c>
      <c r="S1856" t="s">
        <v>75</v>
      </c>
      <c r="T1856" t="s">
        <v>82</v>
      </c>
      <c r="U1856" t="s">
        <v>67</v>
      </c>
    </row>
    <row r="1857" spans="1:21" x14ac:dyDescent="0.35">
      <c r="A1857" t="s">
        <v>1986</v>
      </c>
      <c r="B1857" s="5">
        <v>45777</v>
      </c>
      <c r="C1857" t="s">
        <v>56</v>
      </c>
      <c r="D1857" t="s">
        <v>57</v>
      </c>
      <c r="E1857" s="9">
        <v>5</v>
      </c>
      <c r="F1857" s="10">
        <v>40</v>
      </c>
      <c r="G1857" s="11">
        <v>0.02</v>
      </c>
      <c r="H1857" s="10">
        <v>196</v>
      </c>
      <c r="I1857" s="9">
        <v>0</v>
      </c>
      <c r="J1857" s="10">
        <v>0</v>
      </c>
      <c r="K1857" s="9">
        <v>5</v>
      </c>
      <c r="L1857" s="10">
        <v>196</v>
      </c>
      <c r="M1857" s="10">
        <v>122.59</v>
      </c>
      <c r="N1857" s="10">
        <v>73.41</v>
      </c>
      <c r="O1857" s="11">
        <f t="shared" si="112"/>
        <v>0.37454081632653058</v>
      </c>
      <c r="P1857" s="10">
        <v>20.56</v>
      </c>
      <c r="Q1857" s="10">
        <v>52.85</v>
      </c>
      <c r="R1857" s="11">
        <f t="shared" si="113"/>
        <v>0.26964285714285713</v>
      </c>
      <c r="S1857" t="s">
        <v>75</v>
      </c>
      <c r="T1857" t="s">
        <v>86</v>
      </c>
      <c r="U1857" t="s">
        <v>67</v>
      </c>
    </row>
    <row r="1858" spans="1:21" x14ac:dyDescent="0.35">
      <c r="A1858" t="s">
        <v>1987</v>
      </c>
      <c r="B1858" s="5">
        <v>45733</v>
      </c>
      <c r="C1858" t="s">
        <v>63</v>
      </c>
      <c r="D1858" t="s">
        <v>64</v>
      </c>
      <c r="E1858" s="9">
        <v>1</v>
      </c>
      <c r="F1858" s="10">
        <v>145</v>
      </c>
      <c r="G1858" s="11">
        <v>0.1</v>
      </c>
      <c r="H1858" s="10">
        <v>130.5</v>
      </c>
      <c r="I1858" s="9">
        <v>0</v>
      </c>
      <c r="J1858" s="10">
        <v>0</v>
      </c>
      <c r="K1858" s="9">
        <v>1</v>
      </c>
      <c r="L1858" s="10">
        <v>130.5</v>
      </c>
      <c r="M1858" s="10">
        <v>96.38</v>
      </c>
      <c r="N1858" s="10">
        <v>34.119999999999997</v>
      </c>
      <c r="O1858" s="11">
        <f t="shared" si="112"/>
        <v>0.26145593869731798</v>
      </c>
      <c r="P1858" s="10">
        <v>15.59</v>
      </c>
      <c r="Q1858" s="10">
        <v>18.53</v>
      </c>
      <c r="R1858" s="11">
        <f t="shared" si="113"/>
        <v>0.14199233716475096</v>
      </c>
      <c r="S1858" t="s">
        <v>59</v>
      </c>
      <c r="T1858" t="s">
        <v>86</v>
      </c>
      <c r="U1858" t="s">
        <v>76</v>
      </c>
    </row>
    <row r="1859" spans="1:21" x14ac:dyDescent="0.35">
      <c r="A1859" t="s">
        <v>1988</v>
      </c>
      <c r="B1859" s="5">
        <v>45859</v>
      </c>
      <c r="C1859" t="s">
        <v>97</v>
      </c>
      <c r="D1859" t="s">
        <v>57</v>
      </c>
      <c r="E1859" s="9">
        <v>3</v>
      </c>
      <c r="F1859" s="10">
        <v>55</v>
      </c>
      <c r="G1859" s="11">
        <v>0</v>
      </c>
      <c r="H1859" s="10">
        <v>165</v>
      </c>
      <c r="I1859" s="9">
        <v>0</v>
      </c>
      <c r="J1859" s="10">
        <v>0</v>
      </c>
      <c r="K1859" s="9">
        <v>3</v>
      </c>
      <c r="L1859" s="10">
        <v>165</v>
      </c>
      <c r="M1859" s="10">
        <v>121.38</v>
      </c>
      <c r="N1859" s="10">
        <v>43.62</v>
      </c>
      <c r="O1859" s="11">
        <f t="shared" si="112"/>
        <v>0.26436363636363636</v>
      </c>
      <c r="P1859" s="10">
        <v>10.73</v>
      </c>
      <c r="Q1859" s="10">
        <v>32.89</v>
      </c>
      <c r="R1859" s="11">
        <f t="shared" si="113"/>
        <v>0.19933333333333333</v>
      </c>
      <c r="S1859" t="s">
        <v>81</v>
      </c>
      <c r="T1859" t="s">
        <v>82</v>
      </c>
      <c r="U1859" t="s">
        <v>67</v>
      </c>
    </row>
    <row r="1860" spans="1:21" x14ac:dyDescent="0.35">
      <c r="A1860" t="s">
        <v>1989</v>
      </c>
      <c r="B1860" s="5">
        <v>45849</v>
      </c>
      <c r="C1860" t="s">
        <v>109</v>
      </c>
      <c r="D1860" t="s">
        <v>85</v>
      </c>
      <c r="E1860" s="9">
        <v>2</v>
      </c>
      <c r="F1860" s="10">
        <v>180</v>
      </c>
      <c r="G1860" s="11">
        <v>0</v>
      </c>
      <c r="H1860" s="10">
        <v>360</v>
      </c>
      <c r="I1860" s="9">
        <v>0</v>
      </c>
      <c r="J1860" s="10">
        <v>0</v>
      </c>
      <c r="K1860" s="9">
        <v>2</v>
      </c>
      <c r="L1860" s="10">
        <v>360</v>
      </c>
      <c r="M1860" s="10">
        <v>253.26</v>
      </c>
      <c r="N1860" s="10">
        <v>106.74</v>
      </c>
      <c r="O1860" s="11">
        <f t="shared" si="112"/>
        <v>0.29649999999999999</v>
      </c>
      <c r="P1860" s="10">
        <v>36.770000000000003</v>
      </c>
      <c r="Q1860" s="10">
        <v>69.97</v>
      </c>
      <c r="R1860" s="11">
        <f t="shared" si="113"/>
        <v>0.1943611111111111</v>
      </c>
      <c r="S1860" t="s">
        <v>81</v>
      </c>
      <c r="T1860" t="s">
        <v>82</v>
      </c>
      <c r="U1860" t="s">
        <v>61</v>
      </c>
    </row>
    <row r="1861" spans="1:21" x14ac:dyDescent="0.35">
      <c r="A1861" t="s">
        <v>1990</v>
      </c>
      <c r="B1861" s="5">
        <v>45984</v>
      </c>
      <c r="C1861" t="s">
        <v>114</v>
      </c>
      <c r="D1861" t="s">
        <v>64</v>
      </c>
      <c r="E1861" s="9">
        <v>3</v>
      </c>
      <c r="F1861" s="10">
        <v>420</v>
      </c>
      <c r="G1861" s="11">
        <v>0</v>
      </c>
      <c r="H1861" s="10">
        <v>1260</v>
      </c>
      <c r="I1861" s="9">
        <v>0</v>
      </c>
      <c r="J1861" s="10">
        <v>0</v>
      </c>
      <c r="K1861" s="9">
        <v>3</v>
      </c>
      <c r="L1861" s="10">
        <v>1260</v>
      </c>
      <c r="M1861" s="10">
        <v>802.16</v>
      </c>
      <c r="N1861" s="10">
        <v>457.84</v>
      </c>
      <c r="O1861" s="11">
        <f t="shared" si="112"/>
        <v>0.36336507936507934</v>
      </c>
      <c r="P1861" s="10">
        <v>117.82</v>
      </c>
      <c r="Q1861" s="10">
        <v>340.02</v>
      </c>
      <c r="R1861" s="11">
        <f t="shared" si="113"/>
        <v>0.26985714285714285</v>
      </c>
      <c r="S1861" t="s">
        <v>81</v>
      </c>
      <c r="T1861" t="s">
        <v>66</v>
      </c>
      <c r="U1861" t="s">
        <v>76</v>
      </c>
    </row>
    <row r="1862" spans="1:21" x14ac:dyDescent="0.35">
      <c r="A1862" t="s">
        <v>1991</v>
      </c>
      <c r="B1862" s="5">
        <v>46021</v>
      </c>
      <c r="C1862" t="s">
        <v>100</v>
      </c>
      <c r="D1862" t="s">
        <v>64</v>
      </c>
      <c r="E1862" s="9">
        <v>5</v>
      </c>
      <c r="F1862" s="10">
        <v>310</v>
      </c>
      <c r="G1862" s="11">
        <v>0</v>
      </c>
      <c r="H1862" s="10">
        <v>1550</v>
      </c>
      <c r="I1862" s="9">
        <v>0</v>
      </c>
      <c r="J1862" s="10">
        <v>0</v>
      </c>
      <c r="K1862" s="9">
        <v>5</v>
      </c>
      <c r="L1862" s="10">
        <v>1550</v>
      </c>
      <c r="M1862" s="10">
        <v>1210.1500000000001</v>
      </c>
      <c r="N1862" s="10">
        <v>339.85</v>
      </c>
      <c r="O1862" s="11">
        <f t="shared" si="112"/>
        <v>0.21925806451612906</v>
      </c>
      <c r="P1862" s="10">
        <v>140.63999999999999</v>
      </c>
      <c r="Q1862" s="10">
        <v>199.21</v>
      </c>
      <c r="R1862" s="11">
        <f t="shared" si="113"/>
        <v>0.12852258064516128</v>
      </c>
      <c r="S1862" t="s">
        <v>65</v>
      </c>
      <c r="T1862" t="s">
        <v>82</v>
      </c>
      <c r="U1862" t="s">
        <v>76</v>
      </c>
    </row>
    <row r="1863" spans="1:21" x14ac:dyDescent="0.35">
      <c r="A1863" t="s">
        <v>1992</v>
      </c>
      <c r="B1863" s="5">
        <v>45732</v>
      </c>
      <c r="C1863" t="s">
        <v>125</v>
      </c>
      <c r="D1863" t="s">
        <v>85</v>
      </c>
      <c r="E1863" s="9">
        <v>1</v>
      </c>
      <c r="F1863" s="10">
        <v>125</v>
      </c>
      <c r="G1863" s="11">
        <v>0</v>
      </c>
      <c r="H1863" s="10">
        <v>125</v>
      </c>
      <c r="I1863" s="9">
        <v>1</v>
      </c>
      <c r="J1863" s="10">
        <v>125</v>
      </c>
      <c r="K1863" s="9">
        <v>0</v>
      </c>
      <c r="L1863" s="10">
        <v>0</v>
      </c>
      <c r="M1863" s="10">
        <v>0</v>
      </c>
      <c r="N1863" s="10">
        <v>0</v>
      </c>
      <c r="O1863" s="11">
        <v>0</v>
      </c>
      <c r="P1863" s="10">
        <v>0</v>
      </c>
      <c r="Q1863" s="10">
        <v>0</v>
      </c>
      <c r="R1863" s="11">
        <v>0</v>
      </c>
      <c r="S1863" t="s">
        <v>81</v>
      </c>
      <c r="T1863" t="s">
        <v>66</v>
      </c>
      <c r="U1863" t="s">
        <v>67</v>
      </c>
    </row>
    <row r="1864" spans="1:21" x14ac:dyDescent="0.35">
      <c r="A1864" t="s">
        <v>1993</v>
      </c>
      <c r="B1864" s="5">
        <v>45966</v>
      </c>
      <c r="C1864" t="s">
        <v>121</v>
      </c>
      <c r="D1864" t="s">
        <v>70</v>
      </c>
      <c r="E1864" s="9">
        <v>2</v>
      </c>
      <c r="F1864" s="10">
        <v>110</v>
      </c>
      <c r="G1864" s="11">
        <v>0.1</v>
      </c>
      <c r="H1864" s="10">
        <v>198</v>
      </c>
      <c r="I1864" s="9">
        <v>0</v>
      </c>
      <c r="J1864" s="10">
        <v>0</v>
      </c>
      <c r="K1864" s="9">
        <v>2</v>
      </c>
      <c r="L1864" s="10">
        <v>198</v>
      </c>
      <c r="M1864" s="10">
        <v>153.74</v>
      </c>
      <c r="N1864" s="10">
        <v>44.26</v>
      </c>
      <c r="O1864" s="11">
        <f t="shared" ref="O1864:O1895" si="114">N1864/L1864</f>
        <v>0.22353535353535353</v>
      </c>
      <c r="P1864" s="10">
        <v>23.1</v>
      </c>
      <c r="Q1864" s="10">
        <v>21.16</v>
      </c>
      <c r="R1864" s="11">
        <f t="shared" ref="R1864:R1895" si="115">Q1864/L1864</f>
        <v>0.10686868686868686</v>
      </c>
      <c r="S1864" t="s">
        <v>59</v>
      </c>
      <c r="T1864" t="s">
        <v>86</v>
      </c>
      <c r="U1864" t="s">
        <v>61</v>
      </c>
    </row>
    <row r="1865" spans="1:21" x14ac:dyDescent="0.35">
      <c r="A1865" t="s">
        <v>1994</v>
      </c>
      <c r="B1865" s="5">
        <v>45721</v>
      </c>
      <c r="C1865" t="s">
        <v>63</v>
      </c>
      <c r="D1865" t="s">
        <v>64</v>
      </c>
      <c r="E1865" s="9">
        <v>3</v>
      </c>
      <c r="F1865" s="10">
        <v>145</v>
      </c>
      <c r="G1865" s="11">
        <v>0</v>
      </c>
      <c r="H1865" s="10">
        <v>435</v>
      </c>
      <c r="I1865" s="9">
        <v>0</v>
      </c>
      <c r="J1865" s="10">
        <v>0</v>
      </c>
      <c r="K1865" s="9">
        <v>3</v>
      </c>
      <c r="L1865" s="10">
        <v>435</v>
      </c>
      <c r="M1865" s="10">
        <v>282.69</v>
      </c>
      <c r="N1865" s="10">
        <v>152.31</v>
      </c>
      <c r="O1865" s="11">
        <f t="shared" si="114"/>
        <v>0.35013793103448276</v>
      </c>
      <c r="P1865" s="10">
        <v>26.54</v>
      </c>
      <c r="Q1865" s="10">
        <v>125.77</v>
      </c>
      <c r="R1865" s="11">
        <f t="shared" si="115"/>
        <v>0.28912643678160921</v>
      </c>
      <c r="S1865" t="s">
        <v>75</v>
      </c>
      <c r="T1865" t="s">
        <v>66</v>
      </c>
      <c r="U1865" t="s">
        <v>67</v>
      </c>
    </row>
    <row r="1866" spans="1:21" x14ac:dyDescent="0.35">
      <c r="A1866" t="s">
        <v>1995</v>
      </c>
      <c r="B1866" s="5">
        <v>45976</v>
      </c>
      <c r="C1866" t="s">
        <v>125</v>
      </c>
      <c r="D1866" t="s">
        <v>85</v>
      </c>
      <c r="E1866" s="9">
        <v>3</v>
      </c>
      <c r="F1866" s="10">
        <v>125</v>
      </c>
      <c r="G1866" s="11">
        <v>0</v>
      </c>
      <c r="H1866" s="10">
        <v>375</v>
      </c>
      <c r="I1866" s="9">
        <v>0</v>
      </c>
      <c r="J1866" s="10">
        <v>0</v>
      </c>
      <c r="K1866" s="9">
        <v>3</v>
      </c>
      <c r="L1866" s="10">
        <v>375</v>
      </c>
      <c r="M1866" s="10">
        <v>283.92</v>
      </c>
      <c r="N1866" s="10">
        <v>91.08</v>
      </c>
      <c r="O1866" s="11">
        <f t="shared" si="114"/>
        <v>0.24287999999999998</v>
      </c>
      <c r="P1866" s="10">
        <v>42.27</v>
      </c>
      <c r="Q1866" s="10">
        <v>48.81</v>
      </c>
      <c r="R1866" s="11">
        <f t="shared" si="115"/>
        <v>0.13016</v>
      </c>
      <c r="S1866" t="s">
        <v>65</v>
      </c>
      <c r="T1866" t="s">
        <v>66</v>
      </c>
      <c r="U1866" t="s">
        <v>71</v>
      </c>
    </row>
    <row r="1867" spans="1:21" x14ac:dyDescent="0.35">
      <c r="A1867" t="s">
        <v>1996</v>
      </c>
      <c r="B1867" s="5">
        <v>45928</v>
      </c>
      <c r="C1867" t="s">
        <v>73</v>
      </c>
      <c r="D1867" t="s">
        <v>74</v>
      </c>
      <c r="E1867" s="9">
        <v>6</v>
      </c>
      <c r="F1867" s="10">
        <v>280</v>
      </c>
      <c r="G1867" s="11">
        <v>0.05</v>
      </c>
      <c r="H1867" s="10">
        <v>1596</v>
      </c>
      <c r="I1867" s="9">
        <v>0</v>
      </c>
      <c r="J1867" s="10">
        <v>0</v>
      </c>
      <c r="K1867" s="9">
        <v>6</v>
      </c>
      <c r="L1867" s="10">
        <v>1596</v>
      </c>
      <c r="M1867" s="10">
        <v>1222.53</v>
      </c>
      <c r="N1867" s="10">
        <v>373.47</v>
      </c>
      <c r="O1867" s="11">
        <f t="shared" si="114"/>
        <v>0.23400375939849627</v>
      </c>
      <c r="P1867" s="10">
        <v>144.05000000000001</v>
      </c>
      <c r="Q1867" s="10">
        <v>229.42</v>
      </c>
      <c r="R1867" s="11">
        <f t="shared" si="115"/>
        <v>0.14374686716791979</v>
      </c>
      <c r="S1867" t="s">
        <v>59</v>
      </c>
      <c r="T1867" t="s">
        <v>86</v>
      </c>
      <c r="U1867" t="s">
        <v>61</v>
      </c>
    </row>
    <row r="1868" spans="1:21" x14ac:dyDescent="0.35">
      <c r="A1868" t="s">
        <v>1997</v>
      </c>
      <c r="B1868" s="5">
        <v>45997</v>
      </c>
      <c r="C1868" t="s">
        <v>97</v>
      </c>
      <c r="D1868" t="s">
        <v>57</v>
      </c>
      <c r="E1868" s="9">
        <v>1</v>
      </c>
      <c r="F1868" s="10">
        <v>55</v>
      </c>
      <c r="G1868" s="11">
        <v>0</v>
      </c>
      <c r="H1868" s="10">
        <v>55</v>
      </c>
      <c r="I1868" s="9">
        <v>0</v>
      </c>
      <c r="J1868" s="10">
        <v>0</v>
      </c>
      <c r="K1868" s="9">
        <v>1</v>
      </c>
      <c r="L1868" s="10">
        <v>55</v>
      </c>
      <c r="M1868" s="10">
        <v>45.49</v>
      </c>
      <c r="N1868" s="10">
        <v>9.51</v>
      </c>
      <c r="O1868" s="11">
        <f t="shared" si="114"/>
        <v>0.1729090909090909</v>
      </c>
      <c r="P1868" s="10">
        <v>6.46</v>
      </c>
      <c r="Q1868" s="10">
        <v>3.05</v>
      </c>
      <c r="R1868" s="11">
        <f t="shared" si="115"/>
        <v>5.5454545454545451E-2</v>
      </c>
      <c r="S1868" t="s">
        <v>75</v>
      </c>
      <c r="T1868" t="s">
        <v>60</v>
      </c>
      <c r="U1868" t="s">
        <v>76</v>
      </c>
    </row>
    <row r="1869" spans="1:21" x14ac:dyDescent="0.35">
      <c r="A1869" t="s">
        <v>1998</v>
      </c>
      <c r="B1869" s="5">
        <v>45670</v>
      </c>
      <c r="C1869" t="s">
        <v>107</v>
      </c>
      <c r="D1869" t="s">
        <v>74</v>
      </c>
      <c r="E1869" s="9">
        <v>1</v>
      </c>
      <c r="F1869" s="10">
        <v>125</v>
      </c>
      <c r="G1869" s="11">
        <v>0</v>
      </c>
      <c r="H1869" s="10">
        <v>125</v>
      </c>
      <c r="I1869" s="9">
        <v>0</v>
      </c>
      <c r="J1869" s="10">
        <v>0</v>
      </c>
      <c r="K1869" s="9">
        <v>1</v>
      </c>
      <c r="L1869" s="10">
        <v>125</v>
      </c>
      <c r="M1869" s="10">
        <v>78.77</v>
      </c>
      <c r="N1869" s="10">
        <v>46.23</v>
      </c>
      <c r="O1869" s="11">
        <f t="shared" si="114"/>
        <v>0.36984</v>
      </c>
      <c r="P1869" s="10">
        <v>11.7</v>
      </c>
      <c r="Q1869" s="10">
        <v>34.53</v>
      </c>
      <c r="R1869" s="11">
        <f t="shared" si="115"/>
        <v>0.27623999999999999</v>
      </c>
      <c r="S1869" t="s">
        <v>81</v>
      </c>
      <c r="T1869" t="s">
        <v>66</v>
      </c>
      <c r="U1869" t="s">
        <v>76</v>
      </c>
    </row>
    <row r="1870" spans="1:21" x14ac:dyDescent="0.35">
      <c r="A1870" t="s">
        <v>1999</v>
      </c>
      <c r="B1870" s="5">
        <v>45729</v>
      </c>
      <c r="C1870" t="s">
        <v>264</v>
      </c>
      <c r="D1870" t="s">
        <v>85</v>
      </c>
      <c r="E1870" s="9">
        <v>3</v>
      </c>
      <c r="F1870" s="10">
        <v>20</v>
      </c>
      <c r="G1870" s="11">
        <v>0.05</v>
      </c>
      <c r="H1870" s="10">
        <v>57</v>
      </c>
      <c r="I1870" s="9">
        <v>0</v>
      </c>
      <c r="J1870" s="10">
        <v>0</v>
      </c>
      <c r="K1870" s="9">
        <v>3</v>
      </c>
      <c r="L1870" s="10">
        <v>57</v>
      </c>
      <c r="M1870" s="10">
        <v>37.67</v>
      </c>
      <c r="N1870" s="10">
        <v>19.329999999999998</v>
      </c>
      <c r="O1870" s="11">
        <f t="shared" si="114"/>
        <v>0.33912280701754383</v>
      </c>
      <c r="P1870" s="10">
        <v>6.9</v>
      </c>
      <c r="Q1870" s="10">
        <v>12.43</v>
      </c>
      <c r="R1870" s="11">
        <f t="shared" si="115"/>
        <v>0.2180701754385965</v>
      </c>
      <c r="S1870" t="s">
        <v>75</v>
      </c>
      <c r="T1870" t="s">
        <v>66</v>
      </c>
      <c r="U1870" t="s">
        <v>67</v>
      </c>
    </row>
    <row r="1871" spans="1:21" x14ac:dyDescent="0.35">
      <c r="A1871" t="s">
        <v>2000</v>
      </c>
      <c r="B1871" s="5">
        <v>45948</v>
      </c>
      <c r="C1871" t="s">
        <v>95</v>
      </c>
      <c r="D1871" t="s">
        <v>64</v>
      </c>
      <c r="E1871" s="9">
        <v>3</v>
      </c>
      <c r="F1871" s="10">
        <v>52</v>
      </c>
      <c r="G1871" s="11">
        <v>0</v>
      </c>
      <c r="H1871" s="10">
        <v>156</v>
      </c>
      <c r="I1871" s="9">
        <v>0</v>
      </c>
      <c r="J1871" s="10">
        <v>0</v>
      </c>
      <c r="K1871" s="9">
        <v>3</v>
      </c>
      <c r="L1871" s="10">
        <v>156</v>
      </c>
      <c r="M1871" s="10">
        <v>111.64</v>
      </c>
      <c r="N1871" s="10">
        <v>44.36</v>
      </c>
      <c r="O1871" s="11">
        <f t="shared" si="114"/>
        <v>0.28435897435897434</v>
      </c>
      <c r="P1871" s="10">
        <v>15.92</v>
      </c>
      <c r="Q1871" s="10">
        <v>28.44</v>
      </c>
      <c r="R1871" s="11">
        <f t="shared" si="115"/>
        <v>0.18230769230769231</v>
      </c>
      <c r="S1871" t="s">
        <v>81</v>
      </c>
      <c r="T1871" t="s">
        <v>86</v>
      </c>
      <c r="U1871" t="s">
        <v>71</v>
      </c>
    </row>
    <row r="1872" spans="1:21" x14ac:dyDescent="0.35">
      <c r="A1872" t="s">
        <v>2001</v>
      </c>
      <c r="B1872" s="5">
        <v>45744</v>
      </c>
      <c r="C1872" t="s">
        <v>100</v>
      </c>
      <c r="D1872" t="s">
        <v>64</v>
      </c>
      <c r="E1872" s="9">
        <v>2</v>
      </c>
      <c r="F1872" s="10">
        <v>310</v>
      </c>
      <c r="G1872" s="11">
        <v>0</v>
      </c>
      <c r="H1872" s="10">
        <v>620</v>
      </c>
      <c r="I1872" s="9">
        <v>0</v>
      </c>
      <c r="J1872" s="10">
        <v>0</v>
      </c>
      <c r="K1872" s="9">
        <v>2</v>
      </c>
      <c r="L1872" s="10">
        <v>620</v>
      </c>
      <c r="M1872" s="10">
        <v>495.52</v>
      </c>
      <c r="N1872" s="10">
        <v>124.48</v>
      </c>
      <c r="O1872" s="11">
        <f t="shared" si="114"/>
        <v>0.2007741935483871</v>
      </c>
      <c r="P1872" s="10">
        <v>35.130000000000003</v>
      </c>
      <c r="Q1872" s="10">
        <v>89.35</v>
      </c>
      <c r="R1872" s="11">
        <f t="shared" si="115"/>
        <v>0.14411290322580644</v>
      </c>
      <c r="S1872" t="s">
        <v>81</v>
      </c>
      <c r="T1872" t="s">
        <v>86</v>
      </c>
      <c r="U1872" t="s">
        <v>76</v>
      </c>
    </row>
    <row r="1873" spans="1:21" x14ac:dyDescent="0.35">
      <c r="A1873" t="s">
        <v>2002</v>
      </c>
      <c r="B1873" s="5">
        <v>45855</v>
      </c>
      <c r="C1873" t="s">
        <v>92</v>
      </c>
      <c r="D1873" t="s">
        <v>79</v>
      </c>
      <c r="E1873" s="9">
        <v>4</v>
      </c>
      <c r="F1873" s="10">
        <v>85</v>
      </c>
      <c r="G1873" s="11">
        <v>0.15</v>
      </c>
      <c r="H1873" s="10">
        <v>289</v>
      </c>
      <c r="I1873" s="9">
        <v>0</v>
      </c>
      <c r="J1873" s="10">
        <v>0</v>
      </c>
      <c r="K1873" s="9">
        <v>4</v>
      </c>
      <c r="L1873" s="10">
        <v>289</v>
      </c>
      <c r="M1873" s="10">
        <v>232.56</v>
      </c>
      <c r="N1873" s="10">
        <v>56.44</v>
      </c>
      <c r="O1873" s="11">
        <f t="shared" si="114"/>
        <v>0.19529411764705881</v>
      </c>
      <c r="P1873" s="10">
        <v>37.35</v>
      </c>
      <c r="Q1873" s="10">
        <v>19.09</v>
      </c>
      <c r="R1873" s="11">
        <f t="shared" si="115"/>
        <v>6.6055363321799301E-2</v>
      </c>
      <c r="S1873" t="s">
        <v>65</v>
      </c>
      <c r="T1873" t="s">
        <v>60</v>
      </c>
      <c r="U1873" t="s">
        <v>61</v>
      </c>
    </row>
    <row r="1874" spans="1:21" x14ac:dyDescent="0.35">
      <c r="A1874" t="s">
        <v>2003</v>
      </c>
      <c r="B1874" s="5">
        <v>45713</v>
      </c>
      <c r="C1874" t="s">
        <v>114</v>
      </c>
      <c r="D1874" t="s">
        <v>64</v>
      </c>
      <c r="E1874" s="9">
        <v>4</v>
      </c>
      <c r="F1874" s="10">
        <v>420</v>
      </c>
      <c r="G1874" s="11">
        <v>0.05</v>
      </c>
      <c r="H1874" s="10">
        <v>1596</v>
      </c>
      <c r="I1874" s="9">
        <v>0</v>
      </c>
      <c r="J1874" s="10">
        <v>0</v>
      </c>
      <c r="K1874" s="9">
        <v>4</v>
      </c>
      <c r="L1874" s="10">
        <v>1596</v>
      </c>
      <c r="M1874" s="10">
        <v>1232.79</v>
      </c>
      <c r="N1874" s="10">
        <v>363.21</v>
      </c>
      <c r="O1874" s="11">
        <f t="shared" si="114"/>
        <v>0.22757518796992479</v>
      </c>
      <c r="P1874" s="10">
        <v>168.92</v>
      </c>
      <c r="Q1874" s="10">
        <v>194.29</v>
      </c>
      <c r="R1874" s="11">
        <f t="shared" si="115"/>
        <v>0.12173558897243107</v>
      </c>
      <c r="S1874" t="s">
        <v>75</v>
      </c>
      <c r="T1874" t="s">
        <v>60</v>
      </c>
      <c r="U1874" t="s">
        <v>67</v>
      </c>
    </row>
    <row r="1875" spans="1:21" x14ac:dyDescent="0.35">
      <c r="A1875" t="s">
        <v>2004</v>
      </c>
      <c r="B1875" s="5">
        <v>45945</v>
      </c>
      <c r="C1875" t="s">
        <v>100</v>
      </c>
      <c r="D1875" t="s">
        <v>64</v>
      </c>
      <c r="E1875" s="9">
        <v>5</v>
      </c>
      <c r="F1875" s="10">
        <v>310</v>
      </c>
      <c r="G1875" s="11">
        <v>0</v>
      </c>
      <c r="H1875" s="10">
        <v>1550</v>
      </c>
      <c r="I1875" s="9">
        <v>0</v>
      </c>
      <c r="J1875" s="10">
        <v>0</v>
      </c>
      <c r="K1875" s="9">
        <v>5</v>
      </c>
      <c r="L1875" s="10">
        <v>1550</v>
      </c>
      <c r="M1875" s="10">
        <v>1288.8</v>
      </c>
      <c r="N1875" s="10">
        <v>261.2</v>
      </c>
      <c r="O1875" s="11">
        <f t="shared" si="114"/>
        <v>0.16851612903225804</v>
      </c>
      <c r="P1875" s="10">
        <v>158.63999999999999</v>
      </c>
      <c r="Q1875" s="10">
        <v>102.56</v>
      </c>
      <c r="R1875" s="11">
        <f t="shared" si="115"/>
        <v>6.6167741935483873E-2</v>
      </c>
      <c r="S1875" t="s">
        <v>81</v>
      </c>
      <c r="T1875" t="s">
        <v>60</v>
      </c>
      <c r="U1875" t="s">
        <v>67</v>
      </c>
    </row>
    <row r="1876" spans="1:21" x14ac:dyDescent="0.35">
      <c r="A1876" t="s">
        <v>2005</v>
      </c>
      <c r="B1876" s="5">
        <v>45759</v>
      </c>
      <c r="C1876" t="s">
        <v>97</v>
      </c>
      <c r="D1876" t="s">
        <v>57</v>
      </c>
      <c r="E1876" s="9">
        <v>2</v>
      </c>
      <c r="F1876" s="10">
        <v>55</v>
      </c>
      <c r="G1876" s="11">
        <v>0.02</v>
      </c>
      <c r="H1876" s="10">
        <v>107.8</v>
      </c>
      <c r="I1876" s="9">
        <v>0</v>
      </c>
      <c r="J1876" s="10">
        <v>0</v>
      </c>
      <c r="K1876" s="9">
        <v>2</v>
      </c>
      <c r="L1876" s="10">
        <v>107.8</v>
      </c>
      <c r="M1876" s="10">
        <v>85.66</v>
      </c>
      <c r="N1876" s="10">
        <v>22.14</v>
      </c>
      <c r="O1876" s="11">
        <f t="shared" si="114"/>
        <v>0.20538033395176253</v>
      </c>
      <c r="P1876" s="10">
        <v>13.18</v>
      </c>
      <c r="Q1876" s="10">
        <v>8.9600000000000009</v>
      </c>
      <c r="R1876" s="11">
        <f t="shared" si="115"/>
        <v>8.3116883116883131E-2</v>
      </c>
      <c r="S1876" t="s">
        <v>65</v>
      </c>
      <c r="T1876" t="s">
        <v>66</v>
      </c>
      <c r="U1876" t="s">
        <v>61</v>
      </c>
    </row>
    <row r="1877" spans="1:21" x14ac:dyDescent="0.35">
      <c r="A1877" t="s">
        <v>2006</v>
      </c>
      <c r="B1877" s="5">
        <v>45743</v>
      </c>
      <c r="C1877" t="s">
        <v>56</v>
      </c>
      <c r="D1877" t="s">
        <v>57</v>
      </c>
      <c r="E1877" s="9">
        <v>6</v>
      </c>
      <c r="F1877" s="10">
        <v>40</v>
      </c>
      <c r="G1877" s="11">
        <v>0</v>
      </c>
      <c r="H1877" s="10">
        <v>240</v>
      </c>
      <c r="I1877" s="9">
        <v>1</v>
      </c>
      <c r="J1877" s="10">
        <v>40</v>
      </c>
      <c r="K1877" s="9">
        <v>5</v>
      </c>
      <c r="L1877" s="10">
        <v>200</v>
      </c>
      <c r="M1877" s="10">
        <v>149.66999999999999</v>
      </c>
      <c r="N1877" s="10">
        <v>50.33</v>
      </c>
      <c r="O1877" s="11">
        <f t="shared" si="114"/>
        <v>0.25164999999999998</v>
      </c>
      <c r="P1877" s="10">
        <v>10.14</v>
      </c>
      <c r="Q1877" s="10">
        <v>40.19</v>
      </c>
      <c r="R1877" s="11">
        <f t="shared" si="115"/>
        <v>0.20094999999999999</v>
      </c>
      <c r="S1877" t="s">
        <v>59</v>
      </c>
      <c r="T1877" t="s">
        <v>66</v>
      </c>
      <c r="U1877" t="s">
        <v>67</v>
      </c>
    </row>
    <row r="1878" spans="1:21" x14ac:dyDescent="0.35">
      <c r="A1878" t="s">
        <v>2007</v>
      </c>
      <c r="B1878" s="5">
        <v>45909</v>
      </c>
      <c r="C1878" t="s">
        <v>56</v>
      </c>
      <c r="D1878" t="s">
        <v>57</v>
      </c>
      <c r="E1878" s="9">
        <v>3</v>
      </c>
      <c r="F1878" s="10">
        <v>40</v>
      </c>
      <c r="G1878" s="11">
        <v>0.02</v>
      </c>
      <c r="H1878" s="10">
        <v>117.6</v>
      </c>
      <c r="I1878" s="9">
        <v>0</v>
      </c>
      <c r="J1878" s="10">
        <v>0</v>
      </c>
      <c r="K1878" s="9">
        <v>3</v>
      </c>
      <c r="L1878" s="10">
        <v>117.6</v>
      </c>
      <c r="M1878" s="10">
        <v>94.53</v>
      </c>
      <c r="N1878" s="10">
        <v>23.07</v>
      </c>
      <c r="O1878" s="11">
        <f t="shared" si="114"/>
        <v>0.19617346938775512</v>
      </c>
      <c r="P1878" s="10">
        <v>11.81</v>
      </c>
      <c r="Q1878" s="10">
        <v>11.26</v>
      </c>
      <c r="R1878" s="11">
        <f t="shared" si="115"/>
        <v>9.5748299319727892E-2</v>
      </c>
      <c r="S1878" t="s">
        <v>75</v>
      </c>
      <c r="T1878" t="s">
        <v>60</v>
      </c>
      <c r="U1878" t="s">
        <v>71</v>
      </c>
    </row>
    <row r="1879" spans="1:21" x14ac:dyDescent="0.35">
      <c r="A1879" t="s">
        <v>2008</v>
      </c>
      <c r="B1879" s="5">
        <v>45914</v>
      </c>
      <c r="C1879" t="s">
        <v>95</v>
      </c>
      <c r="D1879" t="s">
        <v>64</v>
      </c>
      <c r="E1879" s="9">
        <v>3</v>
      </c>
      <c r="F1879" s="10">
        <v>52</v>
      </c>
      <c r="G1879" s="11">
        <v>0.05</v>
      </c>
      <c r="H1879" s="10">
        <v>148.19999999999999</v>
      </c>
      <c r="I1879" s="9">
        <v>0</v>
      </c>
      <c r="J1879" s="10">
        <v>0</v>
      </c>
      <c r="K1879" s="9">
        <v>3</v>
      </c>
      <c r="L1879" s="10">
        <v>148.19999999999999</v>
      </c>
      <c r="M1879" s="10">
        <v>96.86</v>
      </c>
      <c r="N1879" s="10">
        <v>51.34</v>
      </c>
      <c r="O1879" s="11">
        <f t="shared" si="114"/>
        <v>0.34642375168690964</v>
      </c>
      <c r="P1879" s="10">
        <v>10.210000000000001</v>
      </c>
      <c r="Q1879" s="10">
        <v>41.13</v>
      </c>
      <c r="R1879" s="11">
        <f t="shared" si="115"/>
        <v>0.2775303643724697</v>
      </c>
      <c r="S1879" t="s">
        <v>81</v>
      </c>
      <c r="T1879" t="s">
        <v>66</v>
      </c>
      <c r="U1879" t="s">
        <v>71</v>
      </c>
    </row>
    <row r="1880" spans="1:21" x14ac:dyDescent="0.35">
      <c r="A1880" t="s">
        <v>2009</v>
      </c>
      <c r="B1880" s="5">
        <v>45690</v>
      </c>
      <c r="C1880" t="s">
        <v>92</v>
      </c>
      <c r="D1880" t="s">
        <v>79</v>
      </c>
      <c r="E1880" s="9">
        <v>2</v>
      </c>
      <c r="F1880" s="10">
        <v>85</v>
      </c>
      <c r="G1880" s="11">
        <v>0.02</v>
      </c>
      <c r="H1880" s="10">
        <v>166.6</v>
      </c>
      <c r="I1880" s="9">
        <v>0</v>
      </c>
      <c r="J1880" s="10">
        <v>0</v>
      </c>
      <c r="K1880" s="9">
        <v>2</v>
      </c>
      <c r="L1880" s="10">
        <v>166.6</v>
      </c>
      <c r="M1880" s="10">
        <v>111.01</v>
      </c>
      <c r="N1880" s="10">
        <v>55.59</v>
      </c>
      <c r="O1880" s="11">
        <f t="shared" si="114"/>
        <v>0.33367346938775516</v>
      </c>
      <c r="P1880" s="10">
        <v>18.37</v>
      </c>
      <c r="Q1880" s="10">
        <v>37.22</v>
      </c>
      <c r="R1880" s="11">
        <f t="shared" si="115"/>
        <v>0.22340936374549819</v>
      </c>
      <c r="S1880" t="s">
        <v>81</v>
      </c>
      <c r="T1880" t="s">
        <v>66</v>
      </c>
      <c r="U1880" t="s">
        <v>67</v>
      </c>
    </row>
    <row r="1881" spans="1:21" x14ac:dyDescent="0.35">
      <c r="A1881" t="s">
        <v>2010</v>
      </c>
      <c r="B1881" s="5">
        <v>45795</v>
      </c>
      <c r="C1881" t="s">
        <v>114</v>
      </c>
      <c r="D1881" t="s">
        <v>64</v>
      </c>
      <c r="E1881" s="9">
        <v>8</v>
      </c>
      <c r="F1881" s="10">
        <v>420</v>
      </c>
      <c r="G1881" s="11">
        <v>0.1</v>
      </c>
      <c r="H1881" s="10">
        <v>3024</v>
      </c>
      <c r="I1881" s="9">
        <v>0</v>
      </c>
      <c r="J1881" s="10">
        <v>0</v>
      </c>
      <c r="K1881" s="9">
        <v>8</v>
      </c>
      <c r="L1881" s="10">
        <v>3024</v>
      </c>
      <c r="M1881" s="10">
        <v>2038.54</v>
      </c>
      <c r="N1881" s="10">
        <v>985.46</v>
      </c>
      <c r="O1881" s="11">
        <f t="shared" si="114"/>
        <v>0.32587962962962963</v>
      </c>
      <c r="P1881" s="10">
        <v>157.97999999999999</v>
      </c>
      <c r="Q1881" s="10">
        <v>827.48</v>
      </c>
      <c r="R1881" s="11">
        <f t="shared" si="115"/>
        <v>0.27363756613756612</v>
      </c>
      <c r="S1881" t="s">
        <v>81</v>
      </c>
      <c r="T1881" t="s">
        <v>60</v>
      </c>
      <c r="U1881" t="s">
        <v>61</v>
      </c>
    </row>
    <row r="1882" spans="1:21" x14ac:dyDescent="0.35">
      <c r="A1882" t="s">
        <v>2011</v>
      </c>
      <c r="B1882" s="5">
        <v>46007</v>
      </c>
      <c r="C1882" t="s">
        <v>100</v>
      </c>
      <c r="D1882" t="s">
        <v>64</v>
      </c>
      <c r="E1882" s="9">
        <v>2</v>
      </c>
      <c r="F1882" s="10">
        <v>310</v>
      </c>
      <c r="G1882" s="11">
        <v>0</v>
      </c>
      <c r="H1882" s="10">
        <v>620</v>
      </c>
      <c r="I1882" s="9">
        <v>0</v>
      </c>
      <c r="J1882" s="10">
        <v>0</v>
      </c>
      <c r="K1882" s="9">
        <v>2</v>
      </c>
      <c r="L1882" s="10">
        <v>620</v>
      </c>
      <c r="M1882" s="10">
        <v>442.87</v>
      </c>
      <c r="N1882" s="10">
        <v>177.13</v>
      </c>
      <c r="O1882" s="11">
        <f t="shared" si="114"/>
        <v>0.28569354838709676</v>
      </c>
      <c r="P1882" s="10">
        <v>54.31</v>
      </c>
      <c r="Q1882" s="10">
        <v>122.82</v>
      </c>
      <c r="R1882" s="11">
        <f t="shared" si="115"/>
        <v>0.19809677419354838</v>
      </c>
      <c r="S1882" t="s">
        <v>65</v>
      </c>
      <c r="T1882" t="s">
        <v>82</v>
      </c>
      <c r="U1882" t="s">
        <v>71</v>
      </c>
    </row>
    <row r="1883" spans="1:21" x14ac:dyDescent="0.35">
      <c r="A1883" t="s">
        <v>2012</v>
      </c>
      <c r="B1883" s="5">
        <v>45692</v>
      </c>
      <c r="C1883" t="s">
        <v>63</v>
      </c>
      <c r="D1883" t="s">
        <v>64</v>
      </c>
      <c r="E1883" s="9">
        <v>5</v>
      </c>
      <c r="F1883" s="10">
        <v>145</v>
      </c>
      <c r="G1883" s="11">
        <v>0</v>
      </c>
      <c r="H1883" s="10">
        <v>725</v>
      </c>
      <c r="I1883" s="9">
        <v>0</v>
      </c>
      <c r="J1883" s="10">
        <v>0</v>
      </c>
      <c r="K1883" s="9">
        <v>5</v>
      </c>
      <c r="L1883" s="10">
        <v>725</v>
      </c>
      <c r="M1883" s="10">
        <v>553.09</v>
      </c>
      <c r="N1883" s="10">
        <v>171.91</v>
      </c>
      <c r="O1883" s="11">
        <f t="shared" si="114"/>
        <v>0.23711724137931034</v>
      </c>
      <c r="P1883" s="10">
        <v>49.36</v>
      </c>
      <c r="Q1883" s="10">
        <v>122.55</v>
      </c>
      <c r="R1883" s="11">
        <f t="shared" si="115"/>
        <v>0.16903448275862068</v>
      </c>
      <c r="S1883" t="s">
        <v>81</v>
      </c>
      <c r="T1883" t="s">
        <v>82</v>
      </c>
      <c r="U1883" t="s">
        <v>71</v>
      </c>
    </row>
    <row r="1884" spans="1:21" x14ac:dyDescent="0.35">
      <c r="A1884" t="s">
        <v>2013</v>
      </c>
      <c r="B1884" s="5">
        <v>45888</v>
      </c>
      <c r="C1884" t="s">
        <v>73</v>
      </c>
      <c r="D1884" t="s">
        <v>74</v>
      </c>
      <c r="E1884" s="9">
        <v>8</v>
      </c>
      <c r="F1884" s="10">
        <v>280</v>
      </c>
      <c r="G1884" s="11">
        <v>0.15</v>
      </c>
      <c r="H1884" s="10">
        <v>1904</v>
      </c>
      <c r="I1884" s="9">
        <v>0</v>
      </c>
      <c r="J1884" s="10">
        <v>0</v>
      </c>
      <c r="K1884" s="9">
        <v>8</v>
      </c>
      <c r="L1884" s="10">
        <v>1904</v>
      </c>
      <c r="M1884" s="10">
        <v>1571.91</v>
      </c>
      <c r="N1884" s="10">
        <v>332.09</v>
      </c>
      <c r="O1884" s="11">
        <f t="shared" si="114"/>
        <v>0.17441701680672267</v>
      </c>
      <c r="P1884" s="10">
        <v>110.23</v>
      </c>
      <c r="Q1884" s="10">
        <v>221.86</v>
      </c>
      <c r="R1884" s="11">
        <f t="shared" si="115"/>
        <v>0.11652310924369749</v>
      </c>
      <c r="S1884" t="s">
        <v>75</v>
      </c>
      <c r="T1884" t="s">
        <v>66</v>
      </c>
      <c r="U1884" t="s">
        <v>76</v>
      </c>
    </row>
    <row r="1885" spans="1:21" x14ac:dyDescent="0.35">
      <c r="A1885" t="s">
        <v>2014</v>
      </c>
      <c r="B1885" s="5">
        <v>45796</v>
      </c>
      <c r="C1885" t="s">
        <v>90</v>
      </c>
      <c r="D1885" t="s">
        <v>70</v>
      </c>
      <c r="E1885" s="9">
        <v>2</v>
      </c>
      <c r="F1885" s="10">
        <v>38</v>
      </c>
      <c r="G1885" s="11">
        <v>0</v>
      </c>
      <c r="H1885" s="10">
        <v>76</v>
      </c>
      <c r="I1885" s="9">
        <v>0</v>
      </c>
      <c r="J1885" s="10">
        <v>0</v>
      </c>
      <c r="K1885" s="9">
        <v>2</v>
      </c>
      <c r="L1885" s="10">
        <v>76</v>
      </c>
      <c r="M1885" s="10">
        <v>49.46</v>
      </c>
      <c r="N1885" s="10">
        <v>26.54</v>
      </c>
      <c r="O1885" s="11">
        <f t="shared" si="114"/>
        <v>0.34921052631578947</v>
      </c>
      <c r="P1885" s="10">
        <v>7.19</v>
      </c>
      <c r="Q1885" s="10">
        <v>19.350000000000001</v>
      </c>
      <c r="R1885" s="11">
        <f t="shared" si="115"/>
        <v>0.25460526315789478</v>
      </c>
      <c r="S1885" t="s">
        <v>81</v>
      </c>
      <c r="T1885" t="s">
        <v>82</v>
      </c>
      <c r="U1885" t="s">
        <v>71</v>
      </c>
    </row>
    <row r="1886" spans="1:21" x14ac:dyDescent="0.35">
      <c r="A1886" t="s">
        <v>2015</v>
      </c>
      <c r="B1886" s="5">
        <v>45922</v>
      </c>
      <c r="C1886" t="s">
        <v>107</v>
      </c>
      <c r="D1886" t="s">
        <v>74</v>
      </c>
      <c r="E1886" s="9">
        <v>6</v>
      </c>
      <c r="F1886" s="10">
        <v>125</v>
      </c>
      <c r="G1886" s="11">
        <v>0</v>
      </c>
      <c r="H1886" s="10">
        <v>750</v>
      </c>
      <c r="I1886" s="9">
        <v>0</v>
      </c>
      <c r="J1886" s="10">
        <v>0</v>
      </c>
      <c r="K1886" s="9">
        <v>6</v>
      </c>
      <c r="L1886" s="10">
        <v>750</v>
      </c>
      <c r="M1886" s="10">
        <v>504</v>
      </c>
      <c r="N1886" s="10">
        <v>246</v>
      </c>
      <c r="O1886" s="11">
        <f t="shared" si="114"/>
        <v>0.32800000000000001</v>
      </c>
      <c r="P1886" s="10">
        <v>77.73</v>
      </c>
      <c r="Q1886" s="10">
        <v>168.27</v>
      </c>
      <c r="R1886" s="11">
        <f t="shared" si="115"/>
        <v>0.22436</v>
      </c>
      <c r="S1886" t="s">
        <v>81</v>
      </c>
      <c r="T1886" t="s">
        <v>66</v>
      </c>
      <c r="U1886" t="s">
        <v>67</v>
      </c>
    </row>
    <row r="1887" spans="1:21" x14ac:dyDescent="0.35">
      <c r="A1887" t="s">
        <v>2016</v>
      </c>
      <c r="B1887" s="5">
        <v>46019</v>
      </c>
      <c r="C1887" t="s">
        <v>84</v>
      </c>
      <c r="D1887" t="s">
        <v>85</v>
      </c>
      <c r="E1887" s="9">
        <v>1</v>
      </c>
      <c r="F1887" s="10">
        <v>48</v>
      </c>
      <c r="G1887" s="11">
        <v>0</v>
      </c>
      <c r="H1887" s="10">
        <v>48</v>
      </c>
      <c r="I1887" s="9">
        <v>0</v>
      </c>
      <c r="J1887" s="10">
        <v>0</v>
      </c>
      <c r="K1887" s="9">
        <v>1</v>
      </c>
      <c r="L1887" s="10">
        <v>48</v>
      </c>
      <c r="M1887" s="10">
        <v>36.78</v>
      </c>
      <c r="N1887" s="10">
        <v>11.22</v>
      </c>
      <c r="O1887" s="11">
        <f t="shared" si="114"/>
        <v>0.23375000000000001</v>
      </c>
      <c r="P1887" s="10">
        <v>3.45</v>
      </c>
      <c r="Q1887" s="10">
        <v>7.77</v>
      </c>
      <c r="R1887" s="11">
        <f t="shared" si="115"/>
        <v>0.16187499999999999</v>
      </c>
      <c r="S1887" t="s">
        <v>59</v>
      </c>
      <c r="T1887" t="s">
        <v>60</v>
      </c>
      <c r="U1887" t="s">
        <v>76</v>
      </c>
    </row>
    <row r="1888" spans="1:21" x14ac:dyDescent="0.35">
      <c r="A1888" t="s">
        <v>2017</v>
      </c>
      <c r="B1888" s="5">
        <v>45763</v>
      </c>
      <c r="C1888" t="s">
        <v>114</v>
      </c>
      <c r="D1888" t="s">
        <v>64</v>
      </c>
      <c r="E1888" s="9">
        <v>2</v>
      </c>
      <c r="F1888" s="10">
        <v>420</v>
      </c>
      <c r="G1888" s="11">
        <v>0</v>
      </c>
      <c r="H1888" s="10">
        <v>840</v>
      </c>
      <c r="I1888" s="9">
        <v>0</v>
      </c>
      <c r="J1888" s="10">
        <v>0</v>
      </c>
      <c r="K1888" s="9">
        <v>2</v>
      </c>
      <c r="L1888" s="10">
        <v>840</v>
      </c>
      <c r="M1888" s="10">
        <v>719.35</v>
      </c>
      <c r="N1888" s="10">
        <v>120.65</v>
      </c>
      <c r="O1888" s="11">
        <f t="shared" si="114"/>
        <v>0.14363095238095239</v>
      </c>
      <c r="P1888" s="10">
        <v>43.95</v>
      </c>
      <c r="Q1888" s="10">
        <v>76.7</v>
      </c>
      <c r="R1888" s="11">
        <f t="shared" si="115"/>
        <v>9.1309523809523813E-2</v>
      </c>
      <c r="S1888" t="s">
        <v>59</v>
      </c>
      <c r="T1888" t="s">
        <v>66</v>
      </c>
      <c r="U1888" t="s">
        <v>71</v>
      </c>
    </row>
    <row r="1889" spans="1:21" x14ac:dyDescent="0.35">
      <c r="A1889" t="s">
        <v>2018</v>
      </c>
      <c r="B1889" s="5">
        <v>45991</v>
      </c>
      <c r="C1889" t="s">
        <v>73</v>
      </c>
      <c r="D1889" t="s">
        <v>74</v>
      </c>
      <c r="E1889" s="9">
        <v>2</v>
      </c>
      <c r="F1889" s="10">
        <v>280</v>
      </c>
      <c r="G1889" s="11">
        <v>0</v>
      </c>
      <c r="H1889" s="10">
        <v>560</v>
      </c>
      <c r="I1889" s="9">
        <v>0</v>
      </c>
      <c r="J1889" s="10">
        <v>0</v>
      </c>
      <c r="K1889" s="9">
        <v>2</v>
      </c>
      <c r="L1889" s="10">
        <v>560</v>
      </c>
      <c r="M1889" s="10">
        <v>457.32</v>
      </c>
      <c r="N1889" s="10">
        <v>102.68</v>
      </c>
      <c r="O1889" s="11">
        <f t="shared" si="114"/>
        <v>0.18335714285714286</v>
      </c>
      <c r="P1889" s="10">
        <v>71.98</v>
      </c>
      <c r="Q1889" s="10">
        <v>30.7</v>
      </c>
      <c r="R1889" s="11">
        <f t="shared" si="115"/>
        <v>5.482142857142857E-2</v>
      </c>
      <c r="S1889" t="s">
        <v>75</v>
      </c>
      <c r="T1889" t="s">
        <v>86</v>
      </c>
      <c r="U1889" t="s">
        <v>76</v>
      </c>
    </row>
    <row r="1890" spans="1:21" x14ac:dyDescent="0.35">
      <c r="A1890" t="s">
        <v>2019</v>
      </c>
      <c r="B1890" s="5">
        <v>45727</v>
      </c>
      <c r="C1890" t="s">
        <v>88</v>
      </c>
      <c r="D1890" t="s">
        <v>57</v>
      </c>
      <c r="E1890" s="9">
        <v>10</v>
      </c>
      <c r="F1890" s="10">
        <v>30</v>
      </c>
      <c r="G1890" s="11">
        <v>0.05</v>
      </c>
      <c r="H1890" s="10">
        <v>285</v>
      </c>
      <c r="I1890" s="9">
        <v>0</v>
      </c>
      <c r="J1890" s="10">
        <v>0</v>
      </c>
      <c r="K1890" s="9">
        <v>10</v>
      </c>
      <c r="L1890" s="10">
        <v>285</v>
      </c>
      <c r="M1890" s="10">
        <v>228.8</v>
      </c>
      <c r="N1890" s="10">
        <v>56.2</v>
      </c>
      <c r="O1890" s="11">
        <f t="shared" si="114"/>
        <v>0.19719298245614036</v>
      </c>
      <c r="P1890" s="10">
        <v>16.84</v>
      </c>
      <c r="Q1890" s="10">
        <v>39.36</v>
      </c>
      <c r="R1890" s="11">
        <f t="shared" si="115"/>
        <v>0.13810526315789473</v>
      </c>
      <c r="S1890" t="s">
        <v>75</v>
      </c>
      <c r="T1890" t="s">
        <v>60</v>
      </c>
      <c r="U1890" t="s">
        <v>71</v>
      </c>
    </row>
    <row r="1891" spans="1:21" x14ac:dyDescent="0.35">
      <c r="A1891" t="s">
        <v>2020</v>
      </c>
      <c r="B1891" s="5">
        <v>45840</v>
      </c>
      <c r="C1891" t="s">
        <v>107</v>
      </c>
      <c r="D1891" t="s">
        <v>74</v>
      </c>
      <c r="E1891" s="9">
        <v>2</v>
      </c>
      <c r="F1891" s="10">
        <v>125</v>
      </c>
      <c r="G1891" s="11">
        <v>0.05</v>
      </c>
      <c r="H1891" s="10">
        <v>237.5</v>
      </c>
      <c r="I1891" s="9">
        <v>0</v>
      </c>
      <c r="J1891" s="10">
        <v>0</v>
      </c>
      <c r="K1891" s="9">
        <v>2</v>
      </c>
      <c r="L1891" s="10">
        <v>237.5</v>
      </c>
      <c r="M1891" s="10">
        <v>175.18</v>
      </c>
      <c r="N1891" s="10">
        <v>62.32</v>
      </c>
      <c r="O1891" s="11">
        <f t="shared" si="114"/>
        <v>0.26240000000000002</v>
      </c>
      <c r="P1891" s="10">
        <v>19.61</v>
      </c>
      <c r="Q1891" s="10">
        <v>42.71</v>
      </c>
      <c r="R1891" s="11">
        <f t="shared" si="115"/>
        <v>0.17983157894736843</v>
      </c>
      <c r="S1891" t="s">
        <v>75</v>
      </c>
      <c r="T1891" t="s">
        <v>66</v>
      </c>
      <c r="U1891" t="s">
        <v>71</v>
      </c>
    </row>
    <row r="1892" spans="1:21" x14ac:dyDescent="0.35">
      <c r="A1892" t="s">
        <v>2021</v>
      </c>
      <c r="B1892" s="5">
        <v>45862</v>
      </c>
      <c r="C1892" t="s">
        <v>90</v>
      </c>
      <c r="D1892" t="s">
        <v>70</v>
      </c>
      <c r="E1892" s="9">
        <v>3</v>
      </c>
      <c r="F1892" s="10">
        <v>38</v>
      </c>
      <c r="G1892" s="11">
        <v>0</v>
      </c>
      <c r="H1892" s="10">
        <v>114</v>
      </c>
      <c r="I1892" s="9">
        <v>0</v>
      </c>
      <c r="J1892" s="10">
        <v>0</v>
      </c>
      <c r="K1892" s="9">
        <v>3</v>
      </c>
      <c r="L1892" s="10">
        <v>114</v>
      </c>
      <c r="M1892" s="10">
        <v>82.97</v>
      </c>
      <c r="N1892" s="10">
        <v>31.03</v>
      </c>
      <c r="O1892" s="11">
        <f t="shared" si="114"/>
        <v>0.27219298245614038</v>
      </c>
      <c r="P1892" s="10">
        <v>8.42</v>
      </c>
      <c r="Q1892" s="10">
        <v>22.61</v>
      </c>
      <c r="R1892" s="11">
        <f t="shared" si="115"/>
        <v>0.19833333333333333</v>
      </c>
      <c r="S1892" t="s">
        <v>59</v>
      </c>
      <c r="T1892" t="s">
        <v>86</v>
      </c>
      <c r="U1892" t="s">
        <v>76</v>
      </c>
    </row>
    <row r="1893" spans="1:21" x14ac:dyDescent="0.35">
      <c r="A1893" t="s">
        <v>2022</v>
      </c>
      <c r="B1893" s="5">
        <v>45785</v>
      </c>
      <c r="C1893" t="s">
        <v>78</v>
      </c>
      <c r="D1893" t="s">
        <v>79</v>
      </c>
      <c r="E1893" s="9">
        <v>2</v>
      </c>
      <c r="F1893" s="10">
        <v>120</v>
      </c>
      <c r="G1893" s="11">
        <v>0</v>
      </c>
      <c r="H1893" s="10">
        <v>240</v>
      </c>
      <c r="I1893" s="9">
        <v>0</v>
      </c>
      <c r="J1893" s="10">
        <v>0</v>
      </c>
      <c r="K1893" s="9">
        <v>2</v>
      </c>
      <c r="L1893" s="10">
        <v>240</v>
      </c>
      <c r="M1893" s="10">
        <v>206.3</v>
      </c>
      <c r="N1893" s="10">
        <v>33.700000000000003</v>
      </c>
      <c r="O1893" s="11">
        <f t="shared" si="114"/>
        <v>0.14041666666666669</v>
      </c>
      <c r="P1893" s="10">
        <v>27.46</v>
      </c>
      <c r="Q1893" s="10">
        <v>6.24</v>
      </c>
      <c r="R1893" s="11">
        <f t="shared" si="115"/>
        <v>2.6000000000000002E-2</v>
      </c>
      <c r="S1893" t="s">
        <v>59</v>
      </c>
      <c r="T1893" t="s">
        <v>82</v>
      </c>
      <c r="U1893" t="s">
        <v>76</v>
      </c>
    </row>
    <row r="1894" spans="1:21" x14ac:dyDescent="0.35">
      <c r="A1894" t="s">
        <v>2023</v>
      </c>
      <c r="B1894" s="5">
        <v>45877</v>
      </c>
      <c r="C1894" t="s">
        <v>117</v>
      </c>
      <c r="D1894" t="s">
        <v>74</v>
      </c>
      <c r="E1894" s="9">
        <v>2</v>
      </c>
      <c r="F1894" s="10">
        <v>95</v>
      </c>
      <c r="G1894" s="11">
        <v>0.05</v>
      </c>
      <c r="H1894" s="10">
        <v>180.5</v>
      </c>
      <c r="I1894" s="9">
        <v>0</v>
      </c>
      <c r="J1894" s="10">
        <v>0</v>
      </c>
      <c r="K1894" s="9">
        <v>2</v>
      </c>
      <c r="L1894" s="10">
        <v>180.5</v>
      </c>
      <c r="M1894" s="10">
        <v>136.28</v>
      </c>
      <c r="N1894" s="10">
        <v>44.22</v>
      </c>
      <c r="O1894" s="11">
        <f t="shared" si="114"/>
        <v>0.24498614958448753</v>
      </c>
      <c r="P1894" s="10">
        <v>11.43</v>
      </c>
      <c r="Q1894" s="10">
        <v>32.79</v>
      </c>
      <c r="R1894" s="11">
        <f t="shared" si="115"/>
        <v>0.18166204986149584</v>
      </c>
      <c r="S1894" t="s">
        <v>59</v>
      </c>
      <c r="T1894" t="s">
        <v>60</v>
      </c>
      <c r="U1894" t="s">
        <v>61</v>
      </c>
    </row>
    <row r="1895" spans="1:21" x14ac:dyDescent="0.35">
      <c r="A1895" t="s">
        <v>2024</v>
      </c>
      <c r="B1895" s="5">
        <v>45934</v>
      </c>
      <c r="C1895" t="s">
        <v>97</v>
      </c>
      <c r="D1895" t="s">
        <v>57</v>
      </c>
      <c r="E1895" s="9">
        <v>1</v>
      </c>
      <c r="F1895" s="10">
        <v>55</v>
      </c>
      <c r="G1895" s="11">
        <v>0</v>
      </c>
      <c r="H1895" s="10">
        <v>55</v>
      </c>
      <c r="I1895" s="9">
        <v>0</v>
      </c>
      <c r="J1895" s="10">
        <v>0</v>
      </c>
      <c r="K1895" s="9">
        <v>1</v>
      </c>
      <c r="L1895" s="10">
        <v>55</v>
      </c>
      <c r="M1895" s="10">
        <v>36.159999999999997</v>
      </c>
      <c r="N1895" s="10">
        <v>18.84</v>
      </c>
      <c r="O1895" s="11">
        <f t="shared" si="114"/>
        <v>0.34254545454545454</v>
      </c>
      <c r="P1895" s="10">
        <v>5.91</v>
      </c>
      <c r="Q1895" s="10">
        <v>12.93</v>
      </c>
      <c r="R1895" s="11">
        <f t="shared" si="115"/>
        <v>0.23509090909090907</v>
      </c>
      <c r="S1895" t="s">
        <v>81</v>
      </c>
      <c r="T1895" t="s">
        <v>86</v>
      </c>
      <c r="U1895" t="s">
        <v>71</v>
      </c>
    </row>
    <row r="1896" spans="1:21" x14ac:dyDescent="0.35">
      <c r="A1896" t="s">
        <v>2025</v>
      </c>
      <c r="B1896" s="5">
        <v>45693</v>
      </c>
      <c r="C1896" t="s">
        <v>264</v>
      </c>
      <c r="D1896" t="s">
        <v>85</v>
      </c>
      <c r="E1896" s="9">
        <v>2</v>
      </c>
      <c r="F1896" s="10">
        <v>20</v>
      </c>
      <c r="G1896" s="11">
        <v>0</v>
      </c>
      <c r="H1896" s="10">
        <v>40</v>
      </c>
      <c r="I1896" s="9">
        <v>0</v>
      </c>
      <c r="J1896" s="10">
        <v>0</v>
      </c>
      <c r="K1896" s="9">
        <v>2</v>
      </c>
      <c r="L1896" s="10">
        <v>40</v>
      </c>
      <c r="M1896" s="10">
        <v>28.44</v>
      </c>
      <c r="N1896" s="10">
        <v>11.56</v>
      </c>
      <c r="O1896" s="11">
        <f t="shared" ref="O1896:O1912" si="116">N1896/L1896</f>
        <v>0.28900000000000003</v>
      </c>
      <c r="P1896" s="10">
        <v>4.92</v>
      </c>
      <c r="Q1896" s="10">
        <v>6.64</v>
      </c>
      <c r="R1896" s="11">
        <f t="shared" ref="R1896:R1912" si="117">Q1896/L1896</f>
        <v>0.16599999999999998</v>
      </c>
      <c r="S1896" t="s">
        <v>59</v>
      </c>
      <c r="T1896" t="s">
        <v>82</v>
      </c>
      <c r="U1896" t="s">
        <v>61</v>
      </c>
    </row>
    <row r="1897" spans="1:21" x14ac:dyDescent="0.35">
      <c r="A1897" t="s">
        <v>2026</v>
      </c>
      <c r="B1897" s="5">
        <v>45776</v>
      </c>
      <c r="C1897" t="s">
        <v>63</v>
      </c>
      <c r="D1897" t="s">
        <v>64</v>
      </c>
      <c r="E1897" s="9">
        <v>1</v>
      </c>
      <c r="F1897" s="10">
        <v>145</v>
      </c>
      <c r="G1897" s="11">
        <v>0</v>
      </c>
      <c r="H1897" s="10">
        <v>145</v>
      </c>
      <c r="I1897" s="9">
        <v>0</v>
      </c>
      <c r="J1897" s="10">
        <v>0</v>
      </c>
      <c r="K1897" s="9">
        <v>1</v>
      </c>
      <c r="L1897" s="10">
        <v>145</v>
      </c>
      <c r="M1897" s="10">
        <v>97.84</v>
      </c>
      <c r="N1897" s="10">
        <v>47.16</v>
      </c>
      <c r="O1897" s="11">
        <f t="shared" si="116"/>
        <v>0.3252413793103448</v>
      </c>
      <c r="P1897" s="10">
        <v>14.39</v>
      </c>
      <c r="Q1897" s="10">
        <v>32.770000000000003</v>
      </c>
      <c r="R1897" s="11">
        <f t="shared" si="117"/>
        <v>0.22600000000000003</v>
      </c>
      <c r="S1897" t="s">
        <v>75</v>
      </c>
      <c r="T1897" t="s">
        <v>60</v>
      </c>
      <c r="U1897" t="s">
        <v>76</v>
      </c>
    </row>
    <row r="1898" spans="1:21" x14ac:dyDescent="0.35">
      <c r="A1898" t="s">
        <v>2027</v>
      </c>
      <c r="B1898" s="5">
        <v>45977</v>
      </c>
      <c r="C1898" t="s">
        <v>69</v>
      </c>
      <c r="D1898" t="s">
        <v>70</v>
      </c>
      <c r="E1898" s="9">
        <v>6</v>
      </c>
      <c r="F1898" s="10">
        <v>210</v>
      </c>
      <c r="G1898" s="11">
        <v>0</v>
      </c>
      <c r="H1898" s="10">
        <v>1260</v>
      </c>
      <c r="I1898" s="9">
        <v>0</v>
      </c>
      <c r="J1898" s="10">
        <v>0</v>
      </c>
      <c r="K1898" s="9">
        <v>6</v>
      </c>
      <c r="L1898" s="10">
        <v>1260</v>
      </c>
      <c r="M1898" s="10">
        <v>1040.5999999999999</v>
      </c>
      <c r="N1898" s="10">
        <v>219.4</v>
      </c>
      <c r="O1898" s="11">
        <f t="shared" si="116"/>
        <v>0.17412698412698413</v>
      </c>
      <c r="P1898" s="10">
        <v>116.07</v>
      </c>
      <c r="Q1898" s="10">
        <v>103.33</v>
      </c>
      <c r="R1898" s="11">
        <f t="shared" si="117"/>
        <v>8.2007936507936502E-2</v>
      </c>
      <c r="S1898" t="s">
        <v>65</v>
      </c>
      <c r="T1898" t="s">
        <v>86</v>
      </c>
      <c r="U1898" t="s">
        <v>71</v>
      </c>
    </row>
    <row r="1899" spans="1:21" x14ac:dyDescent="0.35">
      <c r="A1899" t="s">
        <v>2028</v>
      </c>
      <c r="B1899" s="5">
        <v>45747</v>
      </c>
      <c r="C1899" t="s">
        <v>63</v>
      </c>
      <c r="D1899" t="s">
        <v>64</v>
      </c>
      <c r="E1899" s="9">
        <v>2</v>
      </c>
      <c r="F1899" s="10">
        <v>145</v>
      </c>
      <c r="G1899" s="11">
        <v>0.05</v>
      </c>
      <c r="H1899" s="10">
        <v>275.5</v>
      </c>
      <c r="I1899" s="9">
        <v>0</v>
      </c>
      <c r="J1899" s="10">
        <v>0</v>
      </c>
      <c r="K1899" s="9">
        <v>2</v>
      </c>
      <c r="L1899" s="10">
        <v>275.5</v>
      </c>
      <c r="M1899" s="10">
        <v>213.06</v>
      </c>
      <c r="N1899" s="10">
        <v>62.44</v>
      </c>
      <c r="O1899" s="11">
        <f t="shared" si="116"/>
        <v>0.22664246823956441</v>
      </c>
      <c r="P1899" s="10">
        <v>35.19</v>
      </c>
      <c r="Q1899" s="10">
        <v>27.25</v>
      </c>
      <c r="R1899" s="11">
        <f t="shared" si="117"/>
        <v>9.8911070780399277E-2</v>
      </c>
      <c r="S1899" t="s">
        <v>65</v>
      </c>
      <c r="T1899" t="s">
        <v>86</v>
      </c>
      <c r="U1899" t="s">
        <v>61</v>
      </c>
    </row>
    <row r="1900" spans="1:21" x14ac:dyDescent="0.35">
      <c r="A1900" t="s">
        <v>2029</v>
      </c>
      <c r="B1900" s="5">
        <v>46009</v>
      </c>
      <c r="C1900" t="s">
        <v>104</v>
      </c>
      <c r="D1900" t="s">
        <v>105</v>
      </c>
      <c r="E1900" s="9">
        <v>1</v>
      </c>
      <c r="F1900" s="10">
        <v>65</v>
      </c>
      <c r="G1900" s="11">
        <v>0</v>
      </c>
      <c r="H1900" s="10">
        <v>65</v>
      </c>
      <c r="I1900" s="9">
        <v>0</v>
      </c>
      <c r="J1900" s="10">
        <v>0</v>
      </c>
      <c r="K1900" s="9">
        <v>1</v>
      </c>
      <c r="L1900" s="10">
        <v>65</v>
      </c>
      <c r="M1900" s="10">
        <v>53.25</v>
      </c>
      <c r="N1900" s="10">
        <v>11.75</v>
      </c>
      <c r="O1900" s="11">
        <f t="shared" si="116"/>
        <v>0.18076923076923077</v>
      </c>
      <c r="P1900" s="10">
        <v>4.22</v>
      </c>
      <c r="Q1900" s="10">
        <v>7.53</v>
      </c>
      <c r="R1900" s="11">
        <f t="shared" si="117"/>
        <v>0.11584615384615385</v>
      </c>
      <c r="S1900" t="s">
        <v>59</v>
      </c>
      <c r="T1900" t="s">
        <v>66</v>
      </c>
      <c r="U1900" t="s">
        <v>61</v>
      </c>
    </row>
    <row r="1901" spans="1:21" x14ac:dyDescent="0.35">
      <c r="A1901" t="s">
        <v>2030</v>
      </c>
      <c r="B1901" s="5">
        <v>45673</v>
      </c>
      <c r="C1901" t="s">
        <v>92</v>
      </c>
      <c r="D1901" t="s">
        <v>79</v>
      </c>
      <c r="E1901" s="9">
        <v>10</v>
      </c>
      <c r="F1901" s="10">
        <v>85</v>
      </c>
      <c r="G1901" s="11">
        <v>0.15</v>
      </c>
      <c r="H1901" s="10">
        <v>722.5</v>
      </c>
      <c r="I1901" s="9">
        <v>0</v>
      </c>
      <c r="J1901" s="10">
        <v>0</v>
      </c>
      <c r="K1901" s="9">
        <v>10</v>
      </c>
      <c r="L1901" s="10">
        <v>722.5</v>
      </c>
      <c r="M1901" s="10">
        <v>614.72</v>
      </c>
      <c r="N1901" s="10">
        <v>107.78</v>
      </c>
      <c r="O1901" s="11">
        <f t="shared" si="116"/>
        <v>0.1491764705882353</v>
      </c>
      <c r="P1901" s="10">
        <v>81.96</v>
      </c>
      <c r="Q1901" s="10">
        <v>25.82</v>
      </c>
      <c r="R1901" s="11">
        <f t="shared" si="117"/>
        <v>3.5737024221453285E-2</v>
      </c>
      <c r="S1901" t="s">
        <v>75</v>
      </c>
      <c r="T1901" t="s">
        <v>66</v>
      </c>
      <c r="U1901" t="s">
        <v>67</v>
      </c>
    </row>
    <row r="1902" spans="1:21" x14ac:dyDescent="0.35">
      <c r="A1902" t="s">
        <v>2031</v>
      </c>
      <c r="B1902" s="5">
        <v>45778</v>
      </c>
      <c r="C1902" t="s">
        <v>92</v>
      </c>
      <c r="D1902" t="s">
        <v>79</v>
      </c>
      <c r="E1902" s="9">
        <v>3</v>
      </c>
      <c r="F1902" s="10">
        <v>85</v>
      </c>
      <c r="G1902" s="11">
        <v>0</v>
      </c>
      <c r="H1902" s="10">
        <v>255</v>
      </c>
      <c r="I1902" s="9">
        <v>0</v>
      </c>
      <c r="J1902" s="10">
        <v>0</v>
      </c>
      <c r="K1902" s="9">
        <v>3</v>
      </c>
      <c r="L1902" s="10">
        <v>255</v>
      </c>
      <c r="M1902" s="10">
        <v>216.52</v>
      </c>
      <c r="N1902" s="10">
        <v>38.479999999999997</v>
      </c>
      <c r="O1902" s="11">
        <f t="shared" si="116"/>
        <v>0.15090196078431373</v>
      </c>
      <c r="P1902" s="10">
        <v>16.61</v>
      </c>
      <c r="Q1902" s="10">
        <v>21.87</v>
      </c>
      <c r="R1902" s="11">
        <f t="shared" si="117"/>
        <v>8.5764705882352951E-2</v>
      </c>
      <c r="S1902" t="s">
        <v>81</v>
      </c>
      <c r="T1902" t="s">
        <v>86</v>
      </c>
      <c r="U1902" t="s">
        <v>67</v>
      </c>
    </row>
    <row r="1903" spans="1:21" x14ac:dyDescent="0.35">
      <c r="A1903" t="s">
        <v>2032</v>
      </c>
      <c r="B1903" s="5">
        <v>45838</v>
      </c>
      <c r="C1903" t="s">
        <v>264</v>
      </c>
      <c r="D1903" t="s">
        <v>85</v>
      </c>
      <c r="E1903" s="9">
        <v>2</v>
      </c>
      <c r="F1903" s="10">
        <v>20</v>
      </c>
      <c r="G1903" s="11">
        <v>0</v>
      </c>
      <c r="H1903" s="10">
        <v>40</v>
      </c>
      <c r="I1903" s="9">
        <v>0</v>
      </c>
      <c r="J1903" s="10">
        <v>0</v>
      </c>
      <c r="K1903" s="9">
        <v>2</v>
      </c>
      <c r="L1903" s="10">
        <v>40</v>
      </c>
      <c r="M1903" s="10">
        <v>29.76</v>
      </c>
      <c r="N1903" s="10">
        <v>10.24</v>
      </c>
      <c r="O1903" s="11">
        <f t="shared" si="116"/>
        <v>0.25600000000000001</v>
      </c>
      <c r="P1903" s="10">
        <v>4.43</v>
      </c>
      <c r="Q1903" s="10">
        <v>5.81</v>
      </c>
      <c r="R1903" s="11">
        <f t="shared" si="117"/>
        <v>0.14524999999999999</v>
      </c>
      <c r="S1903" t="s">
        <v>81</v>
      </c>
      <c r="T1903" t="s">
        <v>82</v>
      </c>
      <c r="U1903" t="s">
        <v>71</v>
      </c>
    </row>
    <row r="1904" spans="1:21" x14ac:dyDescent="0.35">
      <c r="A1904" t="s">
        <v>2033</v>
      </c>
      <c r="B1904" s="5">
        <v>45741</v>
      </c>
      <c r="C1904" t="s">
        <v>73</v>
      </c>
      <c r="D1904" t="s">
        <v>74</v>
      </c>
      <c r="E1904" s="9">
        <v>1</v>
      </c>
      <c r="F1904" s="10">
        <v>280</v>
      </c>
      <c r="G1904" s="11">
        <v>0.05</v>
      </c>
      <c r="H1904" s="10">
        <v>266</v>
      </c>
      <c r="I1904" s="9">
        <v>0</v>
      </c>
      <c r="J1904" s="10">
        <v>0</v>
      </c>
      <c r="K1904" s="9">
        <v>1</v>
      </c>
      <c r="L1904" s="10">
        <v>266</v>
      </c>
      <c r="M1904" s="10">
        <v>205.89</v>
      </c>
      <c r="N1904" s="10">
        <v>60.11</v>
      </c>
      <c r="O1904" s="11">
        <f t="shared" si="116"/>
        <v>0.22597744360902255</v>
      </c>
      <c r="P1904" s="10">
        <v>31.01</v>
      </c>
      <c r="Q1904" s="10">
        <v>29.1</v>
      </c>
      <c r="R1904" s="11">
        <f t="shared" si="117"/>
        <v>0.10939849624060151</v>
      </c>
      <c r="S1904" t="s">
        <v>75</v>
      </c>
      <c r="T1904" t="s">
        <v>82</v>
      </c>
      <c r="U1904" t="s">
        <v>61</v>
      </c>
    </row>
    <row r="1905" spans="1:21" x14ac:dyDescent="0.35">
      <c r="A1905" t="s">
        <v>2034</v>
      </c>
      <c r="B1905" s="5">
        <v>45677</v>
      </c>
      <c r="C1905" t="s">
        <v>69</v>
      </c>
      <c r="D1905" t="s">
        <v>70</v>
      </c>
      <c r="E1905" s="9">
        <v>1</v>
      </c>
      <c r="F1905" s="10">
        <v>210</v>
      </c>
      <c r="G1905" s="11">
        <v>0</v>
      </c>
      <c r="H1905" s="10">
        <v>210</v>
      </c>
      <c r="I1905" s="9">
        <v>0</v>
      </c>
      <c r="J1905" s="10">
        <v>0</v>
      </c>
      <c r="K1905" s="9">
        <v>1</v>
      </c>
      <c r="L1905" s="10">
        <v>210</v>
      </c>
      <c r="M1905" s="10">
        <v>167.41</v>
      </c>
      <c r="N1905" s="10">
        <v>42.59</v>
      </c>
      <c r="O1905" s="11">
        <f t="shared" si="116"/>
        <v>0.20280952380952383</v>
      </c>
      <c r="P1905" s="10">
        <v>17.38</v>
      </c>
      <c r="Q1905" s="10">
        <v>25.21</v>
      </c>
      <c r="R1905" s="11">
        <f t="shared" si="117"/>
        <v>0.12004761904761906</v>
      </c>
      <c r="S1905" t="s">
        <v>59</v>
      </c>
      <c r="T1905" t="s">
        <v>82</v>
      </c>
      <c r="U1905" t="s">
        <v>76</v>
      </c>
    </row>
    <row r="1906" spans="1:21" x14ac:dyDescent="0.35">
      <c r="A1906" t="s">
        <v>2035</v>
      </c>
      <c r="B1906" s="5">
        <v>45667</v>
      </c>
      <c r="C1906" t="s">
        <v>264</v>
      </c>
      <c r="D1906" t="s">
        <v>85</v>
      </c>
      <c r="E1906" s="9">
        <v>5</v>
      </c>
      <c r="F1906" s="10">
        <v>20</v>
      </c>
      <c r="G1906" s="11">
        <v>0</v>
      </c>
      <c r="H1906" s="10">
        <v>100</v>
      </c>
      <c r="I1906" s="9">
        <v>0</v>
      </c>
      <c r="J1906" s="10">
        <v>0</v>
      </c>
      <c r="K1906" s="9">
        <v>5</v>
      </c>
      <c r="L1906" s="10">
        <v>100</v>
      </c>
      <c r="M1906" s="10">
        <v>73.66</v>
      </c>
      <c r="N1906" s="10">
        <v>26.34</v>
      </c>
      <c r="O1906" s="11">
        <f t="shared" si="116"/>
        <v>0.26340000000000002</v>
      </c>
      <c r="P1906" s="10">
        <v>10.199999999999999</v>
      </c>
      <c r="Q1906" s="10">
        <v>16.14</v>
      </c>
      <c r="R1906" s="11">
        <f t="shared" si="117"/>
        <v>0.16140000000000002</v>
      </c>
      <c r="S1906" t="s">
        <v>75</v>
      </c>
      <c r="T1906" t="s">
        <v>82</v>
      </c>
      <c r="U1906" t="s">
        <v>71</v>
      </c>
    </row>
    <row r="1907" spans="1:21" x14ac:dyDescent="0.35">
      <c r="A1907" t="s">
        <v>2036</v>
      </c>
      <c r="B1907" s="5">
        <v>45744</v>
      </c>
      <c r="C1907" t="s">
        <v>264</v>
      </c>
      <c r="D1907" t="s">
        <v>85</v>
      </c>
      <c r="E1907" s="9">
        <v>2</v>
      </c>
      <c r="F1907" s="10">
        <v>20</v>
      </c>
      <c r="G1907" s="11">
        <v>0</v>
      </c>
      <c r="H1907" s="10">
        <v>40</v>
      </c>
      <c r="I1907" s="9">
        <v>0</v>
      </c>
      <c r="J1907" s="10">
        <v>0</v>
      </c>
      <c r="K1907" s="9">
        <v>2</v>
      </c>
      <c r="L1907" s="10">
        <v>40</v>
      </c>
      <c r="M1907" s="10">
        <v>25.64</v>
      </c>
      <c r="N1907" s="10">
        <v>14.36</v>
      </c>
      <c r="O1907" s="11">
        <f t="shared" si="116"/>
        <v>0.35899999999999999</v>
      </c>
      <c r="P1907" s="10">
        <v>3.29</v>
      </c>
      <c r="Q1907" s="10">
        <v>11.07</v>
      </c>
      <c r="R1907" s="11">
        <f t="shared" si="117"/>
        <v>0.27675</v>
      </c>
      <c r="S1907" t="s">
        <v>75</v>
      </c>
      <c r="T1907" t="s">
        <v>66</v>
      </c>
      <c r="U1907" t="s">
        <v>61</v>
      </c>
    </row>
    <row r="1908" spans="1:21" x14ac:dyDescent="0.35">
      <c r="A1908" t="s">
        <v>2037</v>
      </c>
      <c r="B1908" s="5">
        <v>45949</v>
      </c>
      <c r="C1908" t="s">
        <v>114</v>
      </c>
      <c r="D1908" t="s">
        <v>64</v>
      </c>
      <c r="E1908" s="9">
        <v>4</v>
      </c>
      <c r="F1908" s="10">
        <v>420</v>
      </c>
      <c r="G1908" s="11">
        <v>0</v>
      </c>
      <c r="H1908" s="10">
        <v>1680</v>
      </c>
      <c r="I1908" s="9">
        <v>0</v>
      </c>
      <c r="J1908" s="10">
        <v>0</v>
      </c>
      <c r="K1908" s="9">
        <v>4</v>
      </c>
      <c r="L1908" s="10">
        <v>1680</v>
      </c>
      <c r="M1908" s="10">
        <v>1402.17</v>
      </c>
      <c r="N1908" s="10">
        <v>277.83</v>
      </c>
      <c r="O1908" s="11">
        <f t="shared" si="116"/>
        <v>0.16537499999999999</v>
      </c>
      <c r="P1908" s="10">
        <v>116.47</v>
      </c>
      <c r="Q1908" s="10">
        <v>161.36000000000001</v>
      </c>
      <c r="R1908" s="11">
        <f t="shared" si="117"/>
        <v>9.6047619047619062E-2</v>
      </c>
      <c r="S1908" t="s">
        <v>75</v>
      </c>
      <c r="T1908" t="s">
        <v>86</v>
      </c>
      <c r="U1908" t="s">
        <v>71</v>
      </c>
    </row>
    <row r="1909" spans="1:21" x14ac:dyDescent="0.35">
      <c r="A1909" t="s">
        <v>2038</v>
      </c>
      <c r="B1909" s="5">
        <v>45897</v>
      </c>
      <c r="C1909" t="s">
        <v>125</v>
      </c>
      <c r="D1909" t="s">
        <v>85</v>
      </c>
      <c r="E1909" s="9">
        <v>4</v>
      </c>
      <c r="F1909" s="10">
        <v>125</v>
      </c>
      <c r="G1909" s="11">
        <v>0</v>
      </c>
      <c r="H1909" s="10">
        <v>500</v>
      </c>
      <c r="I1909" s="9">
        <v>0</v>
      </c>
      <c r="J1909" s="10">
        <v>0</v>
      </c>
      <c r="K1909" s="9">
        <v>4</v>
      </c>
      <c r="L1909" s="10">
        <v>500</v>
      </c>
      <c r="M1909" s="10">
        <v>428.75</v>
      </c>
      <c r="N1909" s="10">
        <v>71.25</v>
      </c>
      <c r="O1909" s="11">
        <f t="shared" si="116"/>
        <v>0.14249999999999999</v>
      </c>
      <c r="P1909" s="10">
        <v>34.130000000000003</v>
      </c>
      <c r="Q1909" s="10">
        <v>37.119999999999997</v>
      </c>
      <c r="R1909" s="11">
        <f t="shared" si="117"/>
        <v>7.424E-2</v>
      </c>
      <c r="S1909" t="s">
        <v>81</v>
      </c>
      <c r="T1909" t="s">
        <v>82</v>
      </c>
      <c r="U1909" t="s">
        <v>61</v>
      </c>
    </row>
    <row r="1910" spans="1:21" x14ac:dyDescent="0.35">
      <c r="A1910" t="s">
        <v>2039</v>
      </c>
      <c r="B1910" s="5">
        <v>45789</v>
      </c>
      <c r="C1910" t="s">
        <v>78</v>
      </c>
      <c r="D1910" t="s">
        <v>79</v>
      </c>
      <c r="E1910" s="9">
        <v>1</v>
      </c>
      <c r="F1910" s="10">
        <v>120</v>
      </c>
      <c r="G1910" s="11">
        <v>0.15</v>
      </c>
      <c r="H1910" s="10">
        <v>102</v>
      </c>
      <c r="I1910" s="9">
        <v>0</v>
      </c>
      <c r="J1910" s="10">
        <v>0</v>
      </c>
      <c r="K1910" s="9">
        <v>1</v>
      </c>
      <c r="L1910" s="10">
        <v>102</v>
      </c>
      <c r="M1910" s="10">
        <v>80.34</v>
      </c>
      <c r="N1910" s="10">
        <v>21.66</v>
      </c>
      <c r="O1910" s="11">
        <f t="shared" si="116"/>
        <v>0.21235294117647058</v>
      </c>
      <c r="P1910" s="10">
        <v>5.2</v>
      </c>
      <c r="Q1910" s="10">
        <v>16.46</v>
      </c>
      <c r="R1910" s="11">
        <f t="shared" si="117"/>
        <v>0.16137254901960785</v>
      </c>
      <c r="S1910" t="s">
        <v>75</v>
      </c>
      <c r="T1910" t="s">
        <v>86</v>
      </c>
      <c r="U1910" t="s">
        <v>76</v>
      </c>
    </row>
    <row r="1911" spans="1:21" x14ac:dyDescent="0.35">
      <c r="A1911" t="s">
        <v>2040</v>
      </c>
      <c r="B1911" s="5">
        <v>45949</v>
      </c>
      <c r="C1911" t="s">
        <v>114</v>
      </c>
      <c r="D1911" t="s">
        <v>64</v>
      </c>
      <c r="E1911" s="9">
        <v>2</v>
      </c>
      <c r="F1911" s="10">
        <v>420</v>
      </c>
      <c r="G1911" s="11">
        <v>0</v>
      </c>
      <c r="H1911" s="10">
        <v>840</v>
      </c>
      <c r="I1911" s="9">
        <v>0</v>
      </c>
      <c r="J1911" s="10">
        <v>0</v>
      </c>
      <c r="K1911" s="9">
        <v>2</v>
      </c>
      <c r="L1911" s="10">
        <v>840</v>
      </c>
      <c r="M1911" s="10">
        <v>618.6</v>
      </c>
      <c r="N1911" s="10">
        <v>221.4</v>
      </c>
      <c r="O1911" s="11">
        <f t="shared" si="116"/>
        <v>0.26357142857142857</v>
      </c>
      <c r="P1911" s="10">
        <v>66.84</v>
      </c>
      <c r="Q1911" s="10">
        <v>154.56</v>
      </c>
      <c r="R1911" s="11">
        <f t="shared" si="117"/>
        <v>0.184</v>
      </c>
      <c r="S1911" t="s">
        <v>59</v>
      </c>
      <c r="T1911" t="s">
        <v>60</v>
      </c>
      <c r="U1911" t="s">
        <v>71</v>
      </c>
    </row>
    <row r="1912" spans="1:21" x14ac:dyDescent="0.35">
      <c r="A1912" t="s">
        <v>2041</v>
      </c>
      <c r="B1912" s="5">
        <v>45682</v>
      </c>
      <c r="C1912" t="s">
        <v>107</v>
      </c>
      <c r="D1912" t="s">
        <v>74</v>
      </c>
      <c r="E1912" s="9">
        <v>3</v>
      </c>
      <c r="F1912" s="10">
        <v>125</v>
      </c>
      <c r="G1912" s="11">
        <v>0.02</v>
      </c>
      <c r="H1912" s="10">
        <v>367.5</v>
      </c>
      <c r="I1912" s="9">
        <v>0</v>
      </c>
      <c r="J1912" s="10">
        <v>0</v>
      </c>
      <c r="K1912" s="9">
        <v>3</v>
      </c>
      <c r="L1912" s="10">
        <v>367.5</v>
      </c>
      <c r="M1912" s="10">
        <v>242.72</v>
      </c>
      <c r="N1912" s="10">
        <v>124.78</v>
      </c>
      <c r="O1912" s="11">
        <f t="shared" si="116"/>
        <v>0.33953741496598638</v>
      </c>
      <c r="P1912" s="10">
        <v>32.729999999999997</v>
      </c>
      <c r="Q1912" s="10">
        <v>92.05</v>
      </c>
      <c r="R1912" s="11">
        <f t="shared" si="117"/>
        <v>0.25047619047619046</v>
      </c>
      <c r="S1912" t="s">
        <v>75</v>
      </c>
      <c r="T1912" t="s">
        <v>66</v>
      </c>
      <c r="U1912" t="s">
        <v>67</v>
      </c>
    </row>
    <row r="1913" spans="1:21" x14ac:dyDescent="0.35">
      <c r="A1913" t="s">
        <v>2042</v>
      </c>
      <c r="B1913" s="5">
        <v>46021</v>
      </c>
      <c r="C1913" t="s">
        <v>97</v>
      </c>
      <c r="D1913" t="s">
        <v>57</v>
      </c>
      <c r="E1913" s="9">
        <v>3</v>
      </c>
      <c r="F1913" s="10">
        <v>55</v>
      </c>
      <c r="G1913" s="11">
        <v>0</v>
      </c>
      <c r="H1913" s="10">
        <v>165</v>
      </c>
      <c r="I1913" s="9">
        <v>3</v>
      </c>
      <c r="J1913" s="10">
        <v>165</v>
      </c>
      <c r="K1913" s="9">
        <v>0</v>
      </c>
      <c r="L1913" s="10">
        <v>0</v>
      </c>
      <c r="M1913" s="10">
        <v>0</v>
      </c>
      <c r="N1913" s="10">
        <v>0</v>
      </c>
      <c r="O1913" s="11">
        <v>0</v>
      </c>
      <c r="P1913" s="10">
        <v>0</v>
      </c>
      <c r="Q1913" s="10">
        <v>0</v>
      </c>
      <c r="R1913" s="11">
        <v>0</v>
      </c>
      <c r="S1913" t="s">
        <v>59</v>
      </c>
      <c r="T1913" t="s">
        <v>86</v>
      </c>
      <c r="U1913" t="s">
        <v>71</v>
      </c>
    </row>
    <row r="1914" spans="1:21" x14ac:dyDescent="0.35">
      <c r="A1914" t="s">
        <v>2043</v>
      </c>
      <c r="B1914" s="5">
        <v>45856</v>
      </c>
      <c r="C1914" t="s">
        <v>109</v>
      </c>
      <c r="D1914" t="s">
        <v>85</v>
      </c>
      <c r="E1914" s="9">
        <v>1</v>
      </c>
      <c r="F1914" s="10">
        <v>180</v>
      </c>
      <c r="G1914" s="11">
        <v>0</v>
      </c>
      <c r="H1914" s="10">
        <v>180</v>
      </c>
      <c r="I1914" s="9">
        <v>0</v>
      </c>
      <c r="J1914" s="10">
        <v>0</v>
      </c>
      <c r="K1914" s="9">
        <v>1</v>
      </c>
      <c r="L1914" s="10">
        <v>180</v>
      </c>
      <c r="M1914" s="10">
        <v>117.73</v>
      </c>
      <c r="N1914" s="10">
        <v>62.27</v>
      </c>
      <c r="O1914" s="11">
        <f t="shared" ref="O1914:O1925" si="118">N1914/L1914</f>
        <v>0.34594444444444444</v>
      </c>
      <c r="P1914" s="10">
        <v>9.32</v>
      </c>
      <c r="Q1914" s="10">
        <v>52.95</v>
      </c>
      <c r="R1914" s="11">
        <f t="shared" ref="R1914:R1925" si="119">Q1914/L1914</f>
        <v>0.29416666666666669</v>
      </c>
      <c r="S1914" t="s">
        <v>65</v>
      </c>
      <c r="T1914" t="s">
        <v>82</v>
      </c>
      <c r="U1914" t="s">
        <v>76</v>
      </c>
    </row>
    <row r="1915" spans="1:21" x14ac:dyDescent="0.35">
      <c r="A1915" t="s">
        <v>2044</v>
      </c>
      <c r="B1915" s="5">
        <v>46009</v>
      </c>
      <c r="C1915" t="s">
        <v>92</v>
      </c>
      <c r="D1915" t="s">
        <v>79</v>
      </c>
      <c r="E1915" s="9">
        <v>4</v>
      </c>
      <c r="F1915" s="10">
        <v>85</v>
      </c>
      <c r="G1915" s="11">
        <v>0</v>
      </c>
      <c r="H1915" s="10">
        <v>340</v>
      </c>
      <c r="I1915" s="9">
        <v>0</v>
      </c>
      <c r="J1915" s="10">
        <v>0</v>
      </c>
      <c r="K1915" s="9">
        <v>4</v>
      </c>
      <c r="L1915" s="10">
        <v>340</v>
      </c>
      <c r="M1915" s="10">
        <v>250.67</v>
      </c>
      <c r="N1915" s="10">
        <v>89.33</v>
      </c>
      <c r="O1915" s="11">
        <f t="shared" si="118"/>
        <v>0.26273529411764707</v>
      </c>
      <c r="P1915" s="10">
        <v>41.97</v>
      </c>
      <c r="Q1915" s="10">
        <v>47.36</v>
      </c>
      <c r="R1915" s="11">
        <f t="shared" si="119"/>
        <v>0.13929411764705882</v>
      </c>
      <c r="S1915" t="s">
        <v>81</v>
      </c>
      <c r="T1915" t="s">
        <v>82</v>
      </c>
      <c r="U1915" t="s">
        <v>71</v>
      </c>
    </row>
    <row r="1916" spans="1:21" x14ac:dyDescent="0.35">
      <c r="A1916" t="s">
        <v>2045</v>
      </c>
      <c r="B1916" s="5">
        <v>45949</v>
      </c>
      <c r="C1916" t="s">
        <v>114</v>
      </c>
      <c r="D1916" t="s">
        <v>64</v>
      </c>
      <c r="E1916" s="9">
        <v>1</v>
      </c>
      <c r="F1916" s="10">
        <v>420</v>
      </c>
      <c r="G1916" s="11">
        <v>0.02</v>
      </c>
      <c r="H1916" s="10">
        <v>411.6</v>
      </c>
      <c r="I1916" s="9">
        <v>0</v>
      </c>
      <c r="J1916" s="10">
        <v>0</v>
      </c>
      <c r="K1916" s="9">
        <v>1</v>
      </c>
      <c r="L1916" s="10">
        <v>411.6</v>
      </c>
      <c r="M1916" s="10">
        <v>305.86</v>
      </c>
      <c r="N1916" s="10">
        <v>105.74</v>
      </c>
      <c r="O1916" s="11">
        <f t="shared" si="118"/>
        <v>0.25689990281827013</v>
      </c>
      <c r="P1916" s="10">
        <v>36.32</v>
      </c>
      <c r="Q1916" s="10">
        <v>69.42</v>
      </c>
      <c r="R1916" s="11">
        <f t="shared" si="119"/>
        <v>0.16865889212827989</v>
      </c>
      <c r="S1916" t="s">
        <v>75</v>
      </c>
      <c r="T1916" t="s">
        <v>60</v>
      </c>
      <c r="U1916" t="s">
        <v>71</v>
      </c>
    </row>
    <row r="1917" spans="1:21" x14ac:dyDescent="0.35">
      <c r="A1917" t="s">
        <v>2046</v>
      </c>
      <c r="B1917" s="5">
        <v>45761</v>
      </c>
      <c r="C1917" t="s">
        <v>114</v>
      </c>
      <c r="D1917" t="s">
        <v>64</v>
      </c>
      <c r="E1917" s="9">
        <v>5</v>
      </c>
      <c r="F1917" s="10">
        <v>420</v>
      </c>
      <c r="G1917" s="11">
        <v>0</v>
      </c>
      <c r="H1917" s="10">
        <v>2100</v>
      </c>
      <c r="I1917" s="9">
        <v>0</v>
      </c>
      <c r="J1917" s="10">
        <v>0</v>
      </c>
      <c r="K1917" s="9">
        <v>5</v>
      </c>
      <c r="L1917" s="10">
        <v>2100</v>
      </c>
      <c r="M1917" s="10">
        <v>1736.28</v>
      </c>
      <c r="N1917" s="10">
        <v>363.72</v>
      </c>
      <c r="O1917" s="11">
        <f t="shared" si="118"/>
        <v>0.17320000000000002</v>
      </c>
      <c r="P1917" s="10">
        <v>105.68</v>
      </c>
      <c r="Q1917" s="10">
        <v>258.04000000000002</v>
      </c>
      <c r="R1917" s="11">
        <f t="shared" si="119"/>
        <v>0.12287619047619049</v>
      </c>
      <c r="S1917" t="s">
        <v>75</v>
      </c>
      <c r="T1917" t="s">
        <v>60</v>
      </c>
      <c r="U1917" t="s">
        <v>71</v>
      </c>
    </row>
    <row r="1918" spans="1:21" x14ac:dyDescent="0.35">
      <c r="A1918" t="s">
        <v>2047</v>
      </c>
      <c r="B1918" s="5">
        <v>45980</v>
      </c>
      <c r="C1918" t="s">
        <v>88</v>
      </c>
      <c r="D1918" t="s">
        <v>57</v>
      </c>
      <c r="E1918" s="9">
        <v>4</v>
      </c>
      <c r="F1918" s="10">
        <v>30</v>
      </c>
      <c r="G1918" s="11">
        <v>0</v>
      </c>
      <c r="H1918" s="10">
        <v>120</v>
      </c>
      <c r="I1918" s="9">
        <v>0</v>
      </c>
      <c r="J1918" s="10">
        <v>0</v>
      </c>
      <c r="K1918" s="9">
        <v>4</v>
      </c>
      <c r="L1918" s="10">
        <v>120</v>
      </c>
      <c r="M1918" s="10">
        <v>75.569999999999993</v>
      </c>
      <c r="N1918" s="10">
        <v>44.43</v>
      </c>
      <c r="O1918" s="11">
        <f t="shared" si="118"/>
        <v>0.37025000000000002</v>
      </c>
      <c r="P1918" s="10">
        <v>14.08</v>
      </c>
      <c r="Q1918" s="10">
        <v>30.35</v>
      </c>
      <c r="R1918" s="11">
        <f t="shared" si="119"/>
        <v>0.25291666666666668</v>
      </c>
      <c r="S1918" t="s">
        <v>65</v>
      </c>
      <c r="T1918" t="s">
        <v>86</v>
      </c>
      <c r="U1918" t="s">
        <v>76</v>
      </c>
    </row>
    <row r="1919" spans="1:21" x14ac:dyDescent="0.35">
      <c r="A1919" t="s">
        <v>2048</v>
      </c>
      <c r="B1919" s="5">
        <v>45962</v>
      </c>
      <c r="C1919" t="s">
        <v>97</v>
      </c>
      <c r="D1919" t="s">
        <v>57</v>
      </c>
      <c r="E1919" s="9">
        <v>4</v>
      </c>
      <c r="F1919" s="10">
        <v>55</v>
      </c>
      <c r="G1919" s="11">
        <v>0.1</v>
      </c>
      <c r="H1919" s="10">
        <v>198</v>
      </c>
      <c r="I1919" s="9">
        <v>0</v>
      </c>
      <c r="J1919" s="10">
        <v>0</v>
      </c>
      <c r="K1919" s="9">
        <v>4</v>
      </c>
      <c r="L1919" s="10">
        <v>198</v>
      </c>
      <c r="M1919" s="10">
        <v>156.65</v>
      </c>
      <c r="N1919" s="10">
        <v>41.35</v>
      </c>
      <c r="O1919" s="11">
        <f t="shared" si="118"/>
        <v>0.20883838383838385</v>
      </c>
      <c r="P1919" s="10">
        <v>24.2</v>
      </c>
      <c r="Q1919" s="10">
        <v>17.149999999999999</v>
      </c>
      <c r="R1919" s="11">
        <f t="shared" si="119"/>
        <v>8.6616161616161605E-2</v>
      </c>
      <c r="S1919" t="s">
        <v>59</v>
      </c>
      <c r="T1919" t="s">
        <v>66</v>
      </c>
      <c r="U1919" t="s">
        <v>61</v>
      </c>
    </row>
    <row r="1920" spans="1:21" x14ac:dyDescent="0.35">
      <c r="A1920" t="s">
        <v>2049</v>
      </c>
      <c r="B1920" s="5">
        <v>45667</v>
      </c>
      <c r="C1920" t="s">
        <v>88</v>
      </c>
      <c r="D1920" t="s">
        <v>57</v>
      </c>
      <c r="E1920" s="9">
        <v>2</v>
      </c>
      <c r="F1920" s="10">
        <v>30</v>
      </c>
      <c r="G1920" s="11">
        <v>0.02</v>
      </c>
      <c r="H1920" s="10">
        <v>58.8</v>
      </c>
      <c r="I1920" s="9">
        <v>0</v>
      </c>
      <c r="J1920" s="10">
        <v>0</v>
      </c>
      <c r="K1920" s="9">
        <v>2</v>
      </c>
      <c r="L1920" s="10">
        <v>58.8</v>
      </c>
      <c r="M1920" s="10">
        <v>43.83</v>
      </c>
      <c r="N1920" s="10">
        <v>14.97</v>
      </c>
      <c r="O1920" s="11">
        <f t="shared" si="118"/>
        <v>0.25459183673469388</v>
      </c>
      <c r="P1920" s="10">
        <v>3.62</v>
      </c>
      <c r="Q1920" s="10">
        <v>11.35</v>
      </c>
      <c r="R1920" s="11">
        <f t="shared" si="119"/>
        <v>0.19302721088435373</v>
      </c>
      <c r="S1920" t="s">
        <v>59</v>
      </c>
      <c r="T1920" t="s">
        <v>86</v>
      </c>
      <c r="U1920" t="s">
        <v>67</v>
      </c>
    </row>
    <row r="1921" spans="1:21" x14ac:dyDescent="0.35">
      <c r="A1921" t="s">
        <v>2050</v>
      </c>
      <c r="B1921" s="5">
        <v>45732</v>
      </c>
      <c r="C1921" t="s">
        <v>84</v>
      </c>
      <c r="D1921" t="s">
        <v>85</v>
      </c>
      <c r="E1921" s="9">
        <v>5</v>
      </c>
      <c r="F1921" s="10">
        <v>48</v>
      </c>
      <c r="G1921" s="11">
        <v>0</v>
      </c>
      <c r="H1921" s="10">
        <v>240</v>
      </c>
      <c r="I1921" s="9">
        <v>0</v>
      </c>
      <c r="J1921" s="10">
        <v>0</v>
      </c>
      <c r="K1921" s="9">
        <v>5</v>
      </c>
      <c r="L1921" s="10">
        <v>240</v>
      </c>
      <c r="M1921" s="10">
        <v>188.22</v>
      </c>
      <c r="N1921" s="10">
        <v>51.78</v>
      </c>
      <c r="O1921" s="11">
        <f t="shared" si="118"/>
        <v>0.21575</v>
      </c>
      <c r="P1921" s="10">
        <v>14.94</v>
      </c>
      <c r="Q1921" s="10">
        <v>36.840000000000003</v>
      </c>
      <c r="R1921" s="11">
        <f t="shared" si="119"/>
        <v>0.15350000000000003</v>
      </c>
      <c r="S1921" t="s">
        <v>81</v>
      </c>
      <c r="T1921" t="s">
        <v>82</v>
      </c>
      <c r="U1921" t="s">
        <v>76</v>
      </c>
    </row>
    <row r="1922" spans="1:21" x14ac:dyDescent="0.35">
      <c r="A1922" t="s">
        <v>2051</v>
      </c>
      <c r="B1922" s="5">
        <v>45792</v>
      </c>
      <c r="C1922" t="s">
        <v>114</v>
      </c>
      <c r="D1922" t="s">
        <v>64</v>
      </c>
      <c r="E1922" s="9">
        <v>2</v>
      </c>
      <c r="F1922" s="10">
        <v>420</v>
      </c>
      <c r="G1922" s="11">
        <v>0.1</v>
      </c>
      <c r="H1922" s="10">
        <v>756</v>
      </c>
      <c r="I1922" s="9">
        <v>0</v>
      </c>
      <c r="J1922" s="10">
        <v>0</v>
      </c>
      <c r="K1922" s="9">
        <v>2</v>
      </c>
      <c r="L1922" s="10">
        <v>756</v>
      </c>
      <c r="M1922" s="10">
        <v>500.95</v>
      </c>
      <c r="N1922" s="10">
        <v>255.05</v>
      </c>
      <c r="O1922" s="11">
        <f t="shared" si="118"/>
        <v>0.33736772486772487</v>
      </c>
      <c r="P1922" s="10">
        <v>59.34</v>
      </c>
      <c r="Q1922" s="10">
        <v>195.71</v>
      </c>
      <c r="R1922" s="11">
        <f t="shared" si="119"/>
        <v>0.25887566137566137</v>
      </c>
      <c r="S1922" t="s">
        <v>75</v>
      </c>
      <c r="T1922" t="s">
        <v>82</v>
      </c>
      <c r="U1922" t="s">
        <v>67</v>
      </c>
    </row>
    <row r="1923" spans="1:21" x14ac:dyDescent="0.35">
      <c r="A1923" t="s">
        <v>2052</v>
      </c>
      <c r="B1923" s="5">
        <v>45699</v>
      </c>
      <c r="C1923" t="s">
        <v>73</v>
      </c>
      <c r="D1923" t="s">
        <v>74</v>
      </c>
      <c r="E1923" s="9">
        <v>2</v>
      </c>
      <c r="F1923" s="10">
        <v>280</v>
      </c>
      <c r="G1923" s="11">
        <v>0.02</v>
      </c>
      <c r="H1923" s="10">
        <v>548.79999999999995</v>
      </c>
      <c r="I1923" s="9">
        <v>0</v>
      </c>
      <c r="J1923" s="10">
        <v>0</v>
      </c>
      <c r="K1923" s="9">
        <v>2</v>
      </c>
      <c r="L1923" s="10">
        <v>548.79999999999995</v>
      </c>
      <c r="M1923" s="10">
        <v>439.43</v>
      </c>
      <c r="N1923" s="10">
        <v>109.37</v>
      </c>
      <c r="O1923" s="11">
        <f t="shared" si="118"/>
        <v>0.19928935860058311</v>
      </c>
      <c r="P1923" s="10">
        <v>45.03</v>
      </c>
      <c r="Q1923" s="10">
        <v>64.34</v>
      </c>
      <c r="R1923" s="11">
        <f t="shared" si="119"/>
        <v>0.11723760932944607</v>
      </c>
      <c r="S1923" t="s">
        <v>81</v>
      </c>
      <c r="T1923" t="s">
        <v>86</v>
      </c>
      <c r="U1923" t="s">
        <v>71</v>
      </c>
    </row>
    <row r="1924" spans="1:21" x14ac:dyDescent="0.35">
      <c r="A1924" t="s">
        <v>2053</v>
      </c>
      <c r="B1924" s="5">
        <v>45733</v>
      </c>
      <c r="C1924" t="s">
        <v>109</v>
      </c>
      <c r="D1924" t="s">
        <v>85</v>
      </c>
      <c r="E1924" s="9">
        <v>4</v>
      </c>
      <c r="F1924" s="10">
        <v>180</v>
      </c>
      <c r="G1924" s="11">
        <v>0</v>
      </c>
      <c r="H1924" s="10">
        <v>720</v>
      </c>
      <c r="I1924" s="9">
        <v>0</v>
      </c>
      <c r="J1924" s="10">
        <v>0</v>
      </c>
      <c r="K1924" s="9">
        <v>4</v>
      </c>
      <c r="L1924" s="10">
        <v>720</v>
      </c>
      <c r="M1924" s="10">
        <v>568.98</v>
      </c>
      <c r="N1924" s="10">
        <v>151.02000000000001</v>
      </c>
      <c r="O1924" s="11">
        <f t="shared" si="118"/>
        <v>0.20975000000000002</v>
      </c>
      <c r="P1924" s="10">
        <v>68.56</v>
      </c>
      <c r="Q1924" s="10">
        <v>82.46</v>
      </c>
      <c r="R1924" s="11">
        <f t="shared" si="119"/>
        <v>0.11452777777777777</v>
      </c>
      <c r="S1924" t="s">
        <v>65</v>
      </c>
      <c r="T1924" t="s">
        <v>86</v>
      </c>
      <c r="U1924" t="s">
        <v>61</v>
      </c>
    </row>
    <row r="1925" spans="1:21" x14ac:dyDescent="0.35">
      <c r="A1925" t="s">
        <v>2054</v>
      </c>
      <c r="B1925" s="5">
        <v>45934</v>
      </c>
      <c r="C1925" t="s">
        <v>63</v>
      </c>
      <c r="D1925" t="s">
        <v>64</v>
      </c>
      <c r="E1925" s="9">
        <v>6</v>
      </c>
      <c r="F1925" s="10">
        <v>145</v>
      </c>
      <c r="G1925" s="11">
        <v>0</v>
      </c>
      <c r="H1925" s="10">
        <v>870</v>
      </c>
      <c r="I1925" s="9">
        <v>0</v>
      </c>
      <c r="J1925" s="10">
        <v>0</v>
      </c>
      <c r="K1925" s="9">
        <v>6</v>
      </c>
      <c r="L1925" s="10">
        <v>870</v>
      </c>
      <c r="M1925" s="10">
        <v>547.96</v>
      </c>
      <c r="N1925" s="10">
        <v>322.04000000000002</v>
      </c>
      <c r="O1925" s="11">
        <f t="shared" si="118"/>
        <v>0.37016091954022989</v>
      </c>
      <c r="P1925" s="10">
        <v>48.16</v>
      </c>
      <c r="Q1925" s="10">
        <v>273.88</v>
      </c>
      <c r="R1925" s="11">
        <f t="shared" si="119"/>
        <v>0.31480459770114944</v>
      </c>
      <c r="S1925" t="s">
        <v>75</v>
      </c>
      <c r="T1925" t="s">
        <v>86</v>
      </c>
      <c r="U1925" t="s">
        <v>67</v>
      </c>
    </row>
    <row r="1926" spans="1:21" x14ac:dyDescent="0.35">
      <c r="A1926" t="s">
        <v>2055</v>
      </c>
      <c r="B1926" s="5">
        <v>45895</v>
      </c>
      <c r="C1926" t="s">
        <v>117</v>
      </c>
      <c r="D1926" t="s">
        <v>74</v>
      </c>
      <c r="E1926" s="9">
        <v>5</v>
      </c>
      <c r="F1926" s="10">
        <v>95</v>
      </c>
      <c r="G1926" s="11">
        <v>0</v>
      </c>
      <c r="H1926" s="10">
        <v>475</v>
      </c>
      <c r="I1926" s="9">
        <v>5</v>
      </c>
      <c r="J1926" s="10">
        <v>475</v>
      </c>
      <c r="K1926" s="9">
        <v>0</v>
      </c>
      <c r="L1926" s="10">
        <v>0</v>
      </c>
      <c r="M1926" s="10">
        <v>0</v>
      </c>
      <c r="N1926" s="10">
        <v>0</v>
      </c>
      <c r="O1926" s="11">
        <v>0</v>
      </c>
      <c r="P1926" s="10">
        <v>0</v>
      </c>
      <c r="Q1926" s="10">
        <v>0</v>
      </c>
      <c r="R1926" s="11">
        <v>0</v>
      </c>
      <c r="S1926" t="s">
        <v>65</v>
      </c>
      <c r="T1926" t="s">
        <v>82</v>
      </c>
      <c r="U1926" t="s">
        <v>61</v>
      </c>
    </row>
    <row r="1927" spans="1:21" x14ac:dyDescent="0.35">
      <c r="A1927" t="s">
        <v>2056</v>
      </c>
      <c r="B1927" s="5">
        <v>45851</v>
      </c>
      <c r="C1927" t="s">
        <v>90</v>
      </c>
      <c r="D1927" t="s">
        <v>70</v>
      </c>
      <c r="E1927" s="9">
        <v>3</v>
      </c>
      <c r="F1927" s="10">
        <v>38</v>
      </c>
      <c r="G1927" s="11">
        <v>0</v>
      </c>
      <c r="H1927" s="10">
        <v>114</v>
      </c>
      <c r="I1927" s="9">
        <v>0</v>
      </c>
      <c r="J1927" s="10">
        <v>0</v>
      </c>
      <c r="K1927" s="9">
        <v>3</v>
      </c>
      <c r="L1927" s="10">
        <v>114</v>
      </c>
      <c r="M1927" s="10">
        <v>83.48</v>
      </c>
      <c r="N1927" s="10">
        <v>30.52</v>
      </c>
      <c r="O1927" s="11">
        <f t="shared" ref="O1927:O1935" si="120">N1927/L1927</f>
        <v>0.26771929824561402</v>
      </c>
      <c r="P1927" s="10">
        <v>9.6999999999999993</v>
      </c>
      <c r="Q1927" s="10">
        <v>20.82</v>
      </c>
      <c r="R1927" s="11">
        <f t="shared" ref="R1927:R1935" si="121">Q1927/L1927</f>
        <v>0.18263157894736842</v>
      </c>
      <c r="S1927" t="s">
        <v>59</v>
      </c>
      <c r="T1927" t="s">
        <v>86</v>
      </c>
      <c r="U1927" t="s">
        <v>61</v>
      </c>
    </row>
    <row r="1928" spans="1:21" x14ac:dyDescent="0.35">
      <c r="A1928" t="s">
        <v>2057</v>
      </c>
      <c r="B1928" s="5">
        <v>45985</v>
      </c>
      <c r="C1928" t="s">
        <v>84</v>
      </c>
      <c r="D1928" t="s">
        <v>85</v>
      </c>
      <c r="E1928" s="9">
        <v>3</v>
      </c>
      <c r="F1928" s="10">
        <v>48</v>
      </c>
      <c r="G1928" s="11">
        <v>0.02</v>
      </c>
      <c r="H1928" s="10">
        <v>141.12</v>
      </c>
      <c r="I1928" s="9">
        <v>0</v>
      </c>
      <c r="J1928" s="10">
        <v>0</v>
      </c>
      <c r="K1928" s="9">
        <v>3</v>
      </c>
      <c r="L1928" s="10">
        <v>141.12</v>
      </c>
      <c r="M1928" s="10">
        <v>93.13</v>
      </c>
      <c r="N1928" s="10">
        <v>47.99</v>
      </c>
      <c r="O1928" s="11">
        <f t="shared" si="120"/>
        <v>0.34006519274376418</v>
      </c>
      <c r="P1928" s="10">
        <v>9.67</v>
      </c>
      <c r="Q1928" s="10">
        <v>38.32</v>
      </c>
      <c r="R1928" s="11">
        <f t="shared" si="121"/>
        <v>0.27154195011337867</v>
      </c>
      <c r="S1928" t="s">
        <v>75</v>
      </c>
      <c r="T1928" t="s">
        <v>60</v>
      </c>
      <c r="U1928" t="s">
        <v>71</v>
      </c>
    </row>
    <row r="1929" spans="1:21" x14ac:dyDescent="0.35">
      <c r="A1929" t="s">
        <v>2058</v>
      </c>
      <c r="B1929" s="5">
        <v>45670</v>
      </c>
      <c r="C1929" t="s">
        <v>63</v>
      </c>
      <c r="D1929" t="s">
        <v>64</v>
      </c>
      <c r="E1929" s="9">
        <v>4</v>
      </c>
      <c r="F1929" s="10">
        <v>145</v>
      </c>
      <c r="G1929" s="11">
        <v>0.05</v>
      </c>
      <c r="H1929" s="10">
        <v>551</v>
      </c>
      <c r="I1929" s="9">
        <v>0</v>
      </c>
      <c r="J1929" s="10">
        <v>0</v>
      </c>
      <c r="K1929" s="9">
        <v>4</v>
      </c>
      <c r="L1929" s="10">
        <v>551</v>
      </c>
      <c r="M1929" s="10">
        <v>391.48</v>
      </c>
      <c r="N1929" s="10">
        <v>159.52000000000001</v>
      </c>
      <c r="O1929" s="11">
        <f t="shared" si="120"/>
        <v>0.28950998185117971</v>
      </c>
      <c r="P1929" s="10">
        <v>62.35</v>
      </c>
      <c r="Q1929" s="10">
        <v>97.17</v>
      </c>
      <c r="R1929" s="11">
        <f t="shared" si="121"/>
        <v>0.17635208711433756</v>
      </c>
      <c r="S1929" t="s">
        <v>65</v>
      </c>
      <c r="T1929" t="s">
        <v>82</v>
      </c>
      <c r="U1929" t="s">
        <v>76</v>
      </c>
    </row>
    <row r="1930" spans="1:21" x14ac:dyDescent="0.35">
      <c r="A1930" t="s">
        <v>2059</v>
      </c>
      <c r="B1930" s="5">
        <v>45701</v>
      </c>
      <c r="C1930" t="s">
        <v>78</v>
      </c>
      <c r="D1930" t="s">
        <v>79</v>
      </c>
      <c r="E1930" s="9">
        <v>3</v>
      </c>
      <c r="F1930" s="10">
        <v>120</v>
      </c>
      <c r="G1930" s="11">
        <v>0.1</v>
      </c>
      <c r="H1930" s="10">
        <v>324</v>
      </c>
      <c r="I1930" s="9">
        <v>0</v>
      </c>
      <c r="J1930" s="10">
        <v>0</v>
      </c>
      <c r="K1930" s="9">
        <v>3</v>
      </c>
      <c r="L1930" s="10">
        <v>324</v>
      </c>
      <c r="M1930" s="10">
        <v>262.38</v>
      </c>
      <c r="N1930" s="10">
        <v>61.62</v>
      </c>
      <c r="O1930" s="11">
        <f t="shared" si="120"/>
        <v>0.19018518518518518</v>
      </c>
      <c r="P1930" s="10">
        <v>18.18</v>
      </c>
      <c r="Q1930" s="10">
        <v>43.44</v>
      </c>
      <c r="R1930" s="11">
        <f t="shared" si="121"/>
        <v>0.13407407407407407</v>
      </c>
      <c r="S1930" t="s">
        <v>59</v>
      </c>
      <c r="T1930" t="s">
        <v>82</v>
      </c>
      <c r="U1930" t="s">
        <v>71</v>
      </c>
    </row>
    <row r="1931" spans="1:21" x14ac:dyDescent="0.35">
      <c r="A1931" t="s">
        <v>2060</v>
      </c>
      <c r="B1931" s="5">
        <v>45707</v>
      </c>
      <c r="C1931" t="s">
        <v>107</v>
      </c>
      <c r="D1931" t="s">
        <v>74</v>
      </c>
      <c r="E1931" s="9">
        <v>1</v>
      </c>
      <c r="F1931" s="10">
        <v>125</v>
      </c>
      <c r="G1931" s="11">
        <v>0.05</v>
      </c>
      <c r="H1931" s="10">
        <v>118.75</v>
      </c>
      <c r="I1931" s="9">
        <v>0</v>
      </c>
      <c r="J1931" s="10">
        <v>0</v>
      </c>
      <c r="K1931" s="9">
        <v>1</v>
      </c>
      <c r="L1931" s="10">
        <v>118.75</v>
      </c>
      <c r="M1931" s="10">
        <v>89.2</v>
      </c>
      <c r="N1931" s="10">
        <v>29.55</v>
      </c>
      <c r="O1931" s="11">
        <f t="shared" si="120"/>
        <v>0.24884210526315789</v>
      </c>
      <c r="P1931" s="10">
        <v>7.68</v>
      </c>
      <c r="Q1931" s="10">
        <v>21.87</v>
      </c>
      <c r="R1931" s="11">
        <f t="shared" si="121"/>
        <v>0.18416842105263159</v>
      </c>
      <c r="S1931" t="s">
        <v>65</v>
      </c>
      <c r="T1931" t="s">
        <v>66</v>
      </c>
      <c r="U1931" t="s">
        <v>71</v>
      </c>
    </row>
    <row r="1932" spans="1:21" x14ac:dyDescent="0.35">
      <c r="A1932" t="s">
        <v>2061</v>
      </c>
      <c r="B1932" s="5">
        <v>45788</v>
      </c>
      <c r="C1932" t="s">
        <v>100</v>
      </c>
      <c r="D1932" t="s">
        <v>64</v>
      </c>
      <c r="E1932" s="9">
        <v>1</v>
      </c>
      <c r="F1932" s="10">
        <v>310</v>
      </c>
      <c r="G1932" s="11">
        <v>0</v>
      </c>
      <c r="H1932" s="10">
        <v>310</v>
      </c>
      <c r="I1932" s="9">
        <v>0</v>
      </c>
      <c r="J1932" s="10">
        <v>0</v>
      </c>
      <c r="K1932" s="9">
        <v>1</v>
      </c>
      <c r="L1932" s="10">
        <v>310</v>
      </c>
      <c r="M1932" s="10">
        <v>216.79</v>
      </c>
      <c r="N1932" s="10">
        <v>93.21</v>
      </c>
      <c r="O1932" s="11">
        <f t="shared" si="120"/>
        <v>0.30067741935483872</v>
      </c>
      <c r="P1932" s="10">
        <v>38.299999999999997</v>
      </c>
      <c r="Q1932" s="10">
        <v>54.91</v>
      </c>
      <c r="R1932" s="11">
        <f t="shared" si="121"/>
        <v>0.17712903225806451</v>
      </c>
      <c r="S1932" t="s">
        <v>75</v>
      </c>
      <c r="T1932" t="s">
        <v>66</v>
      </c>
      <c r="U1932" t="s">
        <v>67</v>
      </c>
    </row>
    <row r="1933" spans="1:21" x14ac:dyDescent="0.35">
      <c r="A1933" t="s">
        <v>2062</v>
      </c>
      <c r="B1933" s="5">
        <v>45966</v>
      </c>
      <c r="C1933" t="s">
        <v>104</v>
      </c>
      <c r="D1933" t="s">
        <v>105</v>
      </c>
      <c r="E1933" s="9">
        <v>2</v>
      </c>
      <c r="F1933" s="10">
        <v>65</v>
      </c>
      <c r="G1933" s="11">
        <v>0</v>
      </c>
      <c r="H1933" s="10">
        <v>130</v>
      </c>
      <c r="I1933" s="9">
        <v>0</v>
      </c>
      <c r="J1933" s="10">
        <v>0</v>
      </c>
      <c r="K1933" s="9">
        <v>2</v>
      </c>
      <c r="L1933" s="10">
        <v>130</v>
      </c>
      <c r="M1933" s="10">
        <v>105.86</v>
      </c>
      <c r="N1933" s="10">
        <v>24.14</v>
      </c>
      <c r="O1933" s="11">
        <f t="shared" si="120"/>
        <v>0.18569230769230768</v>
      </c>
      <c r="P1933" s="10">
        <v>6.78</v>
      </c>
      <c r="Q1933" s="10">
        <v>17.36</v>
      </c>
      <c r="R1933" s="11">
        <f t="shared" si="121"/>
        <v>0.13353846153846152</v>
      </c>
      <c r="S1933" t="s">
        <v>75</v>
      </c>
      <c r="T1933" t="s">
        <v>60</v>
      </c>
      <c r="U1933" t="s">
        <v>76</v>
      </c>
    </row>
    <row r="1934" spans="1:21" x14ac:dyDescent="0.35">
      <c r="A1934" t="s">
        <v>2063</v>
      </c>
      <c r="B1934" s="5">
        <v>45889</v>
      </c>
      <c r="C1934" t="s">
        <v>107</v>
      </c>
      <c r="D1934" t="s">
        <v>74</v>
      </c>
      <c r="E1934" s="9">
        <v>2</v>
      </c>
      <c r="F1934" s="10">
        <v>125</v>
      </c>
      <c r="G1934" s="11">
        <v>0</v>
      </c>
      <c r="H1934" s="10">
        <v>250</v>
      </c>
      <c r="I1934" s="9">
        <v>0</v>
      </c>
      <c r="J1934" s="10">
        <v>0</v>
      </c>
      <c r="K1934" s="9">
        <v>2</v>
      </c>
      <c r="L1934" s="10">
        <v>250</v>
      </c>
      <c r="M1934" s="10">
        <v>190.36</v>
      </c>
      <c r="N1934" s="10">
        <v>59.64</v>
      </c>
      <c r="O1934" s="11">
        <f t="shared" si="120"/>
        <v>0.23855999999999999</v>
      </c>
      <c r="P1934" s="10">
        <v>19.79</v>
      </c>
      <c r="Q1934" s="10">
        <v>39.85</v>
      </c>
      <c r="R1934" s="11">
        <f t="shared" si="121"/>
        <v>0.15940000000000001</v>
      </c>
      <c r="S1934" t="s">
        <v>81</v>
      </c>
      <c r="T1934" t="s">
        <v>86</v>
      </c>
      <c r="U1934" t="s">
        <v>67</v>
      </c>
    </row>
    <row r="1935" spans="1:21" x14ac:dyDescent="0.35">
      <c r="A1935" t="s">
        <v>2064</v>
      </c>
      <c r="B1935" s="5">
        <v>45770</v>
      </c>
      <c r="C1935" t="s">
        <v>264</v>
      </c>
      <c r="D1935" t="s">
        <v>85</v>
      </c>
      <c r="E1935" s="9">
        <v>1</v>
      </c>
      <c r="F1935" s="10">
        <v>20</v>
      </c>
      <c r="G1935" s="11">
        <v>0</v>
      </c>
      <c r="H1935" s="10">
        <v>20</v>
      </c>
      <c r="I1935" s="9">
        <v>0</v>
      </c>
      <c r="J1935" s="10">
        <v>0</v>
      </c>
      <c r="K1935" s="9">
        <v>1</v>
      </c>
      <c r="L1935" s="10">
        <v>20</v>
      </c>
      <c r="M1935" s="10">
        <v>16.14</v>
      </c>
      <c r="N1935" s="10">
        <v>3.86</v>
      </c>
      <c r="O1935" s="11">
        <f t="shared" si="120"/>
        <v>0.193</v>
      </c>
      <c r="P1935" s="10">
        <v>2.16</v>
      </c>
      <c r="Q1935" s="10">
        <v>1.7</v>
      </c>
      <c r="R1935" s="11">
        <f t="shared" si="121"/>
        <v>8.4999999999999992E-2</v>
      </c>
      <c r="S1935" t="s">
        <v>81</v>
      </c>
      <c r="T1935" t="s">
        <v>86</v>
      </c>
      <c r="U1935" t="s">
        <v>61</v>
      </c>
    </row>
    <row r="1936" spans="1:21" x14ac:dyDescent="0.35">
      <c r="A1936" t="s">
        <v>2065</v>
      </c>
      <c r="B1936" s="5">
        <v>45966</v>
      </c>
      <c r="C1936" t="s">
        <v>84</v>
      </c>
      <c r="D1936" t="s">
        <v>85</v>
      </c>
      <c r="E1936" s="9">
        <v>2</v>
      </c>
      <c r="F1936" s="10">
        <v>48</v>
      </c>
      <c r="G1936" s="11">
        <v>0</v>
      </c>
      <c r="H1936" s="10">
        <v>96</v>
      </c>
      <c r="I1936" s="9">
        <v>2</v>
      </c>
      <c r="J1936" s="10">
        <v>96</v>
      </c>
      <c r="K1936" s="9">
        <v>0</v>
      </c>
      <c r="L1936" s="10">
        <v>0</v>
      </c>
      <c r="M1936" s="10">
        <v>0</v>
      </c>
      <c r="N1936" s="10">
        <v>0</v>
      </c>
      <c r="O1936" s="11">
        <v>0</v>
      </c>
      <c r="P1936" s="10">
        <v>0</v>
      </c>
      <c r="Q1936" s="10">
        <v>0</v>
      </c>
      <c r="R1936" s="11">
        <v>0</v>
      </c>
      <c r="S1936" t="s">
        <v>81</v>
      </c>
      <c r="T1936" t="s">
        <v>82</v>
      </c>
      <c r="U1936" t="s">
        <v>76</v>
      </c>
    </row>
    <row r="1937" spans="1:21" x14ac:dyDescent="0.35">
      <c r="A1937" t="s">
        <v>2066</v>
      </c>
      <c r="B1937" s="5">
        <v>45704</v>
      </c>
      <c r="C1937" t="s">
        <v>107</v>
      </c>
      <c r="D1937" t="s">
        <v>74</v>
      </c>
      <c r="E1937" s="9">
        <v>1</v>
      </c>
      <c r="F1937" s="10">
        <v>125</v>
      </c>
      <c r="G1937" s="11">
        <v>0.05</v>
      </c>
      <c r="H1937" s="10">
        <v>118.75</v>
      </c>
      <c r="I1937" s="9">
        <v>0</v>
      </c>
      <c r="J1937" s="10">
        <v>0</v>
      </c>
      <c r="K1937" s="9">
        <v>1</v>
      </c>
      <c r="L1937" s="10">
        <v>118.75</v>
      </c>
      <c r="M1937" s="10">
        <v>93.86</v>
      </c>
      <c r="N1937" s="10">
        <v>24.89</v>
      </c>
      <c r="O1937" s="11">
        <f t="shared" ref="O1937:O1968" si="122">N1937/L1937</f>
        <v>0.20960000000000001</v>
      </c>
      <c r="P1937" s="10">
        <v>10.83</v>
      </c>
      <c r="Q1937" s="10">
        <v>14.06</v>
      </c>
      <c r="R1937" s="11">
        <f t="shared" ref="R1937:R1968" si="123">Q1937/L1937</f>
        <v>0.11840000000000001</v>
      </c>
      <c r="S1937" t="s">
        <v>59</v>
      </c>
      <c r="T1937" t="s">
        <v>86</v>
      </c>
      <c r="U1937" t="s">
        <v>61</v>
      </c>
    </row>
    <row r="1938" spans="1:21" x14ac:dyDescent="0.35">
      <c r="A1938" t="s">
        <v>2067</v>
      </c>
      <c r="B1938" s="5">
        <v>45920</v>
      </c>
      <c r="C1938" t="s">
        <v>97</v>
      </c>
      <c r="D1938" t="s">
        <v>57</v>
      </c>
      <c r="E1938" s="9">
        <v>3</v>
      </c>
      <c r="F1938" s="10">
        <v>55</v>
      </c>
      <c r="G1938" s="11">
        <v>0</v>
      </c>
      <c r="H1938" s="10">
        <v>165</v>
      </c>
      <c r="I1938" s="9">
        <v>0</v>
      </c>
      <c r="J1938" s="10">
        <v>0</v>
      </c>
      <c r="K1938" s="9">
        <v>3</v>
      </c>
      <c r="L1938" s="10">
        <v>165</v>
      </c>
      <c r="M1938" s="10">
        <v>110.54</v>
      </c>
      <c r="N1938" s="10">
        <v>54.46</v>
      </c>
      <c r="O1938" s="11">
        <f t="shared" si="122"/>
        <v>0.33006060606060605</v>
      </c>
      <c r="P1938" s="10">
        <v>15.47</v>
      </c>
      <c r="Q1938" s="10">
        <v>38.99</v>
      </c>
      <c r="R1938" s="11">
        <f t="shared" si="123"/>
        <v>0.23630303030303032</v>
      </c>
      <c r="S1938" t="s">
        <v>81</v>
      </c>
      <c r="T1938" t="s">
        <v>86</v>
      </c>
      <c r="U1938" t="s">
        <v>71</v>
      </c>
    </row>
    <row r="1939" spans="1:21" x14ac:dyDescent="0.35">
      <c r="A1939" t="s">
        <v>2068</v>
      </c>
      <c r="B1939" s="5">
        <v>45814</v>
      </c>
      <c r="C1939" t="s">
        <v>84</v>
      </c>
      <c r="D1939" t="s">
        <v>85</v>
      </c>
      <c r="E1939" s="9">
        <v>2</v>
      </c>
      <c r="F1939" s="10">
        <v>48</v>
      </c>
      <c r="G1939" s="11">
        <v>0</v>
      </c>
      <c r="H1939" s="10">
        <v>96</v>
      </c>
      <c r="I1939" s="9">
        <v>0</v>
      </c>
      <c r="J1939" s="10">
        <v>0</v>
      </c>
      <c r="K1939" s="9">
        <v>2</v>
      </c>
      <c r="L1939" s="10">
        <v>96</v>
      </c>
      <c r="M1939" s="10">
        <v>60.64</v>
      </c>
      <c r="N1939" s="10">
        <v>35.36</v>
      </c>
      <c r="O1939" s="11">
        <f t="shared" si="122"/>
        <v>0.36833333333333335</v>
      </c>
      <c r="P1939" s="10">
        <v>10.53</v>
      </c>
      <c r="Q1939" s="10">
        <v>24.83</v>
      </c>
      <c r="R1939" s="11">
        <f t="shared" si="123"/>
        <v>0.2586458333333333</v>
      </c>
      <c r="S1939" t="s">
        <v>75</v>
      </c>
      <c r="T1939" t="s">
        <v>66</v>
      </c>
      <c r="U1939" t="s">
        <v>71</v>
      </c>
    </row>
    <row r="1940" spans="1:21" x14ac:dyDescent="0.35">
      <c r="A1940" t="s">
        <v>2069</v>
      </c>
      <c r="B1940" s="5">
        <v>45859</v>
      </c>
      <c r="C1940" t="s">
        <v>100</v>
      </c>
      <c r="D1940" t="s">
        <v>64</v>
      </c>
      <c r="E1940" s="9">
        <v>2</v>
      </c>
      <c r="F1940" s="10">
        <v>310</v>
      </c>
      <c r="G1940" s="11">
        <v>0</v>
      </c>
      <c r="H1940" s="10">
        <v>620</v>
      </c>
      <c r="I1940" s="9">
        <v>0</v>
      </c>
      <c r="J1940" s="10">
        <v>0</v>
      </c>
      <c r="K1940" s="9">
        <v>2</v>
      </c>
      <c r="L1940" s="10">
        <v>620</v>
      </c>
      <c r="M1940" s="10">
        <v>443.08</v>
      </c>
      <c r="N1940" s="10">
        <v>176.92</v>
      </c>
      <c r="O1940" s="11">
        <f t="shared" si="122"/>
        <v>0.28535483870967737</v>
      </c>
      <c r="P1940" s="10">
        <v>77.56</v>
      </c>
      <c r="Q1940" s="10">
        <v>99.36</v>
      </c>
      <c r="R1940" s="11">
        <f t="shared" si="123"/>
        <v>0.16025806451612903</v>
      </c>
      <c r="S1940" t="s">
        <v>75</v>
      </c>
      <c r="T1940" t="s">
        <v>86</v>
      </c>
      <c r="U1940" t="s">
        <v>61</v>
      </c>
    </row>
    <row r="1941" spans="1:21" x14ac:dyDescent="0.35">
      <c r="A1941" t="s">
        <v>2070</v>
      </c>
      <c r="B1941" s="5">
        <v>45920</v>
      </c>
      <c r="C1941" t="s">
        <v>264</v>
      </c>
      <c r="D1941" t="s">
        <v>85</v>
      </c>
      <c r="E1941" s="9">
        <v>6</v>
      </c>
      <c r="F1941" s="10">
        <v>20</v>
      </c>
      <c r="G1941" s="11">
        <v>0.1</v>
      </c>
      <c r="H1941" s="10">
        <v>108</v>
      </c>
      <c r="I1941" s="9">
        <v>0</v>
      </c>
      <c r="J1941" s="10">
        <v>0</v>
      </c>
      <c r="K1941" s="9">
        <v>6</v>
      </c>
      <c r="L1941" s="10">
        <v>108</v>
      </c>
      <c r="M1941" s="10">
        <v>90.81</v>
      </c>
      <c r="N1941" s="10">
        <v>17.190000000000001</v>
      </c>
      <c r="O1941" s="11">
        <f t="shared" si="122"/>
        <v>0.15916666666666668</v>
      </c>
      <c r="P1941" s="10">
        <v>9.9600000000000009</v>
      </c>
      <c r="Q1941" s="10">
        <v>7.23</v>
      </c>
      <c r="R1941" s="11">
        <f t="shared" si="123"/>
        <v>6.6944444444444445E-2</v>
      </c>
      <c r="S1941" t="s">
        <v>81</v>
      </c>
      <c r="T1941" t="s">
        <v>66</v>
      </c>
      <c r="U1941" t="s">
        <v>71</v>
      </c>
    </row>
    <row r="1942" spans="1:21" x14ac:dyDescent="0.35">
      <c r="A1942" t="s">
        <v>2071</v>
      </c>
      <c r="B1942" s="5">
        <v>45808</v>
      </c>
      <c r="C1942" t="s">
        <v>121</v>
      </c>
      <c r="D1942" t="s">
        <v>70</v>
      </c>
      <c r="E1942" s="9">
        <v>1</v>
      </c>
      <c r="F1942" s="10">
        <v>110</v>
      </c>
      <c r="G1942" s="11">
        <v>0</v>
      </c>
      <c r="H1942" s="10">
        <v>110</v>
      </c>
      <c r="I1942" s="9">
        <v>0</v>
      </c>
      <c r="J1942" s="10">
        <v>0</v>
      </c>
      <c r="K1942" s="9">
        <v>1</v>
      </c>
      <c r="L1942" s="10">
        <v>110</v>
      </c>
      <c r="M1942" s="10">
        <v>93.39</v>
      </c>
      <c r="N1942" s="10">
        <v>16.61</v>
      </c>
      <c r="O1942" s="11">
        <f t="shared" si="122"/>
        <v>0.151</v>
      </c>
      <c r="P1942" s="10">
        <v>11.96</v>
      </c>
      <c r="Q1942" s="10">
        <v>4.6500000000000004</v>
      </c>
      <c r="R1942" s="11">
        <f t="shared" si="123"/>
        <v>4.2272727272727274E-2</v>
      </c>
      <c r="S1942" t="s">
        <v>59</v>
      </c>
      <c r="T1942" t="s">
        <v>86</v>
      </c>
      <c r="U1942" t="s">
        <v>67</v>
      </c>
    </row>
    <row r="1943" spans="1:21" x14ac:dyDescent="0.35">
      <c r="A1943" t="s">
        <v>2072</v>
      </c>
      <c r="B1943" s="5">
        <v>45991</v>
      </c>
      <c r="C1943" t="s">
        <v>95</v>
      </c>
      <c r="D1943" t="s">
        <v>64</v>
      </c>
      <c r="E1943" s="9">
        <v>1</v>
      </c>
      <c r="F1943" s="10">
        <v>52</v>
      </c>
      <c r="G1943" s="11">
        <v>0</v>
      </c>
      <c r="H1943" s="10">
        <v>52</v>
      </c>
      <c r="I1943" s="9">
        <v>0</v>
      </c>
      <c r="J1943" s="10">
        <v>0</v>
      </c>
      <c r="K1943" s="9">
        <v>1</v>
      </c>
      <c r="L1943" s="10">
        <v>52</v>
      </c>
      <c r="M1943" s="10">
        <v>39.42</v>
      </c>
      <c r="N1943" s="10">
        <v>12.58</v>
      </c>
      <c r="O1943" s="11">
        <f t="shared" si="122"/>
        <v>0.24192307692307694</v>
      </c>
      <c r="P1943" s="10">
        <v>5.35</v>
      </c>
      <c r="Q1943" s="10">
        <v>7.23</v>
      </c>
      <c r="R1943" s="11">
        <f t="shared" si="123"/>
        <v>0.13903846153846156</v>
      </c>
      <c r="S1943" t="s">
        <v>65</v>
      </c>
      <c r="T1943" t="s">
        <v>60</v>
      </c>
      <c r="U1943" t="s">
        <v>71</v>
      </c>
    </row>
    <row r="1944" spans="1:21" x14ac:dyDescent="0.35">
      <c r="A1944" t="s">
        <v>2073</v>
      </c>
      <c r="B1944" s="5">
        <v>45754</v>
      </c>
      <c r="C1944" t="s">
        <v>84</v>
      </c>
      <c r="D1944" t="s">
        <v>85</v>
      </c>
      <c r="E1944" s="9">
        <v>6</v>
      </c>
      <c r="F1944" s="10">
        <v>48</v>
      </c>
      <c r="G1944" s="11">
        <v>0</v>
      </c>
      <c r="H1944" s="10">
        <v>288</v>
      </c>
      <c r="I1944" s="9">
        <v>0</v>
      </c>
      <c r="J1944" s="10">
        <v>0</v>
      </c>
      <c r="K1944" s="9">
        <v>6</v>
      </c>
      <c r="L1944" s="10">
        <v>288</v>
      </c>
      <c r="M1944" s="10">
        <v>222.37</v>
      </c>
      <c r="N1944" s="10">
        <v>65.63</v>
      </c>
      <c r="O1944" s="11">
        <f t="shared" si="122"/>
        <v>0.22788194444444443</v>
      </c>
      <c r="P1944" s="10">
        <v>37.06</v>
      </c>
      <c r="Q1944" s="10">
        <v>28.57</v>
      </c>
      <c r="R1944" s="11">
        <f t="shared" si="123"/>
        <v>9.9201388888888895E-2</v>
      </c>
      <c r="S1944" t="s">
        <v>75</v>
      </c>
      <c r="T1944" t="s">
        <v>82</v>
      </c>
      <c r="U1944" t="s">
        <v>61</v>
      </c>
    </row>
    <row r="1945" spans="1:21" x14ac:dyDescent="0.35">
      <c r="A1945" t="s">
        <v>2074</v>
      </c>
      <c r="B1945" s="5">
        <v>45826</v>
      </c>
      <c r="C1945" t="s">
        <v>63</v>
      </c>
      <c r="D1945" t="s">
        <v>64</v>
      </c>
      <c r="E1945" s="9">
        <v>1</v>
      </c>
      <c r="F1945" s="10">
        <v>145</v>
      </c>
      <c r="G1945" s="11">
        <v>0</v>
      </c>
      <c r="H1945" s="10">
        <v>145</v>
      </c>
      <c r="I1945" s="9">
        <v>0</v>
      </c>
      <c r="J1945" s="10">
        <v>0</v>
      </c>
      <c r="K1945" s="9">
        <v>1</v>
      </c>
      <c r="L1945" s="10">
        <v>145</v>
      </c>
      <c r="M1945" s="10">
        <v>112.76</v>
      </c>
      <c r="N1945" s="10">
        <v>32.24</v>
      </c>
      <c r="O1945" s="11">
        <f t="shared" si="122"/>
        <v>0.22234482758620691</v>
      </c>
      <c r="P1945" s="10">
        <v>15.47</v>
      </c>
      <c r="Q1945" s="10">
        <v>16.77</v>
      </c>
      <c r="R1945" s="11">
        <f t="shared" si="123"/>
        <v>0.1156551724137931</v>
      </c>
      <c r="S1945" t="s">
        <v>81</v>
      </c>
      <c r="T1945" t="s">
        <v>60</v>
      </c>
      <c r="U1945" t="s">
        <v>61</v>
      </c>
    </row>
    <row r="1946" spans="1:21" x14ac:dyDescent="0.35">
      <c r="A1946" t="s">
        <v>2075</v>
      </c>
      <c r="B1946" s="5">
        <v>45795</v>
      </c>
      <c r="C1946" t="s">
        <v>264</v>
      </c>
      <c r="D1946" t="s">
        <v>85</v>
      </c>
      <c r="E1946" s="9">
        <v>1</v>
      </c>
      <c r="F1946" s="10">
        <v>20</v>
      </c>
      <c r="G1946" s="11">
        <v>0.05</v>
      </c>
      <c r="H1946" s="10">
        <v>19</v>
      </c>
      <c r="I1946" s="9">
        <v>0</v>
      </c>
      <c r="J1946" s="10">
        <v>0</v>
      </c>
      <c r="K1946" s="9">
        <v>1</v>
      </c>
      <c r="L1946" s="10">
        <v>19</v>
      </c>
      <c r="M1946" s="10">
        <v>15.19</v>
      </c>
      <c r="N1946" s="10">
        <v>3.81</v>
      </c>
      <c r="O1946" s="11">
        <f t="shared" si="122"/>
        <v>0.20052631578947369</v>
      </c>
      <c r="P1946" s="10">
        <v>1.47</v>
      </c>
      <c r="Q1946" s="10">
        <v>2.34</v>
      </c>
      <c r="R1946" s="11">
        <f t="shared" si="123"/>
        <v>0.12315789473684209</v>
      </c>
      <c r="S1946" t="s">
        <v>59</v>
      </c>
      <c r="T1946" t="s">
        <v>82</v>
      </c>
      <c r="U1946" t="s">
        <v>61</v>
      </c>
    </row>
    <row r="1947" spans="1:21" x14ac:dyDescent="0.35">
      <c r="A1947" t="s">
        <v>2076</v>
      </c>
      <c r="B1947" s="5">
        <v>45714</v>
      </c>
      <c r="C1947" t="s">
        <v>90</v>
      </c>
      <c r="D1947" t="s">
        <v>70</v>
      </c>
      <c r="E1947" s="9">
        <v>1</v>
      </c>
      <c r="F1947" s="10">
        <v>38</v>
      </c>
      <c r="G1947" s="11">
        <v>0</v>
      </c>
      <c r="H1947" s="10">
        <v>38</v>
      </c>
      <c r="I1947" s="9">
        <v>0</v>
      </c>
      <c r="J1947" s="10">
        <v>0</v>
      </c>
      <c r="K1947" s="9">
        <v>1</v>
      </c>
      <c r="L1947" s="10">
        <v>38</v>
      </c>
      <c r="M1947" s="10">
        <v>30</v>
      </c>
      <c r="N1947" s="10">
        <v>8</v>
      </c>
      <c r="O1947" s="11">
        <f t="shared" si="122"/>
        <v>0.21052631578947367</v>
      </c>
      <c r="P1947" s="10">
        <v>3.84</v>
      </c>
      <c r="Q1947" s="10">
        <v>4.16</v>
      </c>
      <c r="R1947" s="11">
        <f t="shared" si="123"/>
        <v>0.10947368421052632</v>
      </c>
      <c r="S1947" t="s">
        <v>81</v>
      </c>
      <c r="T1947" t="s">
        <v>82</v>
      </c>
      <c r="U1947" t="s">
        <v>67</v>
      </c>
    </row>
    <row r="1948" spans="1:21" x14ac:dyDescent="0.35">
      <c r="A1948" t="s">
        <v>2077</v>
      </c>
      <c r="B1948" s="5">
        <v>45714</v>
      </c>
      <c r="C1948" t="s">
        <v>109</v>
      </c>
      <c r="D1948" t="s">
        <v>85</v>
      </c>
      <c r="E1948" s="9">
        <v>10</v>
      </c>
      <c r="F1948" s="10">
        <v>180</v>
      </c>
      <c r="G1948" s="11">
        <v>0</v>
      </c>
      <c r="H1948" s="10">
        <v>1800</v>
      </c>
      <c r="I1948" s="9">
        <v>0</v>
      </c>
      <c r="J1948" s="10">
        <v>0</v>
      </c>
      <c r="K1948" s="9">
        <v>10</v>
      </c>
      <c r="L1948" s="10">
        <v>1800</v>
      </c>
      <c r="M1948" s="10">
        <v>1312.64</v>
      </c>
      <c r="N1948" s="10">
        <v>487.36</v>
      </c>
      <c r="O1948" s="11">
        <f t="shared" si="122"/>
        <v>0.27075555555555558</v>
      </c>
      <c r="P1948" s="10">
        <v>151.68</v>
      </c>
      <c r="Q1948" s="10">
        <v>335.68</v>
      </c>
      <c r="R1948" s="11">
        <f t="shared" si="123"/>
        <v>0.1864888888888889</v>
      </c>
      <c r="S1948" t="s">
        <v>81</v>
      </c>
      <c r="T1948" t="s">
        <v>86</v>
      </c>
      <c r="U1948" t="s">
        <v>61</v>
      </c>
    </row>
    <row r="1949" spans="1:21" x14ac:dyDescent="0.35">
      <c r="A1949" t="s">
        <v>2078</v>
      </c>
      <c r="B1949" s="5">
        <v>46022</v>
      </c>
      <c r="C1949" t="s">
        <v>84</v>
      </c>
      <c r="D1949" t="s">
        <v>85</v>
      </c>
      <c r="E1949" s="9">
        <v>5</v>
      </c>
      <c r="F1949" s="10">
        <v>48</v>
      </c>
      <c r="G1949" s="11">
        <v>0.05</v>
      </c>
      <c r="H1949" s="10">
        <v>228</v>
      </c>
      <c r="I1949" s="9">
        <v>0</v>
      </c>
      <c r="J1949" s="10">
        <v>0</v>
      </c>
      <c r="K1949" s="9">
        <v>5</v>
      </c>
      <c r="L1949" s="10">
        <v>228</v>
      </c>
      <c r="M1949" s="10">
        <v>166.71</v>
      </c>
      <c r="N1949" s="10">
        <v>61.29</v>
      </c>
      <c r="O1949" s="11">
        <f t="shared" si="122"/>
        <v>0.26881578947368423</v>
      </c>
      <c r="P1949" s="10">
        <v>22.5</v>
      </c>
      <c r="Q1949" s="10">
        <v>38.79</v>
      </c>
      <c r="R1949" s="11">
        <f t="shared" si="123"/>
        <v>0.17013157894736841</v>
      </c>
      <c r="S1949" t="s">
        <v>59</v>
      </c>
      <c r="T1949" t="s">
        <v>86</v>
      </c>
      <c r="U1949" t="s">
        <v>71</v>
      </c>
    </row>
    <row r="1950" spans="1:21" x14ac:dyDescent="0.35">
      <c r="A1950" t="s">
        <v>2079</v>
      </c>
      <c r="B1950" s="5">
        <v>45877</v>
      </c>
      <c r="C1950" t="s">
        <v>90</v>
      </c>
      <c r="D1950" t="s">
        <v>70</v>
      </c>
      <c r="E1950" s="9">
        <v>2</v>
      </c>
      <c r="F1950" s="10">
        <v>38</v>
      </c>
      <c r="G1950" s="11">
        <v>0</v>
      </c>
      <c r="H1950" s="10">
        <v>76</v>
      </c>
      <c r="I1950" s="9">
        <v>0</v>
      </c>
      <c r="J1950" s="10">
        <v>0</v>
      </c>
      <c r="K1950" s="9">
        <v>2</v>
      </c>
      <c r="L1950" s="10">
        <v>76</v>
      </c>
      <c r="M1950" s="10">
        <v>64.95</v>
      </c>
      <c r="N1950" s="10">
        <v>11.05</v>
      </c>
      <c r="O1950" s="11">
        <f t="shared" si="122"/>
        <v>0.14539473684210527</v>
      </c>
      <c r="P1950" s="10">
        <v>6.28</v>
      </c>
      <c r="Q1950" s="10">
        <v>4.7699999999999996</v>
      </c>
      <c r="R1950" s="11">
        <f t="shared" si="123"/>
        <v>6.276315789473684E-2</v>
      </c>
      <c r="S1950" t="s">
        <v>65</v>
      </c>
      <c r="T1950" t="s">
        <v>86</v>
      </c>
      <c r="U1950" t="s">
        <v>61</v>
      </c>
    </row>
    <row r="1951" spans="1:21" x14ac:dyDescent="0.35">
      <c r="A1951" t="s">
        <v>2080</v>
      </c>
      <c r="B1951" s="5">
        <v>45845</v>
      </c>
      <c r="C1951" t="s">
        <v>109</v>
      </c>
      <c r="D1951" t="s">
        <v>85</v>
      </c>
      <c r="E1951" s="9">
        <v>1</v>
      </c>
      <c r="F1951" s="10">
        <v>180</v>
      </c>
      <c r="G1951" s="11">
        <v>0</v>
      </c>
      <c r="H1951" s="10">
        <v>180</v>
      </c>
      <c r="I1951" s="9">
        <v>0</v>
      </c>
      <c r="J1951" s="10">
        <v>0</v>
      </c>
      <c r="K1951" s="9">
        <v>1</v>
      </c>
      <c r="L1951" s="10">
        <v>180</v>
      </c>
      <c r="M1951" s="10">
        <v>150.44999999999999</v>
      </c>
      <c r="N1951" s="10">
        <v>29.55</v>
      </c>
      <c r="O1951" s="11">
        <f t="shared" si="122"/>
        <v>0.16416666666666668</v>
      </c>
      <c r="P1951" s="10">
        <v>18.55</v>
      </c>
      <c r="Q1951" s="10">
        <v>11</v>
      </c>
      <c r="R1951" s="11">
        <f t="shared" si="123"/>
        <v>6.1111111111111109E-2</v>
      </c>
      <c r="S1951" t="s">
        <v>81</v>
      </c>
      <c r="T1951" t="s">
        <v>60</v>
      </c>
      <c r="U1951" t="s">
        <v>2133</v>
      </c>
    </row>
    <row r="1952" spans="1:21" x14ac:dyDescent="0.35">
      <c r="A1952" t="s">
        <v>2081</v>
      </c>
      <c r="B1952" s="5">
        <v>46012</v>
      </c>
      <c r="C1952" t="s">
        <v>107</v>
      </c>
      <c r="D1952" t="s">
        <v>74</v>
      </c>
      <c r="E1952" s="9">
        <v>8</v>
      </c>
      <c r="F1952" s="10">
        <v>125</v>
      </c>
      <c r="G1952" s="11">
        <v>0.05</v>
      </c>
      <c r="H1952" s="10">
        <v>950</v>
      </c>
      <c r="I1952" s="9">
        <v>0</v>
      </c>
      <c r="J1952" s="10">
        <v>0</v>
      </c>
      <c r="K1952" s="9">
        <v>8</v>
      </c>
      <c r="L1952" s="10">
        <v>950</v>
      </c>
      <c r="M1952" s="10">
        <v>776.1</v>
      </c>
      <c r="N1952" s="10">
        <v>173.9</v>
      </c>
      <c r="O1952" s="11">
        <f t="shared" si="122"/>
        <v>0.18305263157894738</v>
      </c>
      <c r="P1952" s="10">
        <v>58.39</v>
      </c>
      <c r="Q1952" s="10">
        <v>115.51</v>
      </c>
      <c r="R1952" s="11">
        <f t="shared" si="123"/>
        <v>0.12158947368421053</v>
      </c>
      <c r="S1952" t="s">
        <v>75</v>
      </c>
      <c r="T1952" t="s">
        <v>66</v>
      </c>
      <c r="U1952" t="s">
        <v>67</v>
      </c>
    </row>
    <row r="1953" spans="1:21" x14ac:dyDescent="0.35">
      <c r="A1953" t="s">
        <v>2082</v>
      </c>
      <c r="B1953" s="5">
        <v>46021</v>
      </c>
      <c r="C1953" t="s">
        <v>88</v>
      </c>
      <c r="D1953" t="s">
        <v>57</v>
      </c>
      <c r="E1953" s="9">
        <v>5</v>
      </c>
      <c r="F1953" s="10">
        <v>30</v>
      </c>
      <c r="G1953" s="11">
        <v>0</v>
      </c>
      <c r="H1953" s="10">
        <v>150</v>
      </c>
      <c r="I1953" s="9">
        <v>0</v>
      </c>
      <c r="J1953" s="10">
        <v>0</v>
      </c>
      <c r="K1953" s="9">
        <v>5</v>
      </c>
      <c r="L1953" s="10">
        <v>150</v>
      </c>
      <c r="M1953" s="10">
        <v>100.25</v>
      </c>
      <c r="N1953" s="10">
        <v>49.75</v>
      </c>
      <c r="O1953" s="11">
        <f t="shared" si="122"/>
        <v>0.33166666666666667</v>
      </c>
      <c r="P1953" s="10">
        <v>19.14</v>
      </c>
      <c r="Q1953" s="10">
        <v>30.61</v>
      </c>
      <c r="R1953" s="11">
        <f t="shared" si="123"/>
        <v>0.20406666666666667</v>
      </c>
      <c r="S1953" t="s">
        <v>75</v>
      </c>
      <c r="T1953" t="s">
        <v>66</v>
      </c>
      <c r="U1953" t="s">
        <v>71</v>
      </c>
    </row>
    <row r="1954" spans="1:21" x14ac:dyDescent="0.35">
      <c r="A1954" t="s">
        <v>2083</v>
      </c>
      <c r="B1954" s="5">
        <v>45816</v>
      </c>
      <c r="C1954" t="s">
        <v>90</v>
      </c>
      <c r="D1954" t="s">
        <v>70</v>
      </c>
      <c r="E1954" s="9">
        <v>2</v>
      </c>
      <c r="F1954" s="10">
        <v>38</v>
      </c>
      <c r="G1954" s="11">
        <v>0.02</v>
      </c>
      <c r="H1954" s="10">
        <v>74.48</v>
      </c>
      <c r="I1954" s="9">
        <v>0</v>
      </c>
      <c r="J1954" s="10">
        <v>0</v>
      </c>
      <c r="K1954" s="9">
        <v>2</v>
      </c>
      <c r="L1954" s="10">
        <v>74.48</v>
      </c>
      <c r="M1954" s="10">
        <v>59</v>
      </c>
      <c r="N1954" s="10">
        <v>15.48</v>
      </c>
      <c r="O1954" s="11">
        <f t="shared" si="122"/>
        <v>0.20784103114930183</v>
      </c>
      <c r="P1954" s="10">
        <v>8.93</v>
      </c>
      <c r="Q1954" s="10">
        <v>6.55</v>
      </c>
      <c r="R1954" s="11">
        <f t="shared" si="123"/>
        <v>8.7943071965628353E-2</v>
      </c>
      <c r="S1954" t="s">
        <v>81</v>
      </c>
      <c r="T1954" t="s">
        <v>86</v>
      </c>
      <c r="U1954" t="s">
        <v>71</v>
      </c>
    </row>
    <row r="1955" spans="1:21" x14ac:dyDescent="0.35">
      <c r="A1955" t="s">
        <v>2084</v>
      </c>
      <c r="B1955" s="5">
        <v>45994</v>
      </c>
      <c r="C1955" t="s">
        <v>107</v>
      </c>
      <c r="D1955" t="s">
        <v>74</v>
      </c>
      <c r="E1955" s="9">
        <v>3</v>
      </c>
      <c r="F1955" s="10">
        <v>125</v>
      </c>
      <c r="G1955" s="11">
        <v>0</v>
      </c>
      <c r="H1955" s="10">
        <v>375</v>
      </c>
      <c r="I1955" s="9">
        <v>0</v>
      </c>
      <c r="J1955" s="10">
        <v>0</v>
      </c>
      <c r="K1955" s="9">
        <v>3</v>
      </c>
      <c r="L1955" s="10">
        <v>375</v>
      </c>
      <c r="M1955" s="10">
        <v>287.97000000000003</v>
      </c>
      <c r="N1955" s="10">
        <v>87.03</v>
      </c>
      <c r="O1955" s="11">
        <f t="shared" si="122"/>
        <v>0.23208000000000001</v>
      </c>
      <c r="P1955" s="10">
        <v>24.68</v>
      </c>
      <c r="Q1955" s="10">
        <v>62.35</v>
      </c>
      <c r="R1955" s="11">
        <f t="shared" si="123"/>
        <v>0.16626666666666667</v>
      </c>
      <c r="S1955" t="s">
        <v>75</v>
      </c>
      <c r="T1955" t="s">
        <v>66</v>
      </c>
      <c r="U1955" t="s">
        <v>67</v>
      </c>
    </row>
    <row r="1956" spans="1:21" x14ac:dyDescent="0.35">
      <c r="A1956" t="s">
        <v>2085</v>
      </c>
      <c r="B1956" s="5">
        <v>45740</v>
      </c>
      <c r="C1956" t="s">
        <v>56</v>
      </c>
      <c r="D1956" t="s">
        <v>57</v>
      </c>
      <c r="E1956" s="9">
        <v>2</v>
      </c>
      <c r="F1956" s="10">
        <v>40</v>
      </c>
      <c r="G1956" s="11">
        <v>0.02</v>
      </c>
      <c r="H1956" s="10">
        <v>78.400000000000006</v>
      </c>
      <c r="I1956" s="9">
        <v>0</v>
      </c>
      <c r="J1956" s="10">
        <v>0</v>
      </c>
      <c r="K1956" s="9">
        <v>2</v>
      </c>
      <c r="L1956" s="10">
        <v>78.400000000000006</v>
      </c>
      <c r="M1956" s="10">
        <v>65.819999999999993</v>
      </c>
      <c r="N1956" s="10">
        <v>12.58</v>
      </c>
      <c r="O1956" s="11">
        <f t="shared" si="122"/>
        <v>0.16045918367346937</v>
      </c>
      <c r="P1956" s="10">
        <v>9.06</v>
      </c>
      <c r="Q1956" s="10">
        <v>3.52</v>
      </c>
      <c r="R1956" s="11">
        <f t="shared" si="123"/>
        <v>4.4897959183673466E-2</v>
      </c>
      <c r="S1956" t="s">
        <v>59</v>
      </c>
      <c r="T1956" t="s">
        <v>60</v>
      </c>
      <c r="U1956" t="s">
        <v>76</v>
      </c>
    </row>
    <row r="1957" spans="1:21" x14ac:dyDescent="0.35">
      <c r="A1957" t="s">
        <v>2086</v>
      </c>
      <c r="B1957" s="5">
        <v>45841</v>
      </c>
      <c r="C1957" t="s">
        <v>109</v>
      </c>
      <c r="D1957" t="s">
        <v>85</v>
      </c>
      <c r="E1957" s="9">
        <v>10</v>
      </c>
      <c r="F1957" s="10">
        <v>180</v>
      </c>
      <c r="G1957" s="11">
        <v>0</v>
      </c>
      <c r="H1957" s="10">
        <v>1800</v>
      </c>
      <c r="I1957" s="9">
        <v>0</v>
      </c>
      <c r="J1957" s="10">
        <v>0</v>
      </c>
      <c r="K1957" s="9">
        <v>10</v>
      </c>
      <c r="L1957" s="10">
        <v>1800</v>
      </c>
      <c r="M1957" s="10">
        <v>1374.06</v>
      </c>
      <c r="N1957" s="10">
        <v>425.94</v>
      </c>
      <c r="O1957" s="11">
        <f t="shared" si="122"/>
        <v>0.23663333333333333</v>
      </c>
      <c r="P1957" s="10">
        <v>131.66999999999999</v>
      </c>
      <c r="Q1957" s="10">
        <v>294.27</v>
      </c>
      <c r="R1957" s="11">
        <f t="shared" si="123"/>
        <v>0.16348333333333331</v>
      </c>
      <c r="S1957" t="s">
        <v>59</v>
      </c>
      <c r="T1957" t="s">
        <v>82</v>
      </c>
      <c r="U1957" t="s">
        <v>67</v>
      </c>
    </row>
    <row r="1958" spans="1:21" x14ac:dyDescent="0.35">
      <c r="A1958" t="s">
        <v>2087</v>
      </c>
      <c r="B1958" s="5">
        <v>45681</v>
      </c>
      <c r="C1958" t="s">
        <v>107</v>
      </c>
      <c r="D1958" t="s">
        <v>74</v>
      </c>
      <c r="E1958" s="9">
        <v>4</v>
      </c>
      <c r="F1958" s="10">
        <v>125</v>
      </c>
      <c r="G1958" s="11">
        <v>0</v>
      </c>
      <c r="H1958" s="10">
        <v>500</v>
      </c>
      <c r="I1958" s="9">
        <v>0</v>
      </c>
      <c r="J1958" s="10">
        <v>0</v>
      </c>
      <c r="K1958" s="9">
        <v>4</v>
      </c>
      <c r="L1958" s="10">
        <v>500</v>
      </c>
      <c r="M1958" s="10">
        <v>319.98</v>
      </c>
      <c r="N1958" s="10">
        <v>180.02</v>
      </c>
      <c r="O1958" s="11">
        <f t="shared" si="122"/>
        <v>0.36004000000000003</v>
      </c>
      <c r="P1958" s="10">
        <v>45.81</v>
      </c>
      <c r="Q1958" s="10">
        <v>134.21</v>
      </c>
      <c r="R1958" s="11">
        <f t="shared" si="123"/>
        <v>0.26841999999999999</v>
      </c>
      <c r="S1958" t="s">
        <v>81</v>
      </c>
      <c r="T1958" t="s">
        <v>60</v>
      </c>
      <c r="U1958" t="s">
        <v>71</v>
      </c>
    </row>
    <row r="1959" spans="1:21" x14ac:dyDescent="0.35">
      <c r="A1959" t="s">
        <v>2088</v>
      </c>
      <c r="B1959" s="5">
        <v>45803</v>
      </c>
      <c r="C1959" t="s">
        <v>97</v>
      </c>
      <c r="D1959" t="s">
        <v>57</v>
      </c>
      <c r="E1959" s="9">
        <v>3</v>
      </c>
      <c r="F1959" s="10">
        <v>55</v>
      </c>
      <c r="G1959" s="11">
        <v>0.02</v>
      </c>
      <c r="H1959" s="10">
        <v>161.69999999999999</v>
      </c>
      <c r="I1959" s="9">
        <v>0</v>
      </c>
      <c r="J1959" s="10">
        <v>0</v>
      </c>
      <c r="K1959" s="9">
        <v>3</v>
      </c>
      <c r="L1959" s="10">
        <v>161.69999999999999</v>
      </c>
      <c r="M1959" s="10">
        <v>103.08</v>
      </c>
      <c r="N1959" s="10">
        <v>58.62</v>
      </c>
      <c r="O1959" s="11">
        <f t="shared" si="122"/>
        <v>0.36252319109461967</v>
      </c>
      <c r="P1959" s="10">
        <v>14.02</v>
      </c>
      <c r="Q1959" s="10">
        <v>44.6</v>
      </c>
      <c r="R1959" s="11">
        <f t="shared" si="123"/>
        <v>0.27581941867656157</v>
      </c>
      <c r="S1959" t="s">
        <v>59</v>
      </c>
      <c r="T1959" t="s">
        <v>86</v>
      </c>
      <c r="U1959" t="s">
        <v>67</v>
      </c>
    </row>
    <row r="1960" spans="1:21" x14ac:dyDescent="0.35">
      <c r="A1960" t="s">
        <v>2089</v>
      </c>
      <c r="B1960" s="5">
        <v>45742</v>
      </c>
      <c r="C1960" t="s">
        <v>109</v>
      </c>
      <c r="D1960" t="s">
        <v>85</v>
      </c>
      <c r="E1960" s="9">
        <v>1</v>
      </c>
      <c r="F1960" s="10">
        <v>180</v>
      </c>
      <c r="G1960" s="11">
        <v>0.02</v>
      </c>
      <c r="H1960" s="10">
        <v>176.4</v>
      </c>
      <c r="I1960" s="9">
        <v>0</v>
      </c>
      <c r="J1960" s="10">
        <v>0</v>
      </c>
      <c r="K1960" s="9">
        <v>1</v>
      </c>
      <c r="L1960" s="10">
        <v>176.4</v>
      </c>
      <c r="M1960" s="10">
        <v>132.63999999999999</v>
      </c>
      <c r="N1960" s="10">
        <v>43.76</v>
      </c>
      <c r="O1960" s="11">
        <f t="shared" si="122"/>
        <v>0.24807256235827663</v>
      </c>
      <c r="P1960" s="10">
        <v>22.13</v>
      </c>
      <c r="Q1960" s="10">
        <v>21.63</v>
      </c>
      <c r="R1960" s="11">
        <f t="shared" si="123"/>
        <v>0.12261904761904761</v>
      </c>
      <c r="S1960" t="s">
        <v>65</v>
      </c>
      <c r="T1960" t="s">
        <v>82</v>
      </c>
      <c r="U1960" t="s">
        <v>61</v>
      </c>
    </row>
    <row r="1961" spans="1:21" x14ac:dyDescent="0.35">
      <c r="A1961" t="s">
        <v>2090</v>
      </c>
      <c r="B1961" s="5">
        <v>45751</v>
      </c>
      <c r="C1961" t="s">
        <v>88</v>
      </c>
      <c r="D1961" t="s">
        <v>57</v>
      </c>
      <c r="E1961" s="9">
        <v>1</v>
      </c>
      <c r="F1961" s="10">
        <v>30</v>
      </c>
      <c r="G1961" s="11">
        <v>0.02</v>
      </c>
      <c r="H1961" s="10">
        <v>29.4</v>
      </c>
      <c r="I1961" s="9">
        <v>0</v>
      </c>
      <c r="J1961" s="10">
        <v>0</v>
      </c>
      <c r="K1961" s="9">
        <v>1</v>
      </c>
      <c r="L1961" s="10">
        <v>29.4</v>
      </c>
      <c r="M1961" s="10">
        <v>19.440000000000001</v>
      </c>
      <c r="N1961" s="10">
        <v>9.9600000000000009</v>
      </c>
      <c r="O1961" s="11">
        <f t="shared" si="122"/>
        <v>0.3387755102040817</v>
      </c>
      <c r="P1961" s="10">
        <v>3.08</v>
      </c>
      <c r="Q1961" s="10">
        <v>6.88</v>
      </c>
      <c r="R1961" s="11">
        <f t="shared" si="123"/>
        <v>0.23401360544217689</v>
      </c>
      <c r="S1961" t="s">
        <v>81</v>
      </c>
      <c r="T1961" t="s">
        <v>60</v>
      </c>
      <c r="U1961" t="s">
        <v>67</v>
      </c>
    </row>
    <row r="1962" spans="1:21" x14ac:dyDescent="0.35">
      <c r="A1962" t="s">
        <v>2091</v>
      </c>
      <c r="B1962" s="5">
        <v>45889</v>
      </c>
      <c r="C1962" t="s">
        <v>121</v>
      </c>
      <c r="D1962" t="s">
        <v>70</v>
      </c>
      <c r="E1962" s="9">
        <v>8</v>
      </c>
      <c r="F1962" s="10">
        <v>110</v>
      </c>
      <c r="G1962" s="11">
        <v>0</v>
      </c>
      <c r="H1962" s="10">
        <v>880</v>
      </c>
      <c r="I1962" s="9">
        <v>0</v>
      </c>
      <c r="J1962" s="10">
        <v>0</v>
      </c>
      <c r="K1962" s="9">
        <v>8</v>
      </c>
      <c r="L1962" s="10">
        <v>880</v>
      </c>
      <c r="M1962" s="10">
        <v>646.83000000000004</v>
      </c>
      <c r="N1962" s="10">
        <v>233.17</v>
      </c>
      <c r="O1962" s="11">
        <f t="shared" si="122"/>
        <v>0.26496590909090906</v>
      </c>
      <c r="P1962" s="10">
        <v>71.680000000000007</v>
      </c>
      <c r="Q1962" s="10">
        <v>161.49</v>
      </c>
      <c r="R1962" s="11">
        <f t="shared" si="123"/>
        <v>0.18351136363636364</v>
      </c>
      <c r="S1962" t="s">
        <v>65</v>
      </c>
      <c r="T1962" t="s">
        <v>82</v>
      </c>
      <c r="U1962" t="s">
        <v>71</v>
      </c>
    </row>
    <row r="1963" spans="1:21" x14ac:dyDescent="0.35">
      <c r="A1963" t="s">
        <v>2092</v>
      </c>
      <c r="B1963" s="5">
        <v>45958</v>
      </c>
      <c r="C1963" t="s">
        <v>100</v>
      </c>
      <c r="D1963" t="s">
        <v>64</v>
      </c>
      <c r="E1963" s="9">
        <v>2</v>
      </c>
      <c r="F1963" s="10">
        <v>310</v>
      </c>
      <c r="G1963" s="11">
        <v>0</v>
      </c>
      <c r="H1963" s="10">
        <v>620</v>
      </c>
      <c r="I1963" s="9">
        <v>0</v>
      </c>
      <c r="J1963" s="10">
        <v>0</v>
      </c>
      <c r="K1963" s="9">
        <v>2</v>
      </c>
      <c r="L1963" s="10">
        <v>620</v>
      </c>
      <c r="M1963" s="10">
        <v>455.07</v>
      </c>
      <c r="N1963" s="10">
        <v>164.93</v>
      </c>
      <c r="O1963" s="11">
        <f t="shared" si="122"/>
        <v>0.26601612903225808</v>
      </c>
      <c r="P1963" s="10">
        <v>59.32</v>
      </c>
      <c r="Q1963" s="10">
        <v>105.61</v>
      </c>
      <c r="R1963" s="11">
        <f t="shared" si="123"/>
        <v>0.17033870967741935</v>
      </c>
      <c r="S1963" t="s">
        <v>81</v>
      </c>
      <c r="T1963" t="s">
        <v>86</v>
      </c>
      <c r="U1963" t="s">
        <v>76</v>
      </c>
    </row>
    <row r="1964" spans="1:21" x14ac:dyDescent="0.35">
      <c r="A1964" t="s">
        <v>2093</v>
      </c>
      <c r="B1964" s="5">
        <v>45927</v>
      </c>
      <c r="C1964" t="s">
        <v>100</v>
      </c>
      <c r="D1964" t="s">
        <v>64</v>
      </c>
      <c r="E1964" s="9">
        <v>2</v>
      </c>
      <c r="F1964" s="10">
        <v>310</v>
      </c>
      <c r="G1964" s="11">
        <v>0</v>
      </c>
      <c r="H1964" s="10">
        <v>620</v>
      </c>
      <c r="I1964" s="9">
        <v>0</v>
      </c>
      <c r="J1964" s="10">
        <v>0</v>
      </c>
      <c r="K1964" s="9">
        <v>2</v>
      </c>
      <c r="L1964" s="10">
        <v>620</v>
      </c>
      <c r="M1964" s="10">
        <v>490.44</v>
      </c>
      <c r="N1964" s="10">
        <v>129.56</v>
      </c>
      <c r="O1964" s="11">
        <f t="shared" si="122"/>
        <v>0.20896774193548387</v>
      </c>
      <c r="P1964" s="10">
        <v>64.069999999999993</v>
      </c>
      <c r="Q1964" s="10">
        <v>65.489999999999995</v>
      </c>
      <c r="R1964" s="11">
        <f t="shared" si="123"/>
        <v>0.10562903225806451</v>
      </c>
      <c r="S1964" t="s">
        <v>59</v>
      </c>
      <c r="T1964" t="s">
        <v>66</v>
      </c>
      <c r="U1964" t="s">
        <v>76</v>
      </c>
    </row>
    <row r="1965" spans="1:21" x14ac:dyDescent="0.35">
      <c r="A1965" t="s">
        <v>2094</v>
      </c>
      <c r="B1965" s="5">
        <v>45724</v>
      </c>
      <c r="C1965" t="s">
        <v>97</v>
      </c>
      <c r="D1965" t="s">
        <v>57</v>
      </c>
      <c r="E1965" s="9">
        <v>1</v>
      </c>
      <c r="F1965" s="10">
        <v>55</v>
      </c>
      <c r="G1965" s="11">
        <v>0</v>
      </c>
      <c r="H1965" s="10">
        <v>55</v>
      </c>
      <c r="I1965" s="9">
        <v>0</v>
      </c>
      <c r="J1965" s="10">
        <v>0</v>
      </c>
      <c r="K1965" s="9">
        <v>1</v>
      </c>
      <c r="L1965" s="10">
        <v>55</v>
      </c>
      <c r="M1965" s="10">
        <v>34.6</v>
      </c>
      <c r="N1965" s="10">
        <v>20.399999999999999</v>
      </c>
      <c r="O1965" s="11">
        <f t="shared" si="122"/>
        <v>0.37090909090909091</v>
      </c>
      <c r="P1965" s="10">
        <v>6.38</v>
      </c>
      <c r="Q1965" s="10">
        <v>14.02</v>
      </c>
      <c r="R1965" s="11">
        <f t="shared" si="123"/>
        <v>0.25490909090909092</v>
      </c>
      <c r="S1965" t="s">
        <v>59</v>
      </c>
      <c r="T1965" t="s">
        <v>82</v>
      </c>
      <c r="U1965" t="s">
        <v>67</v>
      </c>
    </row>
    <row r="1966" spans="1:21" x14ac:dyDescent="0.35">
      <c r="A1966" t="s">
        <v>2095</v>
      </c>
      <c r="B1966" s="5">
        <v>45674</v>
      </c>
      <c r="C1966" t="s">
        <v>95</v>
      </c>
      <c r="D1966" t="s">
        <v>64</v>
      </c>
      <c r="E1966" s="9">
        <v>10</v>
      </c>
      <c r="F1966" s="10">
        <v>52</v>
      </c>
      <c r="G1966" s="11">
        <v>0.02</v>
      </c>
      <c r="H1966" s="10">
        <v>509.6</v>
      </c>
      <c r="I1966" s="9">
        <v>0</v>
      </c>
      <c r="J1966" s="10">
        <v>0</v>
      </c>
      <c r="K1966" s="9">
        <v>10</v>
      </c>
      <c r="L1966" s="10">
        <v>509.6</v>
      </c>
      <c r="M1966" s="10">
        <v>371.51</v>
      </c>
      <c r="N1966" s="10">
        <v>138.09</v>
      </c>
      <c r="O1966" s="11">
        <f t="shared" si="122"/>
        <v>0.27097723704866561</v>
      </c>
      <c r="P1966" s="10">
        <v>53.79</v>
      </c>
      <c r="Q1966" s="10">
        <v>84.3</v>
      </c>
      <c r="R1966" s="11">
        <f t="shared" si="123"/>
        <v>0.16542386185243327</v>
      </c>
      <c r="S1966" t="s">
        <v>81</v>
      </c>
      <c r="T1966" t="s">
        <v>82</v>
      </c>
      <c r="U1966" t="s">
        <v>61</v>
      </c>
    </row>
    <row r="1967" spans="1:21" x14ac:dyDescent="0.35">
      <c r="A1967" t="s">
        <v>2096</v>
      </c>
      <c r="B1967" s="5">
        <v>45785</v>
      </c>
      <c r="C1967" t="s">
        <v>107</v>
      </c>
      <c r="D1967" t="s">
        <v>74</v>
      </c>
      <c r="E1967" s="9">
        <v>1</v>
      </c>
      <c r="F1967" s="10">
        <v>125</v>
      </c>
      <c r="G1967" s="11">
        <v>0</v>
      </c>
      <c r="H1967" s="10">
        <v>125</v>
      </c>
      <c r="I1967" s="9">
        <v>0</v>
      </c>
      <c r="J1967" s="10">
        <v>0</v>
      </c>
      <c r="K1967" s="9">
        <v>1</v>
      </c>
      <c r="L1967" s="10">
        <v>125</v>
      </c>
      <c r="M1967" s="10">
        <v>82.93</v>
      </c>
      <c r="N1967" s="10">
        <v>42.07</v>
      </c>
      <c r="O1967" s="11">
        <f t="shared" si="122"/>
        <v>0.33656000000000003</v>
      </c>
      <c r="P1967" s="10">
        <v>12.41</v>
      </c>
      <c r="Q1967" s="10">
        <v>29.66</v>
      </c>
      <c r="R1967" s="11">
        <f t="shared" si="123"/>
        <v>0.23727999999999999</v>
      </c>
      <c r="S1967" t="s">
        <v>65</v>
      </c>
      <c r="T1967" t="s">
        <v>82</v>
      </c>
      <c r="U1967" t="s">
        <v>76</v>
      </c>
    </row>
    <row r="1968" spans="1:21" x14ac:dyDescent="0.35">
      <c r="A1968" t="s">
        <v>2097</v>
      </c>
      <c r="B1968" s="5">
        <v>46013</v>
      </c>
      <c r="C1968" t="s">
        <v>73</v>
      </c>
      <c r="D1968" t="s">
        <v>74</v>
      </c>
      <c r="E1968" s="9">
        <v>1</v>
      </c>
      <c r="F1968" s="10">
        <v>280</v>
      </c>
      <c r="G1968" s="11">
        <v>0.05</v>
      </c>
      <c r="H1968" s="10">
        <v>266</v>
      </c>
      <c r="I1968" s="9">
        <v>0</v>
      </c>
      <c r="J1968" s="10">
        <v>0</v>
      </c>
      <c r="K1968" s="9">
        <v>1</v>
      </c>
      <c r="L1968" s="10">
        <v>266</v>
      </c>
      <c r="M1968" s="10">
        <v>223.07</v>
      </c>
      <c r="N1968" s="10">
        <v>42.93</v>
      </c>
      <c r="O1968" s="11">
        <f t="shared" si="122"/>
        <v>0.16139097744360903</v>
      </c>
      <c r="P1968" s="10">
        <v>15.47</v>
      </c>
      <c r="Q1968" s="10">
        <v>27.46</v>
      </c>
      <c r="R1968" s="11">
        <f t="shared" si="123"/>
        <v>0.10323308270676693</v>
      </c>
      <c r="S1968" t="s">
        <v>65</v>
      </c>
      <c r="T1968" t="s">
        <v>60</v>
      </c>
      <c r="U1968" t="s">
        <v>71</v>
      </c>
    </row>
    <row r="1969" spans="1:21" x14ac:dyDescent="0.35">
      <c r="A1969" t="s">
        <v>2098</v>
      </c>
      <c r="B1969" s="5">
        <v>45992</v>
      </c>
      <c r="C1969" t="s">
        <v>121</v>
      </c>
      <c r="D1969" t="s">
        <v>70</v>
      </c>
      <c r="E1969" s="9">
        <v>10</v>
      </c>
      <c r="F1969" s="10">
        <v>110</v>
      </c>
      <c r="G1969" s="11">
        <v>0</v>
      </c>
      <c r="H1969" s="10">
        <v>1100</v>
      </c>
      <c r="I1969" s="9">
        <v>0</v>
      </c>
      <c r="J1969" s="10">
        <v>0</v>
      </c>
      <c r="K1969" s="9">
        <v>10</v>
      </c>
      <c r="L1969" s="10">
        <v>1100</v>
      </c>
      <c r="M1969" s="10">
        <v>862.22</v>
      </c>
      <c r="N1969" s="10">
        <v>237.78</v>
      </c>
      <c r="O1969" s="11">
        <f t="shared" ref="O1969:O2000" si="124">N1969/L1969</f>
        <v>0.21616363636363636</v>
      </c>
      <c r="P1969" s="10">
        <v>89.49</v>
      </c>
      <c r="Q1969" s="10">
        <v>148.29</v>
      </c>
      <c r="R1969" s="11">
        <f t="shared" ref="R1969:R2000" si="125">Q1969/L1969</f>
        <v>0.13480909090909091</v>
      </c>
      <c r="S1969" t="s">
        <v>65</v>
      </c>
      <c r="T1969" t="s">
        <v>86</v>
      </c>
      <c r="U1969" t="s">
        <v>67</v>
      </c>
    </row>
    <row r="1970" spans="1:21" x14ac:dyDescent="0.35">
      <c r="A1970" t="s">
        <v>2099</v>
      </c>
      <c r="B1970" s="5">
        <v>45842</v>
      </c>
      <c r="C1970" t="s">
        <v>56</v>
      </c>
      <c r="D1970" t="s">
        <v>57</v>
      </c>
      <c r="E1970" s="9">
        <v>5</v>
      </c>
      <c r="F1970" s="10">
        <v>40</v>
      </c>
      <c r="G1970" s="11">
        <v>0</v>
      </c>
      <c r="H1970" s="10">
        <v>200</v>
      </c>
      <c r="I1970" s="9">
        <v>0</v>
      </c>
      <c r="J1970" s="10">
        <v>0</v>
      </c>
      <c r="K1970" s="9">
        <v>5</v>
      </c>
      <c r="L1970" s="10">
        <v>200</v>
      </c>
      <c r="M1970" s="10">
        <v>136.29</v>
      </c>
      <c r="N1970" s="10">
        <v>63.71</v>
      </c>
      <c r="O1970" s="11">
        <f t="shared" si="124"/>
        <v>0.31855</v>
      </c>
      <c r="P1970" s="10">
        <v>18.78</v>
      </c>
      <c r="Q1970" s="10">
        <v>44.93</v>
      </c>
      <c r="R1970" s="11">
        <f t="shared" si="125"/>
        <v>0.22464999999999999</v>
      </c>
      <c r="S1970" t="s">
        <v>65</v>
      </c>
      <c r="T1970" t="s">
        <v>82</v>
      </c>
      <c r="U1970" t="s">
        <v>76</v>
      </c>
    </row>
    <row r="1971" spans="1:21" x14ac:dyDescent="0.35">
      <c r="A1971" t="s">
        <v>2100</v>
      </c>
      <c r="B1971" s="5">
        <v>45802</v>
      </c>
      <c r="C1971" t="s">
        <v>95</v>
      </c>
      <c r="D1971" t="s">
        <v>64</v>
      </c>
      <c r="E1971" s="9">
        <v>3</v>
      </c>
      <c r="F1971" s="10">
        <v>52</v>
      </c>
      <c r="G1971" s="11">
        <v>0.1</v>
      </c>
      <c r="H1971" s="10">
        <v>140.4</v>
      </c>
      <c r="I1971" s="9">
        <v>0</v>
      </c>
      <c r="J1971" s="10">
        <v>0</v>
      </c>
      <c r="K1971" s="9">
        <v>3</v>
      </c>
      <c r="L1971" s="10">
        <v>140.4</v>
      </c>
      <c r="M1971" s="10">
        <v>110.51</v>
      </c>
      <c r="N1971" s="10">
        <v>29.89</v>
      </c>
      <c r="O1971" s="11">
        <f t="shared" si="124"/>
        <v>0.21289173789173788</v>
      </c>
      <c r="P1971" s="10">
        <v>14.31</v>
      </c>
      <c r="Q1971" s="10">
        <v>15.58</v>
      </c>
      <c r="R1971" s="11">
        <f t="shared" si="125"/>
        <v>0.11096866096866097</v>
      </c>
      <c r="S1971" t="s">
        <v>81</v>
      </c>
      <c r="T1971" t="s">
        <v>66</v>
      </c>
      <c r="U1971" t="s">
        <v>71</v>
      </c>
    </row>
    <row r="1972" spans="1:21" x14ac:dyDescent="0.35">
      <c r="A1972" t="s">
        <v>2101</v>
      </c>
      <c r="B1972" s="5">
        <v>45682</v>
      </c>
      <c r="C1972" t="s">
        <v>109</v>
      </c>
      <c r="D1972" t="s">
        <v>85</v>
      </c>
      <c r="E1972" s="9">
        <v>3</v>
      </c>
      <c r="F1972" s="10">
        <v>180</v>
      </c>
      <c r="G1972" s="11">
        <v>0</v>
      </c>
      <c r="H1972" s="10">
        <v>540</v>
      </c>
      <c r="I1972" s="9">
        <v>0</v>
      </c>
      <c r="J1972" s="10">
        <v>0</v>
      </c>
      <c r="K1972" s="9">
        <v>3</v>
      </c>
      <c r="L1972" s="10">
        <v>540</v>
      </c>
      <c r="M1972" s="10">
        <v>349.31</v>
      </c>
      <c r="N1972" s="10">
        <v>190.69</v>
      </c>
      <c r="O1972" s="11">
        <f t="shared" si="124"/>
        <v>0.35312962962962963</v>
      </c>
      <c r="P1972" s="10">
        <v>62.47</v>
      </c>
      <c r="Q1972" s="10">
        <v>128.22</v>
      </c>
      <c r="R1972" s="11">
        <f t="shared" si="125"/>
        <v>0.23744444444444443</v>
      </c>
      <c r="S1972" t="s">
        <v>81</v>
      </c>
      <c r="T1972" t="s">
        <v>60</v>
      </c>
      <c r="U1972" t="s">
        <v>61</v>
      </c>
    </row>
    <row r="1973" spans="1:21" x14ac:dyDescent="0.35">
      <c r="A1973" t="s">
        <v>2102</v>
      </c>
      <c r="B1973" s="5">
        <v>45675</v>
      </c>
      <c r="C1973" t="s">
        <v>69</v>
      </c>
      <c r="D1973" t="s">
        <v>70</v>
      </c>
      <c r="E1973" s="9">
        <v>4</v>
      </c>
      <c r="F1973" s="10">
        <v>210</v>
      </c>
      <c r="G1973" s="11">
        <v>0</v>
      </c>
      <c r="H1973" s="10">
        <v>840</v>
      </c>
      <c r="I1973" s="9">
        <v>0</v>
      </c>
      <c r="J1973" s="10">
        <v>0</v>
      </c>
      <c r="K1973" s="9">
        <v>4</v>
      </c>
      <c r="L1973" s="10">
        <v>840</v>
      </c>
      <c r="M1973" s="10">
        <v>654.71</v>
      </c>
      <c r="N1973" s="10">
        <v>185.29</v>
      </c>
      <c r="O1973" s="11">
        <f t="shared" si="124"/>
        <v>0.22058333333333333</v>
      </c>
      <c r="P1973" s="10">
        <v>90.82</v>
      </c>
      <c r="Q1973" s="10">
        <v>94.47</v>
      </c>
      <c r="R1973" s="11">
        <f t="shared" si="125"/>
        <v>0.11246428571428571</v>
      </c>
      <c r="S1973" t="s">
        <v>2133</v>
      </c>
      <c r="T1973" t="s">
        <v>2133</v>
      </c>
      <c r="U1973" t="s">
        <v>67</v>
      </c>
    </row>
    <row r="1974" spans="1:21" x14ac:dyDescent="0.35">
      <c r="A1974" t="s">
        <v>2103</v>
      </c>
      <c r="B1974" s="5">
        <v>45918</v>
      </c>
      <c r="C1974" t="s">
        <v>84</v>
      </c>
      <c r="D1974" t="s">
        <v>85</v>
      </c>
      <c r="E1974" s="9">
        <v>1</v>
      </c>
      <c r="F1974" s="10">
        <v>48</v>
      </c>
      <c r="G1974" s="11">
        <v>0</v>
      </c>
      <c r="H1974" s="10">
        <v>48</v>
      </c>
      <c r="I1974" s="9">
        <v>0</v>
      </c>
      <c r="J1974" s="10">
        <v>0</v>
      </c>
      <c r="K1974" s="9">
        <v>1</v>
      </c>
      <c r="L1974" s="10">
        <v>48</v>
      </c>
      <c r="M1974" s="10">
        <v>39.76</v>
      </c>
      <c r="N1974" s="10">
        <v>8.24</v>
      </c>
      <c r="O1974" s="11">
        <f t="shared" si="124"/>
        <v>0.17166666666666666</v>
      </c>
      <c r="P1974" s="10">
        <v>4.6100000000000003</v>
      </c>
      <c r="Q1974" s="10">
        <v>3.63</v>
      </c>
      <c r="R1974" s="11">
        <f t="shared" si="125"/>
        <v>7.5624999999999998E-2</v>
      </c>
      <c r="S1974" t="s">
        <v>65</v>
      </c>
      <c r="T1974" t="s">
        <v>60</v>
      </c>
      <c r="U1974" t="s">
        <v>61</v>
      </c>
    </row>
    <row r="1975" spans="1:21" x14ac:dyDescent="0.35">
      <c r="A1975" t="s">
        <v>2104</v>
      </c>
      <c r="B1975" s="5">
        <v>45825</v>
      </c>
      <c r="C1975" t="s">
        <v>63</v>
      </c>
      <c r="D1975" t="s">
        <v>64</v>
      </c>
      <c r="E1975" s="9">
        <v>5</v>
      </c>
      <c r="F1975" s="10">
        <v>145</v>
      </c>
      <c r="G1975" s="11">
        <v>0</v>
      </c>
      <c r="H1975" s="10">
        <v>725</v>
      </c>
      <c r="I1975" s="9">
        <v>0</v>
      </c>
      <c r="J1975" s="10">
        <v>0</v>
      </c>
      <c r="K1975" s="9">
        <v>5</v>
      </c>
      <c r="L1975" s="10">
        <v>725</v>
      </c>
      <c r="M1975" s="10">
        <v>479.01</v>
      </c>
      <c r="N1975" s="10">
        <v>245.99</v>
      </c>
      <c r="O1975" s="11">
        <f t="shared" si="124"/>
        <v>0.33929655172413792</v>
      </c>
      <c r="P1975" s="10">
        <v>65.14</v>
      </c>
      <c r="Q1975" s="10">
        <v>180.85</v>
      </c>
      <c r="R1975" s="11">
        <f t="shared" si="125"/>
        <v>0.24944827586206897</v>
      </c>
      <c r="S1975" t="s">
        <v>59</v>
      </c>
      <c r="T1975" t="s">
        <v>66</v>
      </c>
      <c r="U1975" t="s">
        <v>76</v>
      </c>
    </row>
    <row r="1976" spans="1:21" x14ac:dyDescent="0.35">
      <c r="A1976" t="s">
        <v>2105</v>
      </c>
      <c r="B1976" s="5">
        <v>45670</v>
      </c>
      <c r="C1976" t="s">
        <v>73</v>
      </c>
      <c r="D1976" t="s">
        <v>74</v>
      </c>
      <c r="E1976" s="9">
        <v>4</v>
      </c>
      <c r="F1976" s="10">
        <v>280</v>
      </c>
      <c r="G1976" s="11">
        <v>0</v>
      </c>
      <c r="H1976" s="10">
        <v>1120</v>
      </c>
      <c r="I1976" s="9">
        <v>0</v>
      </c>
      <c r="J1976" s="10">
        <v>0</v>
      </c>
      <c r="K1976" s="9">
        <v>4</v>
      </c>
      <c r="L1976" s="10">
        <v>1120</v>
      </c>
      <c r="M1976" s="10">
        <v>824.29</v>
      </c>
      <c r="N1976" s="10">
        <v>295.70999999999998</v>
      </c>
      <c r="O1976" s="11">
        <f t="shared" si="124"/>
        <v>0.26402678571428567</v>
      </c>
      <c r="P1976" s="10">
        <v>62.05</v>
      </c>
      <c r="Q1976" s="10">
        <v>233.66</v>
      </c>
      <c r="R1976" s="11">
        <f t="shared" si="125"/>
        <v>0.208625</v>
      </c>
      <c r="S1976" t="s">
        <v>59</v>
      </c>
      <c r="T1976" t="s">
        <v>86</v>
      </c>
      <c r="U1976" t="s">
        <v>61</v>
      </c>
    </row>
    <row r="1977" spans="1:21" x14ac:dyDescent="0.35">
      <c r="A1977" t="s">
        <v>2106</v>
      </c>
      <c r="B1977" s="5">
        <v>45735</v>
      </c>
      <c r="C1977" t="s">
        <v>97</v>
      </c>
      <c r="D1977" t="s">
        <v>57</v>
      </c>
      <c r="E1977" s="9">
        <v>3</v>
      </c>
      <c r="F1977" s="10">
        <v>55</v>
      </c>
      <c r="G1977" s="11">
        <v>0.05</v>
      </c>
      <c r="H1977" s="10">
        <v>156.75</v>
      </c>
      <c r="I1977" s="9">
        <v>0</v>
      </c>
      <c r="J1977" s="10">
        <v>0</v>
      </c>
      <c r="K1977" s="9">
        <v>3</v>
      </c>
      <c r="L1977" s="10">
        <v>156.75</v>
      </c>
      <c r="M1977" s="10">
        <v>126.28</v>
      </c>
      <c r="N1977" s="10">
        <v>30.47</v>
      </c>
      <c r="O1977" s="11">
        <f t="shared" si="124"/>
        <v>0.19438596491228069</v>
      </c>
      <c r="P1977" s="10">
        <v>13.41</v>
      </c>
      <c r="Q1977" s="10">
        <v>17.059999999999999</v>
      </c>
      <c r="R1977" s="11">
        <f t="shared" si="125"/>
        <v>0.10883572567783094</v>
      </c>
      <c r="S1977" t="s">
        <v>75</v>
      </c>
      <c r="T1977" t="s">
        <v>82</v>
      </c>
      <c r="U1977" t="s">
        <v>71</v>
      </c>
    </row>
    <row r="1978" spans="1:21" x14ac:dyDescent="0.35">
      <c r="A1978" t="s">
        <v>2107</v>
      </c>
      <c r="B1978" s="5">
        <v>45957</v>
      </c>
      <c r="C1978" t="s">
        <v>56</v>
      </c>
      <c r="D1978" t="s">
        <v>57</v>
      </c>
      <c r="E1978" s="9">
        <v>2</v>
      </c>
      <c r="F1978" s="10">
        <v>40</v>
      </c>
      <c r="G1978" s="11">
        <v>0</v>
      </c>
      <c r="H1978" s="10">
        <v>80</v>
      </c>
      <c r="I1978" s="9">
        <v>0</v>
      </c>
      <c r="J1978" s="10">
        <v>0</v>
      </c>
      <c r="K1978" s="9">
        <v>2</v>
      </c>
      <c r="L1978" s="10">
        <v>80</v>
      </c>
      <c r="M1978" s="10">
        <v>52.26</v>
      </c>
      <c r="N1978" s="10">
        <v>27.74</v>
      </c>
      <c r="O1978" s="11">
        <f t="shared" si="124"/>
        <v>0.34675</v>
      </c>
      <c r="P1978" s="10">
        <v>5.92</v>
      </c>
      <c r="Q1978" s="10">
        <v>21.82</v>
      </c>
      <c r="R1978" s="11">
        <f t="shared" si="125"/>
        <v>0.27274999999999999</v>
      </c>
      <c r="S1978" t="s">
        <v>81</v>
      </c>
      <c r="T1978" t="s">
        <v>60</v>
      </c>
      <c r="U1978" t="s">
        <v>67</v>
      </c>
    </row>
    <row r="1979" spans="1:21" x14ac:dyDescent="0.35">
      <c r="A1979" t="s">
        <v>2108</v>
      </c>
      <c r="B1979" s="5">
        <v>45765</v>
      </c>
      <c r="C1979" t="s">
        <v>84</v>
      </c>
      <c r="D1979" t="s">
        <v>85</v>
      </c>
      <c r="E1979" s="9">
        <v>2</v>
      </c>
      <c r="F1979" s="10">
        <v>48</v>
      </c>
      <c r="G1979" s="11">
        <v>0</v>
      </c>
      <c r="H1979" s="10">
        <v>96</v>
      </c>
      <c r="I1979" s="9">
        <v>0</v>
      </c>
      <c r="J1979" s="10">
        <v>0</v>
      </c>
      <c r="K1979" s="9">
        <v>2</v>
      </c>
      <c r="L1979" s="10">
        <v>96</v>
      </c>
      <c r="M1979" s="10">
        <v>77.88</v>
      </c>
      <c r="N1979" s="10">
        <v>18.12</v>
      </c>
      <c r="O1979" s="11">
        <f t="shared" si="124"/>
        <v>0.18875</v>
      </c>
      <c r="P1979" s="10">
        <v>6.2</v>
      </c>
      <c r="Q1979" s="10">
        <v>11.92</v>
      </c>
      <c r="R1979" s="11">
        <f t="shared" si="125"/>
        <v>0.12416666666666666</v>
      </c>
      <c r="S1979" t="s">
        <v>65</v>
      </c>
      <c r="T1979" t="s">
        <v>82</v>
      </c>
      <c r="U1979" t="s">
        <v>76</v>
      </c>
    </row>
    <row r="1980" spans="1:21" x14ac:dyDescent="0.35">
      <c r="A1980" t="s">
        <v>2109</v>
      </c>
      <c r="B1980" s="5">
        <v>45940</v>
      </c>
      <c r="C1980" t="s">
        <v>125</v>
      </c>
      <c r="D1980" t="s">
        <v>85</v>
      </c>
      <c r="E1980" s="9">
        <v>6</v>
      </c>
      <c r="F1980" s="10">
        <v>125</v>
      </c>
      <c r="G1980" s="11">
        <v>0</v>
      </c>
      <c r="H1980" s="10">
        <v>750</v>
      </c>
      <c r="I1980" s="9">
        <v>0</v>
      </c>
      <c r="J1980" s="10">
        <v>0</v>
      </c>
      <c r="K1980" s="9">
        <v>6</v>
      </c>
      <c r="L1980" s="10">
        <v>750</v>
      </c>
      <c r="M1980" s="10">
        <v>523.64</v>
      </c>
      <c r="N1980" s="10">
        <v>226.36</v>
      </c>
      <c r="O1980" s="11">
        <f t="shared" si="124"/>
        <v>0.30181333333333338</v>
      </c>
      <c r="P1980" s="10">
        <v>76.58</v>
      </c>
      <c r="Q1980" s="10">
        <v>149.78</v>
      </c>
      <c r="R1980" s="11">
        <f t="shared" si="125"/>
        <v>0.19970666666666667</v>
      </c>
      <c r="S1980" t="s">
        <v>81</v>
      </c>
      <c r="T1980" t="s">
        <v>82</v>
      </c>
      <c r="U1980" t="s">
        <v>61</v>
      </c>
    </row>
    <row r="1981" spans="1:21" x14ac:dyDescent="0.35">
      <c r="A1981" t="s">
        <v>2110</v>
      </c>
      <c r="B1981" s="5">
        <v>46016</v>
      </c>
      <c r="C1981" t="s">
        <v>88</v>
      </c>
      <c r="D1981" t="s">
        <v>57</v>
      </c>
      <c r="E1981" s="9">
        <v>2</v>
      </c>
      <c r="F1981" s="10">
        <v>30</v>
      </c>
      <c r="G1981" s="11">
        <v>0.02</v>
      </c>
      <c r="H1981" s="10">
        <v>58.8</v>
      </c>
      <c r="I1981" s="9">
        <v>0</v>
      </c>
      <c r="J1981" s="10">
        <v>0</v>
      </c>
      <c r="K1981" s="9">
        <v>2</v>
      </c>
      <c r="L1981" s="10">
        <v>58.8</v>
      </c>
      <c r="M1981" s="10">
        <v>41.44</v>
      </c>
      <c r="N1981" s="10">
        <v>17.36</v>
      </c>
      <c r="O1981" s="11">
        <f t="shared" si="124"/>
        <v>0.29523809523809524</v>
      </c>
      <c r="P1981" s="10">
        <v>7.1</v>
      </c>
      <c r="Q1981" s="10">
        <v>10.26</v>
      </c>
      <c r="R1981" s="11">
        <f t="shared" si="125"/>
        <v>0.17448979591836736</v>
      </c>
      <c r="S1981" t="s">
        <v>65</v>
      </c>
      <c r="T1981" t="s">
        <v>66</v>
      </c>
      <c r="U1981" t="s">
        <v>76</v>
      </c>
    </row>
    <row r="1982" spans="1:21" x14ac:dyDescent="0.35">
      <c r="A1982" t="s">
        <v>2111</v>
      </c>
      <c r="B1982" s="5">
        <v>45942</v>
      </c>
      <c r="C1982" t="s">
        <v>104</v>
      </c>
      <c r="D1982" t="s">
        <v>105</v>
      </c>
      <c r="E1982" s="9">
        <v>5</v>
      </c>
      <c r="F1982" s="10">
        <v>65</v>
      </c>
      <c r="G1982" s="11">
        <v>0</v>
      </c>
      <c r="H1982" s="10">
        <v>325</v>
      </c>
      <c r="I1982" s="9">
        <v>0</v>
      </c>
      <c r="J1982" s="10">
        <v>0</v>
      </c>
      <c r="K1982" s="9">
        <v>5</v>
      </c>
      <c r="L1982" s="10">
        <v>325</v>
      </c>
      <c r="M1982" s="10">
        <v>255.13</v>
      </c>
      <c r="N1982" s="10">
        <v>69.87</v>
      </c>
      <c r="O1982" s="11">
        <f t="shared" si="124"/>
        <v>0.21498461538461539</v>
      </c>
      <c r="P1982" s="10">
        <v>29.56</v>
      </c>
      <c r="Q1982" s="10">
        <v>40.31</v>
      </c>
      <c r="R1982" s="11">
        <f t="shared" si="125"/>
        <v>0.12403076923076924</v>
      </c>
      <c r="S1982" t="s">
        <v>75</v>
      </c>
      <c r="T1982" t="s">
        <v>60</v>
      </c>
      <c r="U1982" t="s">
        <v>76</v>
      </c>
    </row>
    <row r="1983" spans="1:21" x14ac:dyDescent="0.35">
      <c r="A1983" t="s">
        <v>2112</v>
      </c>
      <c r="B1983" s="5">
        <v>45752</v>
      </c>
      <c r="C1983" t="s">
        <v>121</v>
      </c>
      <c r="D1983" t="s">
        <v>70</v>
      </c>
      <c r="E1983" s="9">
        <v>3</v>
      </c>
      <c r="F1983" s="10">
        <v>110</v>
      </c>
      <c r="G1983" s="11">
        <v>0</v>
      </c>
      <c r="H1983" s="10">
        <v>330</v>
      </c>
      <c r="I1983" s="9">
        <v>0</v>
      </c>
      <c r="J1983" s="10">
        <v>0</v>
      </c>
      <c r="K1983" s="9">
        <v>3</v>
      </c>
      <c r="L1983" s="10">
        <v>330</v>
      </c>
      <c r="M1983" s="10">
        <v>263.11</v>
      </c>
      <c r="N1983" s="10">
        <v>66.89</v>
      </c>
      <c r="O1983" s="11">
        <f t="shared" si="124"/>
        <v>0.20269696969696971</v>
      </c>
      <c r="P1983" s="10">
        <v>27.79</v>
      </c>
      <c r="Q1983" s="10">
        <v>39.1</v>
      </c>
      <c r="R1983" s="11">
        <f t="shared" si="125"/>
        <v>0.11848484848484848</v>
      </c>
      <c r="S1983" t="s">
        <v>81</v>
      </c>
      <c r="T1983" t="s">
        <v>86</v>
      </c>
      <c r="U1983" t="s">
        <v>61</v>
      </c>
    </row>
    <row r="1984" spans="1:21" x14ac:dyDescent="0.35">
      <c r="A1984" t="s">
        <v>2113</v>
      </c>
      <c r="B1984" s="5">
        <v>45910</v>
      </c>
      <c r="C1984" t="s">
        <v>97</v>
      </c>
      <c r="D1984" t="s">
        <v>57</v>
      </c>
      <c r="E1984" s="9">
        <v>1</v>
      </c>
      <c r="F1984" s="10">
        <v>55</v>
      </c>
      <c r="G1984" s="11">
        <v>0.15</v>
      </c>
      <c r="H1984" s="10">
        <v>46.75</v>
      </c>
      <c r="I1984" s="9">
        <v>0</v>
      </c>
      <c r="J1984" s="10">
        <v>0</v>
      </c>
      <c r="K1984" s="9">
        <v>1</v>
      </c>
      <c r="L1984" s="10">
        <v>46.75</v>
      </c>
      <c r="M1984" s="10">
        <v>33.130000000000003</v>
      </c>
      <c r="N1984" s="10">
        <v>13.62</v>
      </c>
      <c r="O1984" s="11">
        <f t="shared" si="124"/>
        <v>0.29133689839572191</v>
      </c>
      <c r="P1984" s="10">
        <v>4.17</v>
      </c>
      <c r="Q1984" s="10">
        <v>9.4499999999999993</v>
      </c>
      <c r="R1984" s="11">
        <f t="shared" si="125"/>
        <v>0.20213903743315506</v>
      </c>
      <c r="S1984" t="s">
        <v>65</v>
      </c>
      <c r="T1984" t="s">
        <v>66</v>
      </c>
      <c r="U1984" t="s">
        <v>67</v>
      </c>
    </row>
    <row r="1985" spans="1:21" x14ac:dyDescent="0.35">
      <c r="A1985" t="s">
        <v>2114</v>
      </c>
      <c r="B1985" s="5">
        <v>45821</v>
      </c>
      <c r="C1985" t="s">
        <v>117</v>
      </c>
      <c r="D1985" t="s">
        <v>74</v>
      </c>
      <c r="E1985" s="9">
        <v>1</v>
      </c>
      <c r="F1985" s="10">
        <v>95</v>
      </c>
      <c r="G1985" s="11">
        <v>0</v>
      </c>
      <c r="H1985" s="10">
        <v>95</v>
      </c>
      <c r="I1985" s="9">
        <v>0</v>
      </c>
      <c r="J1985" s="10">
        <v>0</v>
      </c>
      <c r="K1985" s="9">
        <v>1</v>
      </c>
      <c r="L1985" s="10">
        <v>95</v>
      </c>
      <c r="M1985" s="10">
        <v>64.510000000000005</v>
      </c>
      <c r="N1985" s="10">
        <v>30.49</v>
      </c>
      <c r="O1985" s="11">
        <f t="shared" si="124"/>
        <v>0.32094736842105259</v>
      </c>
      <c r="P1985" s="10">
        <v>10.49</v>
      </c>
      <c r="Q1985" s="10">
        <v>20</v>
      </c>
      <c r="R1985" s="11">
        <f t="shared" si="125"/>
        <v>0.21052631578947367</v>
      </c>
      <c r="S1985" t="s">
        <v>75</v>
      </c>
      <c r="T1985" t="s">
        <v>60</v>
      </c>
      <c r="U1985" t="s">
        <v>71</v>
      </c>
    </row>
    <row r="1986" spans="1:21" x14ac:dyDescent="0.35">
      <c r="A1986" t="s">
        <v>2115</v>
      </c>
      <c r="B1986" s="5">
        <v>45950</v>
      </c>
      <c r="C1986" t="s">
        <v>95</v>
      </c>
      <c r="D1986" t="s">
        <v>64</v>
      </c>
      <c r="E1986" s="9">
        <v>1</v>
      </c>
      <c r="F1986" s="10">
        <v>52</v>
      </c>
      <c r="G1986" s="11">
        <v>0</v>
      </c>
      <c r="H1986" s="10">
        <v>52</v>
      </c>
      <c r="I1986" s="9">
        <v>0</v>
      </c>
      <c r="J1986" s="10">
        <v>0</v>
      </c>
      <c r="K1986" s="9">
        <v>1</v>
      </c>
      <c r="L1986" s="10">
        <v>52</v>
      </c>
      <c r="M1986" s="10">
        <v>33.56</v>
      </c>
      <c r="N1986" s="10">
        <v>18.440000000000001</v>
      </c>
      <c r="O1986" s="11">
        <f t="shared" si="124"/>
        <v>0.35461538461538467</v>
      </c>
      <c r="P1986" s="10">
        <v>5.18</v>
      </c>
      <c r="Q1986" s="10">
        <v>13.26</v>
      </c>
      <c r="R1986" s="11">
        <f t="shared" si="125"/>
        <v>0.255</v>
      </c>
      <c r="S1986" t="s">
        <v>75</v>
      </c>
      <c r="T1986" t="s">
        <v>60</v>
      </c>
      <c r="U1986" t="s">
        <v>61</v>
      </c>
    </row>
    <row r="1987" spans="1:21" x14ac:dyDescent="0.35">
      <c r="A1987" t="s">
        <v>2116</v>
      </c>
      <c r="B1987" s="5">
        <v>45810</v>
      </c>
      <c r="C1987" t="s">
        <v>109</v>
      </c>
      <c r="D1987" t="s">
        <v>85</v>
      </c>
      <c r="E1987" s="9">
        <v>3</v>
      </c>
      <c r="F1987" s="10">
        <v>180</v>
      </c>
      <c r="G1987" s="11">
        <v>0</v>
      </c>
      <c r="H1987" s="10">
        <v>540</v>
      </c>
      <c r="I1987" s="9">
        <v>0</v>
      </c>
      <c r="J1987" s="10">
        <v>0</v>
      </c>
      <c r="K1987" s="9">
        <v>3</v>
      </c>
      <c r="L1987" s="10">
        <v>540</v>
      </c>
      <c r="M1987" s="10">
        <v>372.09</v>
      </c>
      <c r="N1987" s="10">
        <v>167.91</v>
      </c>
      <c r="O1987" s="11">
        <f t="shared" si="124"/>
        <v>0.31094444444444441</v>
      </c>
      <c r="P1987" s="10">
        <v>28.81</v>
      </c>
      <c r="Q1987" s="10">
        <v>139.1</v>
      </c>
      <c r="R1987" s="11">
        <f t="shared" si="125"/>
        <v>0.2575925925925926</v>
      </c>
      <c r="S1987" t="s">
        <v>59</v>
      </c>
      <c r="T1987" t="s">
        <v>66</v>
      </c>
      <c r="U1987" t="s">
        <v>61</v>
      </c>
    </row>
    <row r="1988" spans="1:21" x14ac:dyDescent="0.35">
      <c r="A1988" t="s">
        <v>2117</v>
      </c>
      <c r="B1988" s="5">
        <v>45838</v>
      </c>
      <c r="C1988" t="s">
        <v>69</v>
      </c>
      <c r="D1988" t="s">
        <v>70</v>
      </c>
      <c r="E1988" s="9">
        <v>3</v>
      </c>
      <c r="F1988" s="10">
        <v>210</v>
      </c>
      <c r="G1988" s="11">
        <v>0</v>
      </c>
      <c r="H1988" s="10">
        <v>630</v>
      </c>
      <c r="I1988" s="9">
        <v>0</v>
      </c>
      <c r="J1988" s="10">
        <v>0</v>
      </c>
      <c r="K1988" s="9">
        <v>3</v>
      </c>
      <c r="L1988" s="10">
        <v>630</v>
      </c>
      <c r="M1988" s="10">
        <v>410.99</v>
      </c>
      <c r="N1988" s="10">
        <v>219.01</v>
      </c>
      <c r="O1988" s="11">
        <f t="shared" si="124"/>
        <v>0.34763492063492063</v>
      </c>
      <c r="P1988" s="10">
        <v>80.56</v>
      </c>
      <c r="Q1988" s="10">
        <v>138.44999999999999</v>
      </c>
      <c r="R1988" s="11">
        <f t="shared" si="125"/>
        <v>0.21976190476190474</v>
      </c>
      <c r="S1988" t="s">
        <v>65</v>
      </c>
      <c r="T1988" t="s">
        <v>66</v>
      </c>
      <c r="U1988" t="s">
        <v>67</v>
      </c>
    </row>
    <row r="1989" spans="1:21" x14ac:dyDescent="0.35">
      <c r="A1989" t="s">
        <v>2118</v>
      </c>
      <c r="B1989" s="5">
        <v>45945</v>
      </c>
      <c r="C1989" t="s">
        <v>100</v>
      </c>
      <c r="D1989" t="s">
        <v>64</v>
      </c>
      <c r="E1989" s="9">
        <v>6</v>
      </c>
      <c r="F1989" s="10">
        <v>310</v>
      </c>
      <c r="G1989" s="11">
        <v>0</v>
      </c>
      <c r="H1989" s="10">
        <v>1860</v>
      </c>
      <c r="I1989" s="9">
        <v>0</v>
      </c>
      <c r="J1989" s="10">
        <v>0</v>
      </c>
      <c r="K1989" s="9">
        <v>6</v>
      </c>
      <c r="L1989" s="10">
        <v>1860</v>
      </c>
      <c r="M1989" s="10">
        <v>1275.42</v>
      </c>
      <c r="N1989" s="10">
        <v>584.58000000000004</v>
      </c>
      <c r="O1989" s="11">
        <f t="shared" si="124"/>
        <v>0.31429032258064521</v>
      </c>
      <c r="P1989" s="10">
        <v>114.15</v>
      </c>
      <c r="Q1989" s="10">
        <v>470.43</v>
      </c>
      <c r="R1989" s="11">
        <f t="shared" si="125"/>
        <v>0.2529193548387097</v>
      </c>
      <c r="S1989" t="s">
        <v>81</v>
      </c>
      <c r="T1989" t="s">
        <v>82</v>
      </c>
      <c r="U1989" t="s">
        <v>71</v>
      </c>
    </row>
    <row r="1990" spans="1:21" x14ac:dyDescent="0.35">
      <c r="A1990" t="s">
        <v>2119</v>
      </c>
      <c r="B1990" s="5">
        <v>45966</v>
      </c>
      <c r="C1990" t="s">
        <v>78</v>
      </c>
      <c r="D1990" t="s">
        <v>79</v>
      </c>
      <c r="E1990" s="9">
        <v>1</v>
      </c>
      <c r="F1990" s="10">
        <v>120</v>
      </c>
      <c r="G1990" s="11">
        <v>0.1</v>
      </c>
      <c r="H1990" s="10">
        <v>108</v>
      </c>
      <c r="I1990" s="9">
        <v>0</v>
      </c>
      <c r="J1990" s="10">
        <v>0</v>
      </c>
      <c r="K1990" s="9">
        <v>1</v>
      </c>
      <c r="L1990" s="10">
        <v>108</v>
      </c>
      <c r="M1990" s="10">
        <v>90.83</v>
      </c>
      <c r="N1990" s="10">
        <v>17.170000000000002</v>
      </c>
      <c r="O1990" s="11">
        <f t="shared" si="124"/>
        <v>0.1589814814814815</v>
      </c>
      <c r="P1990" s="10">
        <v>6.9</v>
      </c>
      <c r="Q1990" s="10">
        <v>10.27</v>
      </c>
      <c r="R1990" s="11">
        <f t="shared" si="125"/>
        <v>9.509259259259259E-2</v>
      </c>
      <c r="S1990" t="s">
        <v>59</v>
      </c>
      <c r="T1990" t="s">
        <v>66</v>
      </c>
      <c r="U1990" t="s">
        <v>61</v>
      </c>
    </row>
    <row r="1991" spans="1:21" x14ac:dyDescent="0.35">
      <c r="A1991" t="s">
        <v>2120</v>
      </c>
      <c r="B1991" s="5">
        <v>45875</v>
      </c>
      <c r="C1991" t="s">
        <v>95</v>
      </c>
      <c r="D1991" t="s">
        <v>64</v>
      </c>
      <c r="E1991" s="9">
        <v>5</v>
      </c>
      <c r="F1991" s="10">
        <v>52</v>
      </c>
      <c r="G1991" s="11">
        <v>0.05</v>
      </c>
      <c r="H1991" s="10">
        <v>247</v>
      </c>
      <c r="I1991" s="9">
        <v>0</v>
      </c>
      <c r="J1991" s="10">
        <v>0</v>
      </c>
      <c r="K1991" s="9">
        <v>5</v>
      </c>
      <c r="L1991" s="10">
        <v>247</v>
      </c>
      <c r="M1991" s="10">
        <v>181.86</v>
      </c>
      <c r="N1991" s="10">
        <v>65.14</v>
      </c>
      <c r="O1991" s="11">
        <f t="shared" si="124"/>
        <v>0.26372469635627532</v>
      </c>
      <c r="P1991" s="10">
        <v>13.53</v>
      </c>
      <c r="Q1991" s="10">
        <v>51.61</v>
      </c>
      <c r="R1991" s="11">
        <f t="shared" si="125"/>
        <v>0.20894736842105263</v>
      </c>
      <c r="S1991" t="s">
        <v>75</v>
      </c>
      <c r="T1991" t="s">
        <v>60</v>
      </c>
      <c r="U1991" t="s">
        <v>71</v>
      </c>
    </row>
    <row r="1992" spans="1:21" x14ac:dyDescent="0.35">
      <c r="A1992" t="s">
        <v>2121</v>
      </c>
      <c r="B1992" s="5">
        <v>45915</v>
      </c>
      <c r="C1992" t="s">
        <v>84</v>
      </c>
      <c r="D1992" t="s">
        <v>85</v>
      </c>
      <c r="E1992" s="9">
        <v>1</v>
      </c>
      <c r="F1992" s="10">
        <v>48</v>
      </c>
      <c r="G1992" s="11">
        <v>0</v>
      </c>
      <c r="H1992" s="10">
        <v>48</v>
      </c>
      <c r="I1992" s="9">
        <v>0</v>
      </c>
      <c r="J1992" s="10">
        <v>0</v>
      </c>
      <c r="K1992" s="9">
        <v>1</v>
      </c>
      <c r="L1992" s="10">
        <v>48</v>
      </c>
      <c r="M1992" s="10">
        <v>34.86</v>
      </c>
      <c r="N1992" s="10">
        <v>13.14</v>
      </c>
      <c r="O1992" s="11">
        <f t="shared" si="124"/>
        <v>0.27374999999999999</v>
      </c>
      <c r="P1992" s="10">
        <v>3.42</v>
      </c>
      <c r="Q1992" s="10">
        <v>9.7200000000000006</v>
      </c>
      <c r="R1992" s="11">
        <f t="shared" si="125"/>
        <v>0.20250000000000001</v>
      </c>
      <c r="S1992" t="s">
        <v>59</v>
      </c>
      <c r="T1992" t="s">
        <v>86</v>
      </c>
      <c r="U1992" t="s">
        <v>76</v>
      </c>
    </row>
    <row r="1993" spans="1:21" x14ac:dyDescent="0.35">
      <c r="A1993" t="s">
        <v>2122</v>
      </c>
      <c r="B1993" s="5">
        <v>45985</v>
      </c>
      <c r="C1993" t="s">
        <v>100</v>
      </c>
      <c r="D1993" t="s">
        <v>64</v>
      </c>
      <c r="E1993" s="9">
        <v>3</v>
      </c>
      <c r="F1993" s="10">
        <v>310</v>
      </c>
      <c r="G1993" s="11">
        <v>0</v>
      </c>
      <c r="H1993" s="10">
        <v>930</v>
      </c>
      <c r="I1993" s="9">
        <v>0</v>
      </c>
      <c r="J1993" s="10">
        <v>0</v>
      </c>
      <c r="K1993" s="9">
        <v>3</v>
      </c>
      <c r="L1993" s="10">
        <v>930</v>
      </c>
      <c r="M1993" s="10">
        <v>584.27</v>
      </c>
      <c r="N1993" s="10">
        <v>345.73</v>
      </c>
      <c r="O1993" s="11">
        <f t="shared" si="124"/>
        <v>0.37175268817204304</v>
      </c>
      <c r="P1993" s="10">
        <v>114.91</v>
      </c>
      <c r="Q1993" s="10">
        <v>230.82</v>
      </c>
      <c r="R1993" s="11">
        <f t="shared" si="125"/>
        <v>0.24819354838709676</v>
      </c>
      <c r="S1993" t="s">
        <v>81</v>
      </c>
      <c r="T1993" t="s">
        <v>66</v>
      </c>
      <c r="U1993" t="s">
        <v>61</v>
      </c>
    </row>
    <row r="1994" spans="1:21" x14ac:dyDescent="0.35">
      <c r="A1994" t="s">
        <v>2123</v>
      </c>
      <c r="B1994" s="5">
        <v>45718</v>
      </c>
      <c r="C1994" t="s">
        <v>109</v>
      </c>
      <c r="D1994" t="s">
        <v>85</v>
      </c>
      <c r="E1994" s="9">
        <v>3</v>
      </c>
      <c r="F1994" s="10">
        <v>180</v>
      </c>
      <c r="G1994" s="11">
        <v>0.05</v>
      </c>
      <c r="H1994" s="10">
        <v>513</v>
      </c>
      <c r="I1994" s="9">
        <v>0</v>
      </c>
      <c r="J1994" s="10">
        <v>0</v>
      </c>
      <c r="K1994" s="9">
        <v>3</v>
      </c>
      <c r="L1994" s="10">
        <v>513</v>
      </c>
      <c r="M1994" s="10">
        <v>361.51</v>
      </c>
      <c r="N1994" s="10">
        <v>151.49</v>
      </c>
      <c r="O1994" s="11">
        <f t="shared" si="124"/>
        <v>0.29530214424951268</v>
      </c>
      <c r="P1994" s="10">
        <v>64.91</v>
      </c>
      <c r="Q1994" s="10">
        <v>86.58</v>
      </c>
      <c r="R1994" s="11">
        <f t="shared" si="125"/>
        <v>0.16877192982456141</v>
      </c>
      <c r="S1994" t="s">
        <v>75</v>
      </c>
      <c r="T1994" t="s">
        <v>86</v>
      </c>
      <c r="U1994" t="s">
        <v>76</v>
      </c>
    </row>
    <row r="1995" spans="1:21" x14ac:dyDescent="0.35">
      <c r="A1995" t="s">
        <v>2124</v>
      </c>
      <c r="B1995" s="5">
        <v>45751</v>
      </c>
      <c r="C1995" t="s">
        <v>56</v>
      </c>
      <c r="D1995" t="s">
        <v>57</v>
      </c>
      <c r="E1995" s="9">
        <v>2</v>
      </c>
      <c r="F1995" s="10">
        <v>40</v>
      </c>
      <c r="G1995" s="11">
        <v>0.05</v>
      </c>
      <c r="H1995" s="10">
        <v>76</v>
      </c>
      <c r="I1995" s="9">
        <v>0</v>
      </c>
      <c r="J1995" s="10">
        <v>0</v>
      </c>
      <c r="K1995" s="9">
        <v>2</v>
      </c>
      <c r="L1995" s="10">
        <v>76</v>
      </c>
      <c r="M1995" s="10">
        <v>56.82</v>
      </c>
      <c r="N1995" s="10">
        <v>19.18</v>
      </c>
      <c r="O1995" s="11">
        <f t="shared" si="124"/>
        <v>0.25236842105263158</v>
      </c>
      <c r="P1995" s="10">
        <v>6.19</v>
      </c>
      <c r="Q1995" s="10">
        <v>12.99</v>
      </c>
      <c r="R1995" s="11">
        <f t="shared" si="125"/>
        <v>0.17092105263157895</v>
      </c>
      <c r="S1995" t="s">
        <v>81</v>
      </c>
      <c r="T1995" t="s">
        <v>86</v>
      </c>
      <c r="U1995" t="s">
        <v>71</v>
      </c>
    </row>
    <row r="1996" spans="1:21" x14ac:dyDescent="0.35">
      <c r="A1996" t="s">
        <v>2125</v>
      </c>
      <c r="B1996" s="5">
        <v>45834</v>
      </c>
      <c r="C1996" t="s">
        <v>84</v>
      </c>
      <c r="D1996" t="s">
        <v>85</v>
      </c>
      <c r="E1996" s="9">
        <v>1</v>
      </c>
      <c r="F1996" s="10">
        <v>48</v>
      </c>
      <c r="G1996" s="11">
        <v>0.02</v>
      </c>
      <c r="H1996" s="10">
        <v>47.04</v>
      </c>
      <c r="I1996" s="9">
        <v>0</v>
      </c>
      <c r="J1996" s="10">
        <v>0</v>
      </c>
      <c r="K1996" s="9">
        <v>1</v>
      </c>
      <c r="L1996" s="10">
        <v>47.04</v>
      </c>
      <c r="M1996" s="10">
        <v>37.26</v>
      </c>
      <c r="N1996" s="10">
        <v>9.7799999999999994</v>
      </c>
      <c r="O1996" s="11">
        <f t="shared" si="124"/>
        <v>0.20790816326530612</v>
      </c>
      <c r="P1996" s="10">
        <v>5.76</v>
      </c>
      <c r="Q1996" s="10">
        <v>4.0199999999999996</v>
      </c>
      <c r="R1996" s="11">
        <f t="shared" si="125"/>
        <v>8.5459183673469385E-2</v>
      </c>
      <c r="S1996" t="s">
        <v>59</v>
      </c>
      <c r="T1996" t="s">
        <v>60</v>
      </c>
      <c r="U1996" t="s">
        <v>61</v>
      </c>
    </row>
    <row r="1997" spans="1:21" x14ac:dyDescent="0.35">
      <c r="A1997" t="s">
        <v>2126</v>
      </c>
      <c r="B1997" s="5">
        <v>45935</v>
      </c>
      <c r="C1997" t="s">
        <v>100</v>
      </c>
      <c r="D1997" t="s">
        <v>64</v>
      </c>
      <c r="E1997" s="9">
        <v>1</v>
      </c>
      <c r="F1997" s="10">
        <v>310</v>
      </c>
      <c r="G1997" s="11">
        <v>0.15</v>
      </c>
      <c r="H1997" s="10">
        <v>263.5</v>
      </c>
      <c r="I1997" s="9">
        <v>0</v>
      </c>
      <c r="J1997" s="10">
        <v>0</v>
      </c>
      <c r="K1997" s="9">
        <v>1</v>
      </c>
      <c r="L1997" s="10">
        <v>263.5</v>
      </c>
      <c r="M1997" s="10">
        <v>177.41</v>
      </c>
      <c r="N1997" s="10">
        <v>86.09</v>
      </c>
      <c r="O1997" s="11">
        <f t="shared" si="124"/>
        <v>0.32671726755218217</v>
      </c>
      <c r="P1997" s="10">
        <v>14.46</v>
      </c>
      <c r="Q1997" s="10">
        <v>71.63</v>
      </c>
      <c r="R1997" s="11">
        <f t="shared" si="125"/>
        <v>0.2718406072106262</v>
      </c>
      <c r="S1997" t="s">
        <v>81</v>
      </c>
      <c r="T1997" t="s">
        <v>86</v>
      </c>
      <c r="U1997" t="s">
        <v>71</v>
      </c>
    </row>
    <row r="1998" spans="1:21" x14ac:dyDescent="0.35">
      <c r="A1998" t="s">
        <v>2127</v>
      </c>
      <c r="B1998" s="5">
        <v>45718</v>
      </c>
      <c r="C1998" t="s">
        <v>114</v>
      </c>
      <c r="D1998" t="s">
        <v>64</v>
      </c>
      <c r="E1998" s="9">
        <v>3</v>
      </c>
      <c r="F1998" s="10">
        <v>420</v>
      </c>
      <c r="G1998" s="11">
        <v>0.02</v>
      </c>
      <c r="H1998" s="10">
        <v>1234.8</v>
      </c>
      <c r="I1998" s="9">
        <v>0</v>
      </c>
      <c r="J1998" s="10">
        <v>0</v>
      </c>
      <c r="K1998" s="9">
        <v>3</v>
      </c>
      <c r="L1998" s="10">
        <v>1234.8</v>
      </c>
      <c r="M1998" s="10">
        <v>852.01</v>
      </c>
      <c r="N1998" s="10">
        <v>382.79</v>
      </c>
      <c r="O1998" s="11">
        <f t="shared" si="124"/>
        <v>0.31000161969549728</v>
      </c>
      <c r="P1998" s="10">
        <v>102.47</v>
      </c>
      <c r="Q1998" s="10">
        <v>280.32</v>
      </c>
      <c r="R1998" s="11">
        <f t="shared" si="125"/>
        <v>0.22701652089407193</v>
      </c>
      <c r="S1998" t="s">
        <v>75</v>
      </c>
      <c r="T1998" t="s">
        <v>66</v>
      </c>
      <c r="U1998" t="s">
        <v>71</v>
      </c>
    </row>
    <row r="1999" spans="1:21" x14ac:dyDescent="0.35">
      <c r="A1999" t="s">
        <v>2128</v>
      </c>
      <c r="B1999" s="5">
        <v>45791</v>
      </c>
      <c r="C1999" t="s">
        <v>90</v>
      </c>
      <c r="D1999" t="s">
        <v>70</v>
      </c>
      <c r="E1999" s="9">
        <v>1</v>
      </c>
      <c r="F1999" s="10">
        <v>38</v>
      </c>
      <c r="G1999" s="11">
        <v>0.05</v>
      </c>
      <c r="H1999" s="10">
        <v>36.1</v>
      </c>
      <c r="I1999" s="9">
        <v>0</v>
      </c>
      <c r="J1999" s="10">
        <v>0</v>
      </c>
      <c r="K1999" s="9">
        <v>1</v>
      </c>
      <c r="L1999" s="10">
        <v>36.1</v>
      </c>
      <c r="M1999" s="10">
        <v>23.3</v>
      </c>
      <c r="N1999" s="10">
        <v>12.8</v>
      </c>
      <c r="O1999" s="11">
        <f t="shared" si="124"/>
        <v>0.35457063711911357</v>
      </c>
      <c r="P1999" s="10">
        <v>3.45</v>
      </c>
      <c r="Q1999" s="10">
        <v>9.35</v>
      </c>
      <c r="R1999" s="11">
        <f t="shared" si="125"/>
        <v>0.25900277008310246</v>
      </c>
      <c r="S1999" t="s">
        <v>75</v>
      </c>
      <c r="T1999" t="s">
        <v>60</v>
      </c>
      <c r="U1999" t="s">
        <v>71</v>
      </c>
    </row>
    <row r="2000" spans="1:21" x14ac:dyDescent="0.35">
      <c r="A2000" t="s">
        <v>2129</v>
      </c>
      <c r="B2000" s="5">
        <v>45896</v>
      </c>
      <c r="C2000" t="s">
        <v>78</v>
      </c>
      <c r="D2000" t="s">
        <v>79</v>
      </c>
      <c r="E2000" s="9">
        <v>4</v>
      </c>
      <c r="F2000" s="10">
        <v>120</v>
      </c>
      <c r="G2000" s="11">
        <v>0.05</v>
      </c>
      <c r="H2000" s="10">
        <v>456</v>
      </c>
      <c r="I2000" s="9">
        <v>0</v>
      </c>
      <c r="J2000" s="10">
        <v>0</v>
      </c>
      <c r="K2000" s="9">
        <v>4</v>
      </c>
      <c r="L2000" s="10">
        <v>456</v>
      </c>
      <c r="M2000" s="10">
        <v>310.45999999999998</v>
      </c>
      <c r="N2000" s="10">
        <v>145.54</v>
      </c>
      <c r="O2000" s="11">
        <f t="shared" si="124"/>
        <v>0.31916666666666665</v>
      </c>
      <c r="P2000" s="10">
        <v>39.57</v>
      </c>
      <c r="Q2000" s="10">
        <v>105.97</v>
      </c>
      <c r="R2000" s="11">
        <f t="shared" si="125"/>
        <v>0.23239035087719298</v>
      </c>
      <c r="S2000" t="s">
        <v>65</v>
      </c>
      <c r="T2000" t="s">
        <v>60</v>
      </c>
      <c r="U2000" t="s">
        <v>2133</v>
      </c>
    </row>
    <row r="2001" spans="1:21" x14ac:dyDescent="0.35">
      <c r="A2001" t="s">
        <v>2130</v>
      </c>
      <c r="B2001" s="5">
        <v>45877</v>
      </c>
      <c r="C2001" t="s">
        <v>63</v>
      </c>
      <c r="D2001" t="s">
        <v>64</v>
      </c>
      <c r="E2001" s="9">
        <v>5</v>
      </c>
      <c r="F2001" s="10">
        <v>145</v>
      </c>
      <c r="G2001" s="11">
        <v>0</v>
      </c>
      <c r="H2001" s="10">
        <v>725</v>
      </c>
      <c r="I2001" s="9">
        <v>0</v>
      </c>
      <c r="J2001" s="10">
        <v>0</v>
      </c>
      <c r="K2001" s="9">
        <v>5</v>
      </c>
      <c r="L2001" s="10">
        <v>725</v>
      </c>
      <c r="M2001" s="10">
        <v>515.95000000000005</v>
      </c>
      <c r="N2001" s="10">
        <v>209.05</v>
      </c>
      <c r="O2001" s="11">
        <f t="shared" ref="O2001" si="126">N2001/L2001</f>
        <v>0.28834482758620689</v>
      </c>
      <c r="P2001" s="10">
        <v>70.150000000000006</v>
      </c>
      <c r="Q2001" s="10">
        <v>138.9</v>
      </c>
      <c r="R2001" s="11">
        <f t="shared" ref="R2001" si="127">Q2001/L2001</f>
        <v>0.19158620689655173</v>
      </c>
      <c r="S2001" t="s">
        <v>59</v>
      </c>
      <c r="T2001" t="s">
        <v>82</v>
      </c>
      <c r="U2001" t="s">
        <v>76</v>
      </c>
    </row>
  </sheetData>
  <sheetProtection sheet="1" formatCells="0" formatColumns="0" formatRows="0" sort="0" autoFilter="0"/>
  <conditionalFormatting sqref="N2:N2001">
    <cfRule type="colorScale" priority="2">
      <colorScale>
        <cfvo type="min"/>
        <cfvo type="percentile" val="50"/>
        <cfvo type="max"/>
        <color rgb="FFF8696B"/>
        <color rgb="FFFFEB84"/>
        <color rgb="FF63BE7B"/>
      </colorScale>
    </cfRule>
  </conditionalFormatting>
  <conditionalFormatting sqref="Q2:Q2001">
    <cfRule type="colorScale" priority="3">
      <colorScale>
        <cfvo type="min"/>
        <cfvo type="percentile" val="50"/>
        <cfvo type="max"/>
        <color rgb="FFF8696B"/>
        <color rgb="FFFFEB84"/>
        <color rgb="FF63BE7B"/>
      </colorScale>
    </cfRule>
  </conditionalFormatting>
  <conditionalFormatting sqref="R2:R2001">
    <cfRule type="dataBar" priority="4">
      <dataBar>
        <cfvo type="num" val="0"/>
        <cfvo type="num" val="0.35"/>
        <color rgb="FFF8696B"/>
      </dataBar>
      <extLst>
        <ext xmlns:x14="http://schemas.microsoft.com/office/spreadsheetml/2009/9/main" uri="{B025F937-C7B1-47D3-B67F-A62EFF666E3E}">
          <x14:id>{ADED4CCF-B142-45F9-95AF-17AB47E1B63A}</x14:id>
        </ext>
      </extLst>
    </cfRule>
    <cfRule type="expression" dxfId="1" priority="5">
      <formula>AND($L2&gt;0,$R2&lt;0.1)</formula>
    </cfRule>
  </conditionalFormatting>
  <conditionalFormatting sqref="S2:U2001">
    <cfRule type="expression" dxfId="0" priority="6">
      <formula>S2="Unknown"</formula>
    </cfRule>
  </conditionalFormatting>
  <pageMargins left="0.75" right="0.75" top="1" bottom="1" header="0.511811023622047" footer="0.511811023622047"/>
  <pageSetup fitToHeight="0" orientation="landscape"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DED4CCF-B142-45F9-95AF-17AB47E1B63A}">
            <x14:dataBar axisPosition="none">
              <x14:cfvo type="num">
                <xm:f>0</xm:f>
              </x14:cfvo>
              <x14:cfvo type="num">
                <xm:f>0.35</xm:f>
              </x14:cfvo>
              <x14:negativeFillColor rgb="FFF8696B"/>
            </x14:dataBar>
          </x14:cfRule>
          <xm:sqref>R2:R2001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V76"/>
  <sheetViews>
    <sheetView showGridLines="0" tabSelected="1" topLeftCell="A4" zoomScale="85" zoomScaleNormal="85" workbookViewId="0">
      <selection activeCell="J6" sqref="J6"/>
    </sheetView>
  </sheetViews>
  <sheetFormatPr defaultColWidth="8.6328125" defaultRowHeight="14.5" x14ac:dyDescent="0.35"/>
  <cols>
    <col min="1" max="1" width="2.453125" customWidth="1"/>
    <col min="2" max="2" width="15" customWidth="1"/>
    <col min="3" max="4" width="13" customWidth="1"/>
    <col min="5" max="5" width="2" customWidth="1"/>
    <col min="6" max="6" width="15" customWidth="1"/>
    <col min="7" max="7" width="13" customWidth="1"/>
    <col min="8" max="8" width="3.6328125" customWidth="1"/>
    <col min="9" max="9" width="2" customWidth="1"/>
    <col min="10" max="10" width="15" customWidth="1"/>
    <col min="11" max="11" width="14.26953125" customWidth="1"/>
    <col min="12" max="13" width="2" customWidth="1"/>
    <col min="14" max="14" width="15" customWidth="1"/>
    <col min="15" max="15" width="14.7265625" customWidth="1"/>
    <col min="16" max="17" width="2" customWidth="1"/>
    <col min="18" max="18" width="11.26953125" bestFit="1" customWidth="1"/>
    <col min="19" max="19" width="2" customWidth="1"/>
    <col min="20" max="20" width="14.7265625" customWidth="1"/>
    <col min="21" max="21" width="12.1796875" customWidth="1"/>
    <col min="22" max="22" width="4.6328125" customWidth="1"/>
    <col min="23" max="23" width="2" customWidth="1"/>
  </cols>
  <sheetData>
    <row r="1" spans="2:22" ht="21.75" customHeight="1" x14ac:dyDescent="0.35">
      <c r="B1" s="45" t="s">
        <v>2134</v>
      </c>
      <c r="C1" s="45"/>
      <c r="D1" s="45"/>
      <c r="E1" s="45"/>
      <c r="F1" s="45"/>
      <c r="G1" s="45"/>
      <c r="H1" s="45"/>
      <c r="I1" s="45"/>
      <c r="J1" s="45"/>
      <c r="K1" s="45"/>
      <c r="L1" s="45"/>
      <c r="M1" s="45"/>
      <c r="N1" s="45"/>
      <c r="O1" s="45"/>
      <c r="P1" s="45"/>
      <c r="Q1" s="45"/>
      <c r="R1" s="45"/>
      <c r="S1" s="45"/>
      <c r="T1" s="45"/>
      <c r="U1" s="45"/>
      <c r="V1" s="45"/>
    </row>
    <row r="2" spans="2:22" ht="21.75" customHeight="1" x14ac:dyDescent="0.35">
      <c r="B2" s="45"/>
      <c r="C2" s="45"/>
      <c r="D2" s="45"/>
      <c r="E2" s="45"/>
      <c r="F2" s="45"/>
      <c r="G2" s="45"/>
      <c r="H2" s="45"/>
      <c r="I2" s="45"/>
      <c r="J2" s="45"/>
      <c r="K2" s="45"/>
      <c r="L2" s="45"/>
      <c r="M2" s="45"/>
      <c r="N2" s="45"/>
      <c r="O2" s="45"/>
      <c r="P2" s="45"/>
      <c r="Q2" s="45"/>
      <c r="R2" s="45"/>
      <c r="S2" s="45"/>
      <c r="T2" s="45"/>
      <c r="U2" s="45"/>
      <c r="V2" s="45"/>
    </row>
    <row r="3" spans="2:22" ht="15.75" customHeight="1" x14ac:dyDescent="0.35">
      <c r="B3" s="46" t="s">
        <v>2135</v>
      </c>
      <c r="C3" s="46"/>
      <c r="D3" s="46"/>
      <c r="E3" s="46"/>
      <c r="F3" s="46"/>
      <c r="G3" s="46"/>
      <c r="H3" s="46"/>
      <c r="I3" s="46"/>
      <c r="J3" s="46"/>
      <c r="K3" s="46"/>
      <c r="L3" s="46"/>
      <c r="M3" s="46"/>
      <c r="N3" s="46"/>
      <c r="O3" s="46"/>
      <c r="P3" s="46"/>
      <c r="Q3" s="46"/>
      <c r="R3" s="46"/>
      <c r="S3" s="46"/>
      <c r="T3" s="46"/>
      <c r="U3" s="46"/>
      <c r="V3" s="46"/>
    </row>
    <row r="4" spans="2:22" ht="15.75" customHeight="1" x14ac:dyDescent="0.35">
      <c r="B4" s="47" t="s">
        <v>2136</v>
      </c>
      <c r="C4" s="47"/>
      <c r="D4" s="47"/>
      <c r="E4" s="47"/>
      <c r="F4" s="47"/>
      <c r="G4" s="47"/>
      <c r="H4" s="47"/>
      <c r="I4" s="47"/>
      <c r="J4" s="47"/>
      <c r="K4" s="47"/>
      <c r="L4" s="47"/>
      <c r="M4" s="47"/>
      <c r="N4" s="47"/>
      <c r="O4" s="47"/>
      <c r="P4" s="47"/>
      <c r="Q4" s="47"/>
      <c r="R4" s="47"/>
      <c r="S4" s="47"/>
      <c r="T4" s="47"/>
      <c r="U4" s="47"/>
      <c r="V4" s="47"/>
    </row>
    <row r="5" spans="2:22" s="36" customFormat="1" ht="22.5" customHeight="1" x14ac:dyDescent="0.35">
      <c r="B5" s="35" t="s">
        <v>39</v>
      </c>
      <c r="F5" s="35" t="s">
        <v>54</v>
      </c>
      <c r="J5" s="35" t="s">
        <v>52</v>
      </c>
      <c r="N5" s="35" t="s">
        <v>53</v>
      </c>
      <c r="R5" s="35" t="s">
        <v>2137</v>
      </c>
      <c r="V5" s="35" t="s">
        <v>2138</v>
      </c>
    </row>
    <row r="6" spans="2:22" s="44" customFormat="1" ht="33" customHeight="1" x14ac:dyDescent="0.35">
      <c r="B6" s="43" t="s">
        <v>2139</v>
      </c>
      <c r="F6" s="43" t="s">
        <v>2139</v>
      </c>
      <c r="J6" s="43" t="s">
        <v>2139</v>
      </c>
      <c r="N6" s="43" t="s">
        <v>2139</v>
      </c>
      <c r="R6" s="43" t="s">
        <v>2193</v>
      </c>
      <c r="V6" s="43" t="s">
        <v>2141</v>
      </c>
    </row>
    <row r="7" spans="2:22" ht="13.5" customHeight="1" x14ac:dyDescent="0.35">
      <c r="B7" s="48" t="str">
        <f>Calc!$B$153</f>
        <v>✔ All reconciliation checks pass — dashboard ties to Cleaned Data</v>
      </c>
      <c r="C7" s="48"/>
      <c r="D7" s="48"/>
      <c r="E7" s="48"/>
      <c r="F7" s="48"/>
      <c r="G7" s="48"/>
      <c r="H7" s="48"/>
      <c r="I7" s="48"/>
      <c r="J7" s="48"/>
      <c r="K7" s="48"/>
      <c r="L7" s="48"/>
      <c r="M7" s="48"/>
      <c r="N7" s="48"/>
      <c r="O7" s="48"/>
      <c r="P7" s="48"/>
      <c r="Q7" s="48"/>
      <c r="R7" s="48"/>
      <c r="S7" s="48"/>
      <c r="T7" s="48"/>
      <c r="U7" s="48"/>
      <c r="V7" s="48"/>
    </row>
    <row r="9" spans="2:22" s="37" customFormat="1" ht="22.5" customHeight="1" x14ac:dyDescent="0.5">
      <c r="B9" s="49" t="s">
        <v>2142</v>
      </c>
      <c r="C9" s="49"/>
      <c r="D9" s="49"/>
      <c r="F9" s="50" t="s">
        <v>2273</v>
      </c>
      <c r="G9" s="50"/>
      <c r="H9" s="50"/>
      <c r="J9" s="51" t="s">
        <v>49</v>
      </c>
      <c r="K9" s="51"/>
      <c r="L9" s="51"/>
      <c r="N9" s="52" t="s">
        <v>51</v>
      </c>
      <c r="O9" s="52"/>
      <c r="P9" s="52"/>
      <c r="R9" s="53" t="s">
        <v>2143</v>
      </c>
      <c r="S9" s="53"/>
      <c r="T9" s="53"/>
    </row>
    <row r="10" spans="2:22" ht="19.5" customHeight="1" x14ac:dyDescent="0.35">
      <c r="B10" s="54">
        <f>Calc!$B$19</f>
        <v>534759.67000000039</v>
      </c>
      <c r="C10" s="54"/>
      <c r="D10" s="54"/>
      <c r="F10" s="55">
        <f>Calc!$B$21</f>
        <v>525460.17000000016</v>
      </c>
      <c r="G10" s="55"/>
      <c r="H10" s="55"/>
      <c r="J10" s="56">
        <f>Calc!$B$22</f>
        <v>136936.27999999982</v>
      </c>
      <c r="K10" s="56"/>
      <c r="L10" s="56"/>
      <c r="N10" s="57">
        <f>Calc!$B$23</f>
        <v>89567.450000000055</v>
      </c>
      <c r="O10" s="57"/>
      <c r="P10" s="57"/>
      <c r="R10" s="58">
        <f>Calc!$B$31</f>
        <v>1.811338508586215E-2</v>
      </c>
      <c r="S10" s="58"/>
      <c r="T10" s="58"/>
    </row>
    <row r="11" spans="2:22" ht="19.5" customHeight="1" x14ac:dyDescent="0.35">
      <c r="B11" s="54"/>
      <c r="C11" s="54"/>
      <c r="D11" s="54"/>
      <c r="F11" s="55"/>
      <c r="G11" s="55"/>
      <c r="H11" s="55"/>
      <c r="J11" s="56"/>
      <c r="K11" s="56"/>
      <c r="L11" s="56"/>
      <c r="N11" s="57"/>
      <c r="O11" s="57"/>
      <c r="P11" s="57"/>
      <c r="R11" s="58"/>
      <c r="S11" s="58"/>
      <c r="T11" s="58"/>
    </row>
    <row r="13" spans="2:22" s="37" customFormat="1" ht="20.5" customHeight="1" x14ac:dyDescent="0.5">
      <c r="B13" s="49" t="s">
        <v>2131</v>
      </c>
      <c r="C13" s="49"/>
      <c r="D13" s="49"/>
      <c r="F13" s="50" t="s">
        <v>2132</v>
      </c>
      <c r="G13" s="50"/>
      <c r="H13" s="50"/>
      <c r="J13" s="51" t="s">
        <v>2144</v>
      </c>
      <c r="K13" s="51"/>
      <c r="L13" s="51"/>
      <c r="N13" s="52" t="s">
        <v>2145</v>
      </c>
      <c r="O13" s="52"/>
      <c r="P13" s="52"/>
      <c r="R13" s="53" t="s">
        <v>45</v>
      </c>
      <c r="S13" s="53"/>
      <c r="T13" s="53"/>
    </row>
    <row r="14" spans="2:22" ht="19.5" customHeight="1" x14ac:dyDescent="0.35">
      <c r="B14" s="59">
        <f>Calc!$B$29</f>
        <v>0.26060258763285482</v>
      </c>
      <c r="C14" s="59"/>
      <c r="D14" s="59"/>
      <c r="F14" s="60">
        <f>Calc!$B$30</f>
        <v>0.17045526019602975</v>
      </c>
      <c r="G14" s="60"/>
      <c r="H14" s="60"/>
      <c r="J14" s="61">
        <f>Calc!$B$26</f>
        <v>4174</v>
      </c>
      <c r="K14" s="61"/>
      <c r="L14" s="61"/>
      <c r="N14" s="57">
        <f>Calc!$B$28</f>
        <v>398.07588636363647</v>
      </c>
      <c r="O14" s="57"/>
      <c r="P14" s="57"/>
      <c r="R14" s="62">
        <f>Calc!$B$20</f>
        <v>9299.5</v>
      </c>
      <c r="S14" s="62"/>
      <c r="T14" s="62"/>
    </row>
    <row r="15" spans="2:22" ht="19.5" customHeight="1" x14ac:dyDescent="0.35">
      <c r="B15" s="59"/>
      <c r="C15" s="59"/>
      <c r="D15" s="59"/>
      <c r="F15" s="60"/>
      <c r="G15" s="60"/>
      <c r="H15" s="60"/>
      <c r="J15" s="61"/>
      <c r="K15" s="61"/>
      <c r="L15" s="61"/>
      <c r="N15" s="57"/>
      <c r="O15" s="57"/>
      <c r="P15" s="57"/>
      <c r="R15" s="62"/>
      <c r="S15" s="62"/>
      <c r="T15" s="62"/>
    </row>
    <row r="17" spans="2:22" ht="26" customHeight="1" x14ac:dyDescent="0.35">
      <c r="B17" s="63" t="str">
        <f>" "&amp;"Trend ("&amp;INDEX(Calc!$B$37:$B$48,Calc!$C$10)&amp;" vs prior month):   Net Sales "&amp;Calc!$F$21&amp;"   |   Gross Profit "&amp;Calc!$F$22&amp;"   |   Net Profit "&amp;Calc!$F$23</f>
        <v xml:space="preserve"> Trend (Dec vs prior month):   Net Sales ▲ 17.1% · Dec vs Nov   |   Gross Profit ▲ 19.0% · Dec vs Nov   |   Net Profit ▲ 21.8% · Dec vs Nov</v>
      </c>
      <c r="C17" s="63"/>
      <c r="D17" s="63"/>
      <c r="E17" s="63"/>
      <c r="F17" s="63"/>
      <c r="G17" s="63"/>
      <c r="H17" s="63"/>
      <c r="I17" s="63"/>
      <c r="J17" s="63"/>
      <c r="K17" s="63"/>
      <c r="L17" s="63"/>
      <c r="M17" s="63"/>
      <c r="N17" s="63"/>
      <c r="O17" s="63"/>
      <c r="P17" s="63"/>
      <c r="Q17" s="63"/>
      <c r="R17" s="63"/>
      <c r="S17" s="63"/>
      <c r="T17" s="63"/>
      <c r="U17" s="63"/>
      <c r="V17" s="63"/>
    </row>
    <row r="19" spans="2:22" ht="15.75" customHeight="1" x14ac:dyDescent="0.35">
      <c r="B19" s="64" t="s">
        <v>2146</v>
      </c>
      <c r="C19" s="64"/>
      <c r="D19" s="64"/>
      <c r="E19" s="64"/>
      <c r="F19" s="64"/>
      <c r="G19" s="64"/>
      <c r="H19" s="64"/>
      <c r="I19" s="64"/>
      <c r="J19" s="64"/>
      <c r="K19" s="64"/>
      <c r="L19" s="64"/>
      <c r="M19" s="64"/>
      <c r="N19" s="64"/>
      <c r="O19" s="64"/>
      <c r="P19" s="64"/>
      <c r="Q19" s="64"/>
      <c r="R19" s="64"/>
      <c r="S19" s="64"/>
      <c r="T19" s="64"/>
      <c r="U19" s="64"/>
      <c r="V19" s="64"/>
    </row>
    <row r="38" spans="2:22" ht="15.75" customHeight="1" x14ac:dyDescent="0.35">
      <c r="B38" s="65" t="s">
        <v>2147</v>
      </c>
      <c r="C38" s="65"/>
      <c r="D38" s="65"/>
      <c r="E38" s="65"/>
      <c r="F38" s="65"/>
      <c r="G38" s="65"/>
      <c r="H38" s="65"/>
      <c r="I38" s="65"/>
      <c r="J38" s="65"/>
      <c r="K38" s="65"/>
      <c r="L38" s="65"/>
      <c r="M38" s="65"/>
      <c r="N38" s="65"/>
      <c r="O38" s="65"/>
      <c r="P38" s="65"/>
      <c r="Q38" s="65"/>
      <c r="R38" s="65"/>
      <c r="S38" s="65"/>
      <c r="T38" s="65"/>
      <c r="U38" s="65"/>
      <c r="V38" s="65"/>
    </row>
    <row r="57" spans="2:22" ht="15.75" customHeight="1" x14ac:dyDescent="0.35">
      <c r="B57" s="65" t="s">
        <v>2148</v>
      </c>
      <c r="C57" s="65"/>
      <c r="D57" s="65"/>
      <c r="E57" s="65"/>
      <c r="F57" s="65"/>
      <c r="G57" s="65"/>
      <c r="H57" s="65"/>
      <c r="I57" s="65"/>
      <c r="J57" s="65"/>
      <c r="K57" s="65"/>
      <c r="L57" s="65"/>
      <c r="M57" s="65"/>
      <c r="N57" s="65"/>
      <c r="O57" s="65"/>
      <c r="P57" s="65"/>
      <c r="Q57" s="65"/>
      <c r="R57" s="65"/>
      <c r="S57" s="65"/>
      <c r="T57" s="65"/>
      <c r="U57" s="65"/>
      <c r="V57" s="65"/>
    </row>
    <row r="76" spans="2:22" ht="15.75" customHeight="1" x14ac:dyDescent="0.35">
      <c r="B76" s="65" t="s">
        <v>2149</v>
      </c>
      <c r="C76" s="65"/>
      <c r="D76" s="65"/>
      <c r="E76" s="65"/>
      <c r="F76" s="65"/>
      <c r="G76" s="65"/>
      <c r="H76" s="65"/>
      <c r="I76" s="65"/>
      <c r="J76" s="65"/>
      <c r="K76" s="65"/>
      <c r="L76" s="65"/>
      <c r="M76" s="65"/>
      <c r="N76" s="65"/>
      <c r="O76" s="65"/>
      <c r="P76" s="65"/>
      <c r="Q76" s="65"/>
      <c r="R76" s="65"/>
      <c r="S76" s="65"/>
      <c r="T76" s="65"/>
      <c r="U76" s="65"/>
      <c r="V76" s="65"/>
    </row>
  </sheetData>
  <sheetProtection formatCells="0" formatColumns="0" formatRows="0" sort="0" autoFilter="0"/>
  <mergeCells count="29">
    <mergeCell ref="B17:V17"/>
    <mergeCell ref="B19:V19"/>
    <mergeCell ref="B38:V38"/>
    <mergeCell ref="B57:V57"/>
    <mergeCell ref="B76:V76"/>
    <mergeCell ref="B14:D15"/>
    <mergeCell ref="F14:H15"/>
    <mergeCell ref="J14:L15"/>
    <mergeCell ref="N14:P15"/>
    <mergeCell ref="R14:T15"/>
    <mergeCell ref="B13:D13"/>
    <mergeCell ref="F13:H13"/>
    <mergeCell ref="J13:L13"/>
    <mergeCell ref="N13:P13"/>
    <mergeCell ref="R13:T13"/>
    <mergeCell ref="B10:D11"/>
    <mergeCell ref="F10:H11"/>
    <mergeCell ref="J10:L11"/>
    <mergeCell ref="N10:P11"/>
    <mergeCell ref="R10:T11"/>
    <mergeCell ref="B1:V2"/>
    <mergeCell ref="B3:V3"/>
    <mergeCell ref="B4:V4"/>
    <mergeCell ref="B7:V7"/>
    <mergeCell ref="B9:D9"/>
    <mergeCell ref="F9:H9"/>
    <mergeCell ref="J9:L9"/>
    <mergeCell ref="N9:P9"/>
    <mergeCell ref="R9:T9"/>
  </mergeCells>
  <pageMargins left="0.3" right="0.3" top="0.4" bottom="0.4" header="0.511811023622047" footer="0.511811023622047"/>
  <pageSetup scale="68" fitToHeight="0" orientation="landscape" horizontalDpi="300" verticalDpi="300" r:id="rId1"/>
  <drawing r:id="rId2"/>
  <extLst>
    <ext xmlns:x14="http://schemas.microsoft.com/office/spreadsheetml/2009/9/main" uri="{CCE6A557-97BC-4b89-ADB6-D9C93CAAB3DF}">
      <x14:dataValidations xmlns:xm="http://schemas.microsoft.com/office/excel/2006/main" count="5">
        <x14:dataValidation type="list" error="Pick a value from the dropdown list." xr:uid="{00000000-0002-0000-0300-000000000000}">
          <x14:formula1>
            <xm:f>Calc!$F$5:$F$12</xm:f>
          </x14:formula1>
          <x14:formula2>
            <xm:f>0</xm:f>
          </x14:formula2>
          <xm:sqref>B6</xm:sqref>
        </x14:dataValidation>
        <x14:dataValidation type="list" error="Pick a value from the dropdown list." xr:uid="{00000000-0002-0000-0300-000001000000}">
          <x14:formula1>
            <xm:f>Calc!$G$5:$G$10</xm:f>
          </x14:formula1>
          <x14:formula2>
            <xm:f>0</xm:f>
          </x14:formula2>
          <xm:sqref>F6</xm:sqref>
        </x14:dataValidation>
        <x14:dataValidation type="list" error="Pick a value from the dropdown list." xr:uid="{00000000-0002-0000-0300-000002000000}">
          <x14:formula1>
            <xm:f>Calc!$H$5:$H$10</xm:f>
          </x14:formula1>
          <x14:formula2>
            <xm:f>0</xm:f>
          </x14:formula2>
          <xm:sqref>J6</xm:sqref>
        </x14:dataValidation>
        <x14:dataValidation type="list" error="Pick a value from the dropdown list." xr:uid="{00000000-0002-0000-0300-000003000000}">
          <x14:formula1>
            <xm:f>Calc!$I$5:$I$10</xm:f>
          </x14:formula1>
          <x14:formula2>
            <xm:f>0</xm:f>
          </x14:formula2>
          <xm:sqref>N6</xm:sqref>
        </x14:dataValidation>
        <x14:dataValidation type="list" error="Pick a value from the dropdown list." xr:uid="{00000000-0002-0000-0300-000004000000}">
          <x14:formula1>
            <xm:f>Calc!$J$5:$J$16</xm:f>
          </x14:formula1>
          <x14:formula2>
            <xm:f>0</xm:f>
          </x14:formula2>
          <xm:sqref>R6 V6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B25"/>
  <sheetViews>
    <sheetView showGridLines="0" zoomScale="104" zoomScaleNormal="115" workbookViewId="0">
      <selection activeCell="B1" sqref="B1"/>
    </sheetView>
  </sheetViews>
  <sheetFormatPr defaultColWidth="8.6328125" defaultRowHeight="14.5" x14ac:dyDescent="0.35"/>
  <cols>
    <col min="1" max="1" width="2.453125" customWidth="1"/>
    <col min="2" max="2" width="158.36328125" customWidth="1"/>
  </cols>
  <sheetData>
    <row r="1" spans="2:2" ht="24" customHeight="1" x14ac:dyDescent="0.35">
      <c r="B1" s="12" t="s">
        <v>2150</v>
      </c>
    </row>
    <row r="2" spans="2:2" ht="27.75" customHeight="1" x14ac:dyDescent="0.35">
      <c r="B2" s="38" t="s">
        <v>2151</v>
      </c>
    </row>
    <row r="3" spans="2:2" x14ac:dyDescent="0.35">
      <c r="B3" s="39"/>
    </row>
    <row r="4" spans="2:2" ht="19.5" customHeight="1" x14ac:dyDescent="0.35">
      <c r="B4" s="40" t="s">
        <v>2152</v>
      </c>
    </row>
    <row r="5" spans="2:2" ht="52" x14ac:dyDescent="0.35">
      <c r="B5" s="41" t="str">
        <f>"Groceries and Household are the clear revenue engines, together contributing "&amp;TEXT((Calc!B54+Calc!B55)/Calc!B61,"0.0%")&amp;" of Net Sales ("&amp;TEXT(Calc!B54,"₹#,##0")&amp;" and "&amp;TEXT(Calc!B55,"₹#,##0")&amp;" respectively). The five hero SKUs — "&amp;Calc!B91&amp;", "&amp;Calc!B92&amp;", "&amp;Calc!B93&amp;", "&amp;Calc!B94&amp;" and "&amp;Calc!B95&amp;" — sit almost entirely inside those two categories, so revenue concentration and category concentration are the same story. Profit follows the same pattern: Groceries also leads on Gross Profit ("&amp;TEXT(Calc!C54,"₹#,##0")&amp;") and Net Profit ("&amp;TEXT(Calc!D54,"₹#,##0")&amp;"), so — unlike a typical retail mix — the top revenue category here is not lagging on margin: its Gross Profit Margin ("&amp;TEXT(Calc!I54,"0.0%")&amp;") is in line with the store-wide average ("&amp;TEXT(Calc!I61,"0.0%")&amp;")."</f>
        <v>Groceries and Household are the clear revenue engines, together contributing 57.7% of Net Sales (₹2,01,364 and ₹1,01,609 respectively). The five hero SKUs — Rice 5kg, Wheat Flour 5kg, Laundry Detergent 2kg, Coffee 200g and Shampoo 340ml — sit almost entirely inside those two categories, so revenue concentration and category concentration are the same story. Profit follows the same pattern: Groceries also leads on Gross Profit (₹53,116) and Net Profit (₹34,797), so — unlike a typical retail mix — the top revenue category here is not lagging on margin: its Gross Profit Margin (26.4%) is in line with the store-wide average (26.1%).</v>
      </c>
    </row>
    <row r="6" spans="2:2" ht="48" customHeight="1" x14ac:dyDescent="0.35">
      <c r="B6" s="41" t="str">
        <f>"Ghaziabad and Delhi are the top two cities by Net Sales ("&amp;TEXT(Calc!B100,"₹#,##0")&amp;" and "&amp;TEXT(Calc!B101,"₹#,##0")&amp;"), but all four named cities are within "&amp;TEXT((Calc!B100-Calc!B103)/Calc!B100,"0.0%")&amp;" of each other — city is not a strong differentiator this year, unlike category or product. Customer Type and Payment Method are similarly balanced, each real segment holding roughly "&amp;TEXT(Calc!B110/Calc!B115,"0%")&amp;"–"&amp;TEXT(Calc!B112/Calc!B115,"0%")&amp;" of Net Sales — no single acquisition channel or payment rail is over- or under-performing enough to flag."</f>
        <v>Ghaziabad and Delhi are the top two cities by Net Sales (₹1,36,753 and ₹1,34,972), but all four named cities are within 10.0% of each other — city is not a strong differentiator this year, unlike category or product. Customer Type and Payment Method are similarly balanced, each real segment holding roughly 24%–25% of Net Sales — no single acquisition channel or payment rail is over- or under-performing enough to flag.</v>
      </c>
    </row>
    <row r="7" spans="2:2" ht="19.5" customHeight="1" x14ac:dyDescent="0.35">
      <c r="B7" s="40" t="s">
        <v>2153</v>
      </c>
    </row>
    <row r="8" spans="2:2" ht="61.5" customHeight="1" x14ac:dyDescent="0.35">
      <c r="B8" s="41" t="str">
        <f>"The lowest-revenue products are "&amp;Calc!D91&amp;" ("&amp;TEXT(Calc!E91,"₹#,##0")&amp;"), "&amp;Calc!D92&amp;" ("&amp;TEXT(Calc!E92,"₹#,##0")&amp;") and "&amp;Calc!D93&amp;" ("&amp;TEXT(Calc!E93,"₹#,##0")&amp;") — all everyday, low-unit-price items where volume has not compensated for low price. By category, Stationery is the clear laggard: only "&amp;TEXT(Calc!B60/Calc!B61,"0.0%")&amp;" of Net Sales and the lowest absolute Gross Profit ("&amp;TEXT(Calc!C60,"₹#,##0")&amp;") of any category, alongside Snacks (also under 5% of sales). Margins across categories are otherwise tight, within a "&amp;TEXT(MIN(Calc!I54:I60),"0.0%")&amp;"–"&amp;TEXT(MAX(Calc!I54:I60),"0.0%")&amp;" Gross Profit Margin band, so no category is a structural margin problem — the issue for the weak categories is sales volume, not pricing."</f>
        <v>The lowest-revenue products are Mineral Water 1L (₹3,398), Potato Chips (₹6,233) and Biscuits Pack (₹7,640) — all everyday, low-unit-price items where volume has not compensated for low price. By category, Stationery is the clear laggard: only 1.8% of Net Sales and the lowest absolute Gross Profit (₹2,436) of any category, alongside Snacks (also under 5% of sales). Margins across categories are otherwise tight, within a 24.8%–27.0% Gross Profit Margin band, so no category is a structural margin problem — the issue for the weak categories is sales volume, not pricing.</v>
      </c>
    </row>
    <row r="9" spans="2:2" ht="61.5" customHeight="1" x14ac:dyDescent="0.35">
      <c r="B9" s="41" t="s">
        <v>2272</v>
      </c>
    </row>
    <row r="10" spans="2:2" ht="19.5" customHeight="1" x14ac:dyDescent="0.35">
      <c r="B10" s="40" t="s">
        <v>2154</v>
      </c>
    </row>
    <row r="11" spans="2:2" ht="61.5" customHeight="1" x14ac:dyDescent="0.35">
      <c r="B11" s="41" t="str">
        <f>"Monthly Net Sales ranges from "&amp;TEXT(MIN(Calc!G37:G48),"₹#,##0")&amp;" to "&amp;TEXT(MAX(Calc!G37:G48),"₹#,##0")&amp;". "&amp;INDEX(Calc!B37:B48,MATCH(MAX(Calc!G37:G48),Calc!G37:G48,0))&amp;" is the peak month and "&amp;INDEX(Calc!B37:B48,MATCH(MIN(Calc!G37:G48),Calc!G37:G48,0))&amp;" the weakest, with no single run of consecutive slow months — the year reads as noisy month-to-month rather than a seasonal decline. Net Profit Margin is essentially flat across the year: H1 (Jan–Jun) averages "&amp;TEXT(SUMIFS(d_NP,d_Date,"&gt;="&amp;DATE(Calc!$C$11,1,1),d_Date,"&lt;="&amp;DATE(Calc!$C$11,6,30))/SUMIFS(d_NetSales,d_Date,"&gt;="&amp;DATE(Calc!$C$11,1,1),d_Date,"&lt;="&amp;DATE(Calc!$C$11,6,30)),"0.0%")&amp;" against H2's (Jul–Dec) "&amp;TEXT(SUMIFS(d_NP,d_Date,"&gt;="&amp;DATE(Calc!$C$11,7,1),d_Date,"&lt;="&amp;DATE(Calc!$C$11,12,31))/SUMIFS(d_NetSales,d_Date,"&gt;="&amp;DATE(Calc!$C$11,7,1),d_Date,"&lt;="&amp;DATE(Calc!$C$11,12,31)),"0.0%")&amp;", a gap of well under one percentage point — a trend to keep monitoring, not one requiring immediate action."</f>
        <v>Monthly Net Sales ranges from ₹53,367 to ₹79,101. Aug is the peak month and Feb the weakest, with no single run of consecutive slow months — the year reads as noisy month-to-month rather than a seasonal decline. Net Profit Margin is essentially flat across the year: H1 (Jan–Jun) averages 16.8% against H2's (Jul–Dec) 17.1%, a gap of well under one percentage point — a trend to keep monitoring, not one requiring immediate action.</v>
      </c>
    </row>
    <row r="12" spans="2:2" ht="19.5" customHeight="1" x14ac:dyDescent="0.35">
      <c r="B12" s="40" t="s">
        <v>2155</v>
      </c>
    </row>
    <row r="13" spans="2:2" ht="61.5" customHeight="1" x14ac:dyDescent="0.35">
      <c r="B13" s="41" t="str">
        <f>"Overall Return Rate is "&amp;TEXT(Calc!B31,"0.0%")&amp;" of units ("&amp;Calc!B25&amp;" of "&amp;TEXT(Calc!B24,"#,##0")&amp;"), worth "&amp;TEXT(Calc!B20,"₹#,##0")&amp;" in returned sales value — a healthy level for retail. Snacks and Groceries carry the highest absolute Return Qty, but scaled to their own sales volume the picture flips: Stationery has the highest true Return Rate at "&amp;TEXT(MAX(Calc!K54:K60),"0.0%")&amp;" of its units, more than double the store-wide rate, while Groceries' rate ("&amp;TEXT(Calc!K54,"0.0%")&amp;") is close to average — so its high return count is simply proportional to being the best-selling category, not a genuine quality issue. Stationery is the one category where returns deserve a root-cause look."</f>
        <v>Overall Return Rate is 1.8% of units (77 of 4,251), worth ₹9,300 in returned sales value — a healthy level for retail. Snacks and Groceries carry the highest absolute Return Qty, but scaled to their own sales volume the picture flips: Stationery has the highest true Return Rate at 3.0% of its units, more than double the store-wide rate, while Groceries' rate (2.1%) is close to average — so its high return count is simply proportional to being the best-selling category, not a genuine quality issue. Stationery is the one category where returns deserve a root-cause look.</v>
      </c>
    </row>
    <row r="14" spans="2:2" ht="19.5" customHeight="1" x14ac:dyDescent="0.35">
      <c r="B14" s="40" t="s">
        <v>2156</v>
      </c>
    </row>
    <row r="15" spans="2:2" ht="30" customHeight="1" x14ac:dyDescent="0.35">
      <c r="B15" s="42" t="s">
        <v>2157</v>
      </c>
    </row>
    <row r="16" spans="2:2" ht="30" customHeight="1" x14ac:dyDescent="0.35">
      <c r="B16" s="42" t="s">
        <v>2158</v>
      </c>
    </row>
    <row r="17" spans="2:2" ht="30" customHeight="1" x14ac:dyDescent="0.35">
      <c r="B17" s="42" t="s">
        <v>2159</v>
      </c>
    </row>
    <row r="18" spans="2:2" ht="30" customHeight="1" x14ac:dyDescent="0.35">
      <c r="B18" s="42" t="s">
        <v>2160</v>
      </c>
    </row>
    <row r="19" spans="2:2" ht="30" customHeight="1" x14ac:dyDescent="0.35">
      <c r="B19" s="42" t="s">
        <v>2161</v>
      </c>
    </row>
    <row r="20" spans="2:2" ht="30" customHeight="1" x14ac:dyDescent="0.35">
      <c r="B20" s="42" t="s">
        <v>2162</v>
      </c>
    </row>
    <row r="21" spans="2:2" x14ac:dyDescent="0.35">
      <c r="B21" s="39"/>
    </row>
    <row r="22" spans="2:2" ht="19.5" customHeight="1" x14ac:dyDescent="0.35">
      <c r="B22" s="40" t="s">
        <v>2163</v>
      </c>
    </row>
    <row r="23" spans="2:2" ht="30" customHeight="1" x14ac:dyDescent="0.35">
      <c r="B23" s="42" t="s">
        <v>2164</v>
      </c>
    </row>
    <row r="24" spans="2:2" ht="30" customHeight="1" x14ac:dyDescent="0.35">
      <c r="B24" s="42" t="s">
        <v>2165</v>
      </c>
    </row>
    <row r="25" spans="2:2" ht="30" customHeight="1" x14ac:dyDescent="0.35">
      <c r="B25" s="42" t="s">
        <v>2166</v>
      </c>
    </row>
  </sheetData>
  <pageMargins left="0.75" right="0.7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zoomScaleNormal="100" workbookViewId="0">
      <pane ySplit="2" topLeftCell="A6" activePane="bottomLeft" state="frozen"/>
      <selection activeCell="K47" sqref="K47"/>
      <selection pane="bottomLeft" activeCell="A16" sqref="A16:B16"/>
    </sheetView>
  </sheetViews>
  <sheetFormatPr defaultColWidth="8.6328125" defaultRowHeight="14.5" x14ac:dyDescent="0.35"/>
  <cols>
    <col min="1" max="1" width="42" customWidth="1"/>
    <col min="2" max="2" width="48" customWidth="1"/>
  </cols>
  <sheetData>
    <row r="1" spans="1:2" ht="21" customHeight="1" x14ac:dyDescent="0.35">
      <c r="A1" s="66" t="s">
        <v>2167</v>
      </c>
      <c r="B1" s="66"/>
    </row>
    <row r="2" spans="1:2" x14ac:dyDescent="0.35">
      <c r="A2" s="13" t="s">
        <v>2168</v>
      </c>
      <c r="B2" s="13" t="s">
        <v>2169</v>
      </c>
    </row>
    <row r="3" spans="1:2" x14ac:dyDescent="0.35">
      <c r="A3" s="14" t="s">
        <v>2170</v>
      </c>
      <c r="B3" s="14">
        <v>2002</v>
      </c>
    </row>
    <row r="4" spans="1:2" x14ac:dyDescent="0.35">
      <c r="A4" s="14" t="s">
        <v>2171</v>
      </c>
      <c r="B4" s="14">
        <v>2</v>
      </c>
    </row>
    <row r="5" spans="1:2" x14ac:dyDescent="0.35">
      <c r="A5" s="14" t="s">
        <v>2172</v>
      </c>
      <c r="B5" s="14">
        <v>2000</v>
      </c>
    </row>
    <row r="6" spans="1:2" x14ac:dyDescent="0.35">
      <c r="A6" s="14" t="s">
        <v>2173</v>
      </c>
      <c r="B6" s="14">
        <v>0</v>
      </c>
    </row>
    <row r="7" spans="1:2" x14ac:dyDescent="0.35">
      <c r="A7" s="14" t="s">
        <v>2174</v>
      </c>
      <c r="B7" s="14">
        <v>0</v>
      </c>
    </row>
    <row r="8" spans="1:2" x14ac:dyDescent="0.35">
      <c r="A8" s="14" t="s">
        <v>2175</v>
      </c>
      <c r="B8" s="14">
        <v>0</v>
      </c>
    </row>
    <row r="9" spans="1:2" x14ac:dyDescent="0.35">
      <c r="A9" s="14" t="s">
        <v>2176</v>
      </c>
      <c r="B9" s="14">
        <v>0</v>
      </c>
    </row>
    <row r="10" spans="1:2" x14ac:dyDescent="0.35">
      <c r="A10" s="14" t="s">
        <v>2177</v>
      </c>
      <c r="B10" s="14">
        <v>0</v>
      </c>
    </row>
    <row r="11" spans="1:2" x14ac:dyDescent="0.35">
      <c r="A11" s="14" t="s">
        <v>2178</v>
      </c>
      <c r="B11" s="14" t="s">
        <v>2179</v>
      </c>
    </row>
    <row r="12" spans="1:2" x14ac:dyDescent="0.35">
      <c r="A12" s="14" t="s">
        <v>2180</v>
      </c>
      <c r="B12" s="14" t="s">
        <v>2181</v>
      </c>
    </row>
    <row r="13" spans="1:2" x14ac:dyDescent="0.35">
      <c r="A13" s="14" t="s">
        <v>2182</v>
      </c>
      <c r="B13" s="14" t="s">
        <v>2183</v>
      </c>
    </row>
    <row r="15" spans="1:2" x14ac:dyDescent="0.35">
      <c r="A15" s="67" t="s">
        <v>2184</v>
      </c>
      <c r="B15" s="67"/>
    </row>
    <row r="16" spans="1:2" x14ac:dyDescent="0.35">
      <c r="A16" s="68" t="s">
        <v>2185</v>
      </c>
      <c r="B16" s="68"/>
    </row>
  </sheetData>
  <mergeCells count="3">
    <mergeCell ref="A1:B1"/>
    <mergeCell ref="A15:B15"/>
    <mergeCell ref="A16:B1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C99A6"/>
  </sheetPr>
  <dimension ref="A1:R153"/>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6328125" defaultRowHeight="14.5" x14ac:dyDescent="0.35"/>
  <cols>
    <col min="1" max="1" width="30" customWidth="1"/>
    <col min="2" max="18" width="15" customWidth="1"/>
  </cols>
  <sheetData>
    <row r="1" spans="1:10" ht="18.5" x14ac:dyDescent="0.45">
      <c r="A1" s="15" t="s">
        <v>2186</v>
      </c>
    </row>
    <row r="2" spans="1:10" x14ac:dyDescent="0.35">
      <c r="A2" s="16" t="s">
        <v>2187</v>
      </c>
    </row>
    <row r="4" spans="1:10" x14ac:dyDescent="0.35">
      <c r="A4" s="17" t="s">
        <v>2188</v>
      </c>
      <c r="B4" s="18"/>
      <c r="C4" s="18"/>
      <c r="D4" s="18"/>
      <c r="E4" s="18"/>
      <c r="F4" s="19" t="s">
        <v>2189</v>
      </c>
      <c r="G4" s="18"/>
      <c r="H4" s="18"/>
      <c r="I4" s="18"/>
      <c r="J4" s="18"/>
    </row>
    <row r="5" spans="1:10" x14ac:dyDescent="0.35">
      <c r="A5" s="20" t="s">
        <v>39</v>
      </c>
      <c r="B5" s="21" t="str">
        <f>Dashboard!$B$6</f>
        <v>All</v>
      </c>
      <c r="C5" s="22" t="str">
        <f>IF(B5="All","*",B5)</f>
        <v>*</v>
      </c>
      <c r="F5" s="22" t="s">
        <v>2139</v>
      </c>
      <c r="G5" s="22" t="s">
        <v>2139</v>
      </c>
      <c r="H5" s="22" t="s">
        <v>2139</v>
      </c>
      <c r="I5" s="22" t="s">
        <v>2139</v>
      </c>
      <c r="J5" s="22" t="s">
        <v>2140</v>
      </c>
    </row>
    <row r="6" spans="1:10" x14ac:dyDescent="0.35">
      <c r="A6" s="20" t="s">
        <v>54</v>
      </c>
      <c r="B6" s="21" t="str">
        <f>Dashboard!$F$6</f>
        <v>All</v>
      </c>
      <c r="C6" s="22" t="str">
        <f>IF(B6="All","*",B6)</f>
        <v>*</v>
      </c>
      <c r="F6" s="22" t="s">
        <v>64</v>
      </c>
      <c r="G6" s="22" t="s">
        <v>61</v>
      </c>
      <c r="H6" s="22" t="s">
        <v>59</v>
      </c>
      <c r="I6" s="22" t="s">
        <v>60</v>
      </c>
      <c r="J6" s="22" t="s">
        <v>2190</v>
      </c>
    </row>
    <row r="7" spans="1:10" x14ac:dyDescent="0.35">
      <c r="A7" s="20" t="s">
        <v>52</v>
      </c>
      <c r="B7" s="21" t="str">
        <f>Dashboard!$J$6</f>
        <v>All</v>
      </c>
      <c r="C7" s="22" t="str">
        <f>IF(B7="All","*",B7)</f>
        <v>*</v>
      </c>
      <c r="F7" s="22" t="s">
        <v>74</v>
      </c>
      <c r="G7" s="22" t="s">
        <v>67</v>
      </c>
      <c r="H7" s="22" t="s">
        <v>75</v>
      </c>
      <c r="I7" s="22" t="s">
        <v>66</v>
      </c>
      <c r="J7" s="22" t="s">
        <v>2191</v>
      </c>
    </row>
    <row r="8" spans="1:10" x14ac:dyDescent="0.35">
      <c r="A8" s="20" t="s">
        <v>53</v>
      </c>
      <c r="B8" s="21" t="str">
        <f>Dashboard!$N$6</f>
        <v>All</v>
      </c>
      <c r="C8" s="22" t="str">
        <f>IF(B8="All","*",B8)</f>
        <v>*</v>
      </c>
      <c r="F8" s="22" t="s">
        <v>85</v>
      </c>
      <c r="G8" s="22" t="s">
        <v>71</v>
      </c>
      <c r="H8" s="22" t="s">
        <v>81</v>
      </c>
      <c r="I8" s="22" t="s">
        <v>82</v>
      </c>
      <c r="J8" s="22" t="s">
        <v>2192</v>
      </c>
    </row>
    <row r="9" spans="1:10" x14ac:dyDescent="0.35">
      <c r="A9" s="20" t="s">
        <v>2137</v>
      </c>
      <c r="B9" s="21" t="str">
        <f>Dashboard!$R$6</f>
        <v>May</v>
      </c>
      <c r="C9" s="22">
        <f>IFERROR(MATCH(B9,$J$5:$J$16,0),1)</f>
        <v>5</v>
      </c>
      <c r="F9" s="22" t="s">
        <v>70</v>
      </c>
      <c r="G9" s="22" t="s">
        <v>76</v>
      </c>
      <c r="H9" s="22" t="s">
        <v>65</v>
      </c>
      <c r="I9" s="22" t="s">
        <v>86</v>
      </c>
      <c r="J9" s="22" t="s">
        <v>2193</v>
      </c>
    </row>
    <row r="10" spans="1:10" x14ac:dyDescent="0.35">
      <c r="A10" s="20" t="s">
        <v>2138</v>
      </c>
      <c r="B10" s="21" t="str">
        <f>Dashboard!$V$6</f>
        <v>Dec</v>
      </c>
      <c r="C10" s="22">
        <f>IFERROR(MATCH(B10,$J$5:$J$16,0),12)</f>
        <v>12</v>
      </c>
      <c r="F10" s="22" t="s">
        <v>79</v>
      </c>
      <c r="G10" s="22" t="s">
        <v>2133</v>
      </c>
      <c r="H10" s="22" t="s">
        <v>2133</v>
      </c>
      <c r="I10" s="22" t="s">
        <v>2133</v>
      </c>
      <c r="J10" s="22" t="s">
        <v>2194</v>
      </c>
    </row>
    <row r="11" spans="1:10" x14ac:dyDescent="0.35">
      <c r="A11" s="20" t="s">
        <v>2195</v>
      </c>
      <c r="C11" s="22">
        <f>YEAR(MIN(d_Date))</f>
        <v>2025</v>
      </c>
      <c r="F11" s="22" t="s">
        <v>57</v>
      </c>
      <c r="J11" s="22" t="s">
        <v>2196</v>
      </c>
    </row>
    <row r="12" spans="1:10" x14ac:dyDescent="0.35">
      <c r="A12" s="20" t="s">
        <v>2197</v>
      </c>
      <c r="C12" s="23">
        <f>DATE(C11,C9,1)</f>
        <v>45778</v>
      </c>
      <c r="F12" s="22" t="s">
        <v>105</v>
      </c>
      <c r="J12" s="22" t="s">
        <v>2198</v>
      </c>
    </row>
    <row r="13" spans="1:10" x14ac:dyDescent="0.35">
      <c r="A13" s="20" t="s">
        <v>2199</v>
      </c>
      <c r="C13" s="23">
        <f>EOMONTH(DATE(C11,C10,1),0)</f>
        <v>46022</v>
      </c>
      <c r="J13" s="22" t="s">
        <v>2200</v>
      </c>
    </row>
    <row r="14" spans="1:10" x14ac:dyDescent="0.35">
      <c r="A14" s="20" t="s">
        <v>2201</v>
      </c>
      <c r="C14" s="22">
        <f>IF(AND(B5="All",B6="All",B7="All",B8="All",C9=1,C10=12),1,0)</f>
        <v>0</v>
      </c>
      <c r="J14" s="22" t="s">
        <v>2202</v>
      </c>
    </row>
    <row r="15" spans="1:10" x14ac:dyDescent="0.35">
      <c r="J15" s="22" t="s">
        <v>2203</v>
      </c>
    </row>
    <row r="16" spans="1:10" x14ac:dyDescent="0.35">
      <c r="J16" s="22" t="s">
        <v>2141</v>
      </c>
    </row>
    <row r="17" spans="1:17" x14ac:dyDescent="0.35">
      <c r="A17" s="17" t="s">
        <v>2204</v>
      </c>
      <c r="B17" s="18"/>
      <c r="C17" s="18"/>
      <c r="D17" s="18"/>
      <c r="E17" s="18"/>
      <c r="F17" s="18"/>
      <c r="G17" s="18"/>
      <c r="H17" s="18"/>
      <c r="I17" s="18"/>
      <c r="J17" s="18"/>
      <c r="K17" s="18"/>
      <c r="L17" s="18"/>
      <c r="M17" s="18"/>
      <c r="N17" s="18"/>
      <c r="O17" s="18"/>
      <c r="P17" s="18"/>
      <c r="Q17" s="18"/>
    </row>
    <row r="18" spans="1:17" ht="30" customHeight="1" x14ac:dyDescent="0.35">
      <c r="A18" s="24" t="s">
        <v>2205</v>
      </c>
      <c r="B18" s="24" t="s">
        <v>2206</v>
      </c>
      <c r="C18" s="24" t="s">
        <v>2207</v>
      </c>
      <c r="D18" s="24" t="s">
        <v>2208</v>
      </c>
      <c r="E18" s="24" t="s">
        <v>2209</v>
      </c>
      <c r="F18" s="24" t="s">
        <v>2210</v>
      </c>
    </row>
    <row r="19" spans="1:17" x14ac:dyDescent="0.35">
      <c r="A19" s="20" t="s">
        <v>2211</v>
      </c>
      <c r="B19" s="25">
        <f>SUMIFS(d_Sales,d_Category,fCat,d_City,fCity,d_Cust,fCust,d_Pay,fPay,d_Date,"&gt;="&amp;fStart,d_Date,"&lt;="&amp;fEnd)</f>
        <v>534759.67000000039</v>
      </c>
      <c r="C19" s="25">
        <f>INDEX($E$37:$E$48,$C$10)</f>
        <v>64278.950000000004</v>
      </c>
      <c r="D19" s="25">
        <f>IF($C$10&gt;1,INDEX($E$37:$E$48,$C$10-1),"")</f>
        <v>54697.530000000006</v>
      </c>
      <c r="E19" s="26">
        <f t="shared" ref="E19:E28" si="0">IF(AND(ISNUMBER(D19),D19&lt;&gt;0),(C19-D19)/D19,"")</f>
        <v>0.17517098121249711</v>
      </c>
      <c r="F19" s="22" t="str">
        <f t="shared" ref="F19:F28" si="1">IF(E19="","— no prior month",IF(E19&gt;=0,"▲ ","▼ ")&amp;TEXT(ABS(E19),"0.0%")&amp;" · "&amp;INDEX($B$37:$B$48,$C$10)&amp;" vs "&amp;INDEX($B$37:$B$48,$C$10-1))</f>
        <v>▲ 17.5% · Dec vs Nov</v>
      </c>
    </row>
    <row r="20" spans="1:17" x14ac:dyDescent="0.35">
      <c r="A20" s="20" t="s">
        <v>45</v>
      </c>
      <c r="B20" s="25">
        <f>SUMIFS(d_SalesRet,d_Category,fCat,d_City,fCity,d_Cust,fCust,d_Pay,fPay,d_Date,"&gt;="&amp;fStart,d_Date,"&lt;="&amp;fEnd)</f>
        <v>9299.5</v>
      </c>
      <c r="C20" s="25">
        <f>INDEX($F$37:$F$48,$C$10)</f>
        <v>1660</v>
      </c>
      <c r="D20" s="25">
        <f>IF($C$10&gt;1,INDEX($F$37:$F$48,$C$10-1),"")</f>
        <v>1201.9000000000001</v>
      </c>
      <c r="E20" s="26">
        <f t="shared" si="0"/>
        <v>0.38114651801314575</v>
      </c>
      <c r="F20" s="22" t="str">
        <f t="shared" si="1"/>
        <v>▲ 38.1% · Dec vs Nov</v>
      </c>
    </row>
    <row r="21" spans="1:17" x14ac:dyDescent="0.35">
      <c r="A21" s="20" t="s">
        <v>47</v>
      </c>
      <c r="B21" s="25">
        <f>SUMIFS(d_NetSales,d_Category,fCat,d_City,fCity,d_Cust,fCust,d_Pay,fPay,d_Date,"&gt;="&amp;fStart,d_Date,"&lt;="&amp;fEnd)</f>
        <v>525460.17000000016</v>
      </c>
      <c r="C21" s="25">
        <f>INDEX($G$37:$G$48,$C$10)</f>
        <v>62618.950000000004</v>
      </c>
      <c r="D21" s="25">
        <f>IF($C$10&gt;1,INDEX($G$37:$G$48,$C$10-1),"")</f>
        <v>53495.630000000012</v>
      </c>
      <c r="E21" s="26">
        <f t="shared" si="0"/>
        <v>0.17054327615171538</v>
      </c>
      <c r="F21" s="22" t="str">
        <f t="shared" si="1"/>
        <v>▲ 17.1% · Dec vs Nov</v>
      </c>
    </row>
    <row r="22" spans="1:17" x14ac:dyDescent="0.35">
      <c r="A22" s="20" t="s">
        <v>49</v>
      </c>
      <c r="B22" s="25">
        <f>SUMIFS(d_GP,d_Category,fCat,d_City,fCity,d_Cust,fCust,d_Pay,fPay,d_Date,"&gt;="&amp;fStart,d_Date,"&lt;="&amp;fEnd)</f>
        <v>136936.27999999982</v>
      </c>
      <c r="C22" s="25">
        <f>INDEX($H$37:$H$48,$C$10)</f>
        <v>16403.21</v>
      </c>
      <c r="D22" s="25">
        <f>IF($C$10&gt;1,INDEX($H$37:$H$48,$C$10-1),"")</f>
        <v>13783.699999999999</v>
      </c>
      <c r="E22" s="26">
        <f t="shared" si="0"/>
        <v>0.19004403752258106</v>
      </c>
      <c r="F22" s="22" t="str">
        <f t="shared" si="1"/>
        <v>▲ 19.0% · Dec vs Nov</v>
      </c>
    </row>
    <row r="23" spans="1:17" x14ac:dyDescent="0.35">
      <c r="A23" s="20" t="s">
        <v>51</v>
      </c>
      <c r="B23" s="25">
        <f>SUMIFS(d_NP,d_Category,fCat,d_City,fCity,d_Cust,fCust,d_Pay,fPay,d_Date,"&gt;="&amp;fStart,d_Date,"&lt;="&amp;fEnd)</f>
        <v>89567.450000000055</v>
      </c>
      <c r="C23" s="25">
        <f>INDEX($I$37:$I$48,$C$10)</f>
        <v>10760.399999999998</v>
      </c>
      <c r="D23" s="25">
        <f>IF($C$10&gt;1,INDEX($I$37:$I$48,$C$10-1),"")</f>
        <v>8836.6099999999933</v>
      </c>
      <c r="E23" s="26">
        <f t="shared" si="0"/>
        <v>0.21770679027364634</v>
      </c>
      <c r="F23" s="22" t="str">
        <f t="shared" si="1"/>
        <v>▲ 21.8% · Dec vs Nov</v>
      </c>
    </row>
    <row r="24" spans="1:17" x14ac:dyDescent="0.35">
      <c r="A24" s="20" t="s">
        <v>2212</v>
      </c>
      <c r="B24" s="27">
        <f>SUMIFS(d_Qty,d_Category,fCat,d_City,fCity,d_Cust,fCust,d_Pay,fPay,d_Date,"&gt;="&amp;fStart,d_Date,"&lt;="&amp;fEnd)</f>
        <v>4251</v>
      </c>
      <c r="C24" s="27">
        <f>INDEX($J$37:$J$48,$C$10)</f>
        <v>564</v>
      </c>
      <c r="D24" s="27">
        <f>IF($C$10&gt;1,INDEX($J$37:$J$48,$C$10-1),"")</f>
        <v>495</v>
      </c>
      <c r="E24" s="26">
        <f t="shared" si="0"/>
        <v>0.1393939393939394</v>
      </c>
      <c r="F24" s="22" t="str">
        <f t="shared" si="1"/>
        <v>▲ 13.9% · Dec vs Nov</v>
      </c>
    </row>
    <row r="25" spans="1:17" x14ac:dyDescent="0.35">
      <c r="A25" s="20" t="s">
        <v>2213</v>
      </c>
      <c r="B25" s="27">
        <f>SUMIFS(d_RetQty,d_Category,fCat,d_City,fCity,d_Cust,fCust,d_Pay,fPay,d_Date,"&gt;="&amp;fStart,d_Date,"&lt;="&amp;fEnd)</f>
        <v>77</v>
      </c>
      <c r="C25" s="27">
        <f>INDEX($K$37:$K$48,$C$10)</f>
        <v>11</v>
      </c>
      <c r="D25" s="27">
        <f>IF($C$10&gt;1,INDEX($K$37:$K$48,$C$10-1),"")</f>
        <v>7</v>
      </c>
      <c r="E25" s="26">
        <f t="shared" si="0"/>
        <v>0.5714285714285714</v>
      </c>
      <c r="F25" s="22" t="str">
        <f t="shared" si="1"/>
        <v>▲ 57.1% · Dec vs Nov</v>
      </c>
    </row>
    <row r="26" spans="1:17" x14ac:dyDescent="0.35">
      <c r="A26" s="20" t="s">
        <v>2214</v>
      </c>
      <c r="B26" s="27">
        <f>SUMIFS(d_NetQty,d_Category,fCat,d_City,fCity,d_Cust,fCust,d_Pay,fPay,d_Date,"&gt;="&amp;fStart,d_Date,"&lt;="&amp;fEnd)</f>
        <v>4174</v>
      </c>
      <c r="C26" s="27">
        <f>INDEX($L$37:$L$48,$C$10)</f>
        <v>553</v>
      </c>
      <c r="D26" s="27">
        <f>IF($C$10&gt;1,INDEX($L$37:$L$48,$C$10-1),"")</f>
        <v>488</v>
      </c>
      <c r="E26" s="26">
        <f t="shared" si="0"/>
        <v>0.13319672131147542</v>
      </c>
      <c r="F26" s="22" t="str">
        <f t="shared" si="1"/>
        <v>▲ 13.3% · Dec vs Nov</v>
      </c>
    </row>
    <row r="27" spans="1:17" x14ac:dyDescent="0.35">
      <c r="A27" s="20" t="s">
        <v>2215</v>
      </c>
      <c r="B27" s="27">
        <f>COUNTIFS(d_Category,fCat,d_City,fCity,d_Cust,fCust,d_Pay,fPay,d_Date,"&gt;="&amp;fStart,d_Date,"&lt;="&amp;fEnd)</f>
        <v>1320</v>
      </c>
      <c r="C27" s="27">
        <f>INDEX($M$37:$M$48,$C$10)</f>
        <v>167</v>
      </c>
      <c r="D27" s="27">
        <f>IF($C$10&gt;1,INDEX($M$37:$M$48,$C$10-1),"")</f>
        <v>160</v>
      </c>
      <c r="E27" s="26">
        <f t="shared" si="0"/>
        <v>4.3749999999999997E-2</v>
      </c>
      <c r="F27" s="22" t="str">
        <f t="shared" si="1"/>
        <v>▲ 4.4% · Dec vs Nov</v>
      </c>
    </row>
    <row r="28" spans="1:17" x14ac:dyDescent="0.35">
      <c r="A28" s="20" t="s">
        <v>2145</v>
      </c>
      <c r="B28" s="25">
        <f>IF(B27=0,0,B21/B27)</f>
        <v>398.07588636363647</v>
      </c>
      <c r="C28" s="25">
        <f>INDEX($Q$37:$Q$48,$C$10)</f>
        <v>374.96377245508984</v>
      </c>
      <c r="D28" s="25">
        <f>IF($C$10&gt;1,INDEX($Q$37:$Q$48,$C$10-1),"")</f>
        <v>334.34768750000006</v>
      </c>
      <c r="E28" s="26">
        <f t="shared" si="0"/>
        <v>0.12147858792978722</v>
      </c>
      <c r="F28" s="22" t="str">
        <f t="shared" si="1"/>
        <v>▲ 12.1% · Dec vs Nov</v>
      </c>
    </row>
    <row r="29" spans="1:17" x14ac:dyDescent="0.35">
      <c r="A29" s="20" t="s">
        <v>2131</v>
      </c>
      <c r="B29" s="26">
        <f>IF(B21=0,0,B22/B21)</f>
        <v>0.26060258763285482</v>
      </c>
      <c r="C29" s="26">
        <f>INDEX($N$37:$N$48,$C$10)</f>
        <v>0.26195281140932575</v>
      </c>
      <c r="D29" s="26">
        <f>IF($C$10&gt;1,INDEX($N$37:$N$48,$C$10-1),"")</f>
        <v>0.25766029860756845</v>
      </c>
      <c r="E29" s="26">
        <f>IF(ISNUMBER(D29),C29-D29,"")</f>
        <v>4.2925128017572978E-3</v>
      </c>
      <c r="F29" s="22" t="str">
        <f>IF(E29="","— no prior month",IF(E29&gt;=0,"▲ ","▼ ")&amp;TEXT(ABS(E29)*100,"0.0")&amp;" pp · "&amp;INDEX($B$37:$B$48,$C$10)&amp;" vs "&amp;INDEX($B$37:$B$48,$C$10-1))</f>
        <v>▲ 0.4 pp · Dec vs Nov</v>
      </c>
    </row>
    <row r="30" spans="1:17" x14ac:dyDescent="0.35">
      <c r="A30" s="20" t="s">
        <v>2132</v>
      </c>
      <c r="B30" s="26">
        <f>IF(B21=0,0,B23/B21)</f>
        <v>0.17045526019602975</v>
      </c>
      <c r="C30" s="26">
        <f>INDEX($O$37:$O$48,$C$10)</f>
        <v>0.17183935533891892</v>
      </c>
      <c r="D30" s="26">
        <f>IF($C$10&gt;1,INDEX($O$37:$O$48,$C$10-1),"")</f>
        <v>0.16518377295491224</v>
      </c>
      <c r="E30" s="26">
        <f>IF(ISNUMBER(D30),C30-D30,"")</f>
        <v>6.6555823840066808E-3</v>
      </c>
      <c r="F30" s="22" t="str">
        <f>IF(E30="","— no prior month",IF(E30&gt;=0,"▲ ","▼ ")&amp;TEXT(ABS(E30)*100,"0.0")&amp;" pp · "&amp;INDEX($B$37:$B$48,$C$10)&amp;" vs "&amp;INDEX($B$37:$B$48,$C$10-1))</f>
        <v>▲ 0.7 pp · Dec vs Nov</v>
      </c>
    </row>
    <row r="31" spans="1:17" x14ac:dyDescent="0.35">
      <c r="A31" s="20" t="s">
        <v>2216</v>
      </c>
      <c r="B31" s="26">
        <f>IF(B24=0,0,B25/B24)</f>
        <v>1.811338508586215E-2</v>
      </c>
      <c r="C31" s="26">
        <f>INDEX($P$37:$P$48,$C$10)</f>
        <v>1.9503546099290781E-2</v>
      </c>
      <c r="D31" s="26">
        <f>IF($C$10&gt;1,INDEX($P$37:$P$48,$C$10-1),"")</f>
        <v>1.4141414141414142E-2</v>
      </c>
      <c r="E31" s="26">
        <f>IF(ISNUMBER(D31),C31-D31,"")</f>
        <v>5.3621319578766383E-3</v>
      </c>
      <c r="F31" s="22" t="str">
        <f>IF(E31="","— no prior month",IF(E31&gt;=0,"▲ ","▼ ")&amp;TEXT(ABS(E31)*100,"0.0")&amp;" pp · "&amp;INDEX($B$37:$B$48,$C$10)&amp;" vs "&amp;INDEX($B$37:$B$48,$C$10-1))</f>
        <v>▲ 0.5 pp · Dec vs Nov</v>
      </c>
    </row>
    <row r="35" spans="1:18" x14ac:dyDescent="0.35">
      <c r="A35" s="17" t="s">
        <v>2217</v>
      </c>
      <c r="B35" s="18"/>
      <c r="C35" s="18"/>
      <c r="D35" s="18"/>
      <c r="E35" s="18"/>
      <c r="F35" s="18"/>
      <c r="G35" s="18"/>
      <c r="H35" s="18"/>
      <c r="I35" s="18"/>
      <c r="J35" s="18"/>
      <c r="K35" s="18"/>
      <c r="L35" s="18"/>
      <c r="M35" s="18"/>
      <c r="N35" s="18"/>
      <c r="O35" s="18"/>
      <c r="P35" s="18"/>
      <c r="Q35" s="18"/>
    </row>
    <row r="36" spans="1:18" ht="30" customHeight="1" x14ac:dyDescent="0.35">
      <c r="A36" s="24" t="s">
        <v>2218</v>
      </c>
      <c r="B36" s="24" t="s">
        <v>2219</v>
      </c>
      <c r="C36" s="24" t="s">
        <v>2220</v>
      </c>
      <c r="D36" s="24" t="s">
        <v>2221</v>
      </c>
      <c r="E36" s="24" t="s">
        <v>2142</v>
      </c>
      <c r="F36" s="24" t="s">
        <v>45</v>
      </c>
      <c r="G36" s="24" t="s">
        <v>47</v>
      </c>
      <c r="H36" s="24" t="s">
        <v>49</v>
      </c>
      <c r="I36" s="24" t="s">
        <v>51</v>
      </c>
      <c r="J36" s="24" t="s">
        <v>40</v>
      </c>
      <c r="K36" s="24" t="s">
        <v>44</v>
      </c>
      <c r="L36" s="24" t="s">
        <v>46</v>
      </c>
      <c r="M36" s="24" t="s">
        <v>2222</v>
      </c>
      <c r="N36" s="24" t="s">
        <v>2223</v>
      </c>
      <c r="O36" s="24" t="s">
        <v>2224</v>
      </c>
      <c r="P36" s="24" t="s">
        <v>2225</v>
      </c>
      <c r="Q36" s="24" t="s">
        <v>2226</v>
      </c>
      <c r="R36" s="24" t="s">
        <v>2227</v>
      </c>
    </row>
    <row r="37" spans="1:18" x14ac:dyDescent="0.35">
      <c r="A37">
        <v>1</v>
      </c>
      <c r="B37" t="s">
        <v>2140</v>
      </c>
      <c r="C37" s="5">
        <f t="shared" ref="C37:C48" si="2">DATE($C$11,A37,1)</f>
        <v>45658</v>
      </c>
      <c r="D37" s="5">
        <f t="shared" ref="D37:D48" si="3">EOMONTH(C37,0)</f>
        <v>45688</v>
      </c>
      <c r="E37" s="28">
        <f t="shared" ref="E37:E48" si="4">SUMIFS(d_Sales,d_Category,fCat,d_City,fCity,d_Cust,fCust,d_Pay,fPay,d_Date,"&gt;="&amp;$C37,d_Date,"&lt;="&amp;$D37)</f>
        <v>71958.470000000016</v>
      </c>
      <c r="F37" s="28">
        <f t="shared" ref="F37:F48" si="5">SUMIFS(d_SalesRet,d_Category,fCat,d_City,fCity,d_Cust,fCust,d_Pay,fPay,d_Date,"&gt;="&amp;$C37,d_Date,"&lt;="&amp;$D37)</f>
        <v>1375</v>
      </c>
      <c r="G37" s="28">
        <f t="shared" ref="G37:G48" si="6">SUMIFS(d_NetSales,d_Category,fCat,d_City,fCity,d_Cust,fCust,d_Pay,fPay,d_Date,"&gt;="&amp;$C37,d_Date,"&lt;="&amp;$D37)</f>
        <v>70583.470000000016</v>
      </c>
      <c r="H37" s="28">
        <f t="shared" ref="H37:H48" si="7">SUMIFS(d_GP,d_Category,fCat,d_City,fCity,d_Cust,fCust,d_Pay,fPay,d_Date,"&gt;="&amp;$C37,d_Date,"&lt;="&amp;$D37)</f>
        <v>18094.270000000008</v>
      </c>
      <c r="I37" s="28">
        <f t="shared" ref="I37:I48" si="8">SUMIFS(d_NP,d_Category,fCat,d_City,fCity,d_Cust,fCust,d_Pay,fPay,d_Date,"&gt;="&amp;$C37,d_Date,"&lt;="&amp;$D37)</f>
        <v>11832.229999999994</v>
      </c>
      <c r="J37" s="29">
        <f t="shared" ref="J37:J48" si="9">SUMIFS(d_Qty,d_Category,fCat,d_City,fCity,d_Cust,fCust,d_Pay,fPay,d_Date,"&gt;="&amp;$C37,d_Date,"&lt;="&amp;$D37)</f>
        <v>556</v>
      </c>
      <c r="K37" s="29">
        <f t="shared" ref="K37:K48" si="10">SUMIFS(d_RetQty,d_Category,fCat,d_City,fCity,d_Cust,fCust,d_Pay,fPay,d_Date,"&gt;="&amp;$C37,d_Date,"&lt;="&amp;$D37)</f>
        <v>5</v>
      </c>
      <c r="L37" s="29">
        <f t="shared" ref="L37:L48" si="11">SUMIFS(d_NetQty,d_Category,fCat,d_City,fCity,d_Cust,fCust,d_Pay,fPay,d_Date,"&gt;="&amp;$C37,d_Date,"&lt;="&amp;$D37)</f>
        <v>551</v>
      </c>
      <c r="M37" s="29">
        <f t="shared" ref="M37:M48" si="12">COUNTIFS(d_Category,fCat,d_City,fCity,d_Cust,fCust,d_Pay,fPay,d_Date,"&gt;="&amp;$C37,d_Date,"&lt;="&amp;$D37)</f>
        <v>166</v>
      </c>
      <c r="N37" s="11">
        <f t="shared" ref="N37:N49" si="13">IF(G37=0,0,H37/G37)</f>
        <v>0.25635279761677915</v>
      </c>
      <c r="O37" s="11">
        <f t="shared" ref="O37:O49" si="14">IF(G37=0,0,I37/G37)</f>
        <v>0.16763457506410484</v>
      </c>
      <c r="P37" s="11">
        <f t="shared" ref="P37:P49" si="15">IF(J37=0,0,K37/J37)</f>
        <v>8.9928057553956831E-3</v>
      </c>
      <c r="Q37" s="28">
        <f t="shared" ref="Q37:Q49" si="16">IF(M37=0,0,G37/M37)</f>
        <v>425.20162650602418</v>
      </c>
      <c r="R37" s="30">
        <f t="shared" ref="R37:R48" si="17">IF(G37&gt;0,G37,1E+99)</f>
        <v>70583.470000000016</v>
      </c>
    </row>
    <row r="38" spans="1:18" x14ac:dyDescent="0.35">
      <c r="A38">
        <v>2</v>
      </c>
      <c r="B38" t="s">
        <v>2190</v>
      </c>
      <c r="C38" s="5">
        <f t="shared" si="2"/>
        <v>45689</v>
      </c>
      <c r="D38" s="5">
        <f t="shared" si="3"/>
        <v>45716</v>
      </c>
      <c r="E38" s="28">
        <f t="shared" si="4"/>
        <v>53988.619999999988</v>
      </c>
      <c r="F38" s="28">
        <f t="shared" si="5"/>
        <v>621.64</v>
      </c>
      <c r="G38" s="28">
        <f t="shared" si="6"/>
        <v>53366.979999999996</v>
      </c>
      <c r="H38" s="28">
        <f t="shared" si="7"/>
        <v>13968.500000000002</v>
      </c>
      <c r="I38" s="28">
        <f t="shared" si="8"/>
        <v>9247.8799999999974</v>
      </c>
      <c r="J38" s="29">
        <f t="shared" si="9"/>
        <v>514</v>
      </c>
      <c r="K38" s="29">
        <f t="shared" si="10"/>
        <v>8</v>
      </c>
      <c r="L38" s="29">
        <f t="shared" si="11"/>
        <v>506</v>
      </c>
      <c r="M38" s="29">
        <f t="shared" si="12"/>
        <v>160</v>
      </c>
      <c r="N38" s="11">
        <f t="shared" si="13"/>
        <v>0.26174424709811206</v>
      </c>
      <c r="O38" s="11">
        <f t="shared" si="14"/>
        <v>0.17328842666382843</v>
      </c>
      <c r="P38" s="11">
        <f t="shared" si="15"/>
        <v>1.556420233463035E-2</v>
      </c>
      <c r="Q38" s="28">
        <f t="shared" si="16"/>
        <v>333.54362499999996</v>
      </c>
      <c r="R38" s="30">
        <f t="shared" si="17"/>
        <v>53366.979999999996</v>
      </c>
    </row>
    <row r="39" spans="1:18" x14ac:dyDescent="0.35">
      <c r="A39">
        <v>3</v>
      </c>
      <c r="B39" t="s">
        <v>2191</v>
      </c>
      <c r="C39" s="5">
        <f t="shared" si="2"/>
        <v>45717</v>
      </c>
      <c r="D39" s="5">
        <f t="shared" si="3"/>
        <v>45747</v>
      </c>
      <c r="E39" s="28">
        <f t="shared" si="4"/>
        <v>70833.490000000005</v>
      </c>
      <c r="F39" s="28">
        <f t="shared" si="5"/>
        <v>674</v>
      </c>
      <c r="G39" s="28">
        <f t="shared" si="6"/>
        <v>70159.490000000005</v>
      </c>
      <c r="H39" s="28">
        <f t="shared" si="7"/>
        <v>17819.070000000007</v>
      </c>
      <c r="I39" s="28">
        <f t="shared" si="8"/>
        <v>11568.419999999998</v>
      </c>
      <c r="J39" s="29">
        <f t="shared" si="9"/>
        <v>594</v>
      </c>
      <c r="K39" s="29">
        <f t="shared" si="10"/>
        <v>6</v>
      </c>
      <c r="L39" s="29">
        <f t="shared" si="11"/>
        <v>588</v>
      </c>
      <c r="M39" s="29">
        <f t="shared" si="12"/>
        <v>183</v>
      </c>
      <c r="N39" s="11">
        <f t="shared" si="13"/>
        <v>0.2539794687789208</v>
      </c>
      <c r="O39" s="11">
        <f t="shared" si="14"/>
        <v>0.16488745856048836</v>
      </c>
      <c r="P39" s="11">
        <f t="shared" si="15"/>
        <v>1.0101010101010102E-2</v>
      </c>
      <c r="Q39" s="28">
        <f t="shared" si="16"/>
        <v>383.38519125683064</v>
      </c>
      <c r="R39" s="30">
        <f t="shared" si="17"/>
        <v>70159.490000000005</v>
      </c>
    </row>
    <row r="40" spans="1:18" x14ac:dyDescent="0.35">
      <c r="A40">
        <v>4</v>
      </c>
      <c r="B40" t="s">
        <v>2192</v>
      </c>
      <c r="C40" s="5">
        <f t="shared" si="2"/>
        <v>45748</v>
      </c>
      <c r="D40" s="5">
        <f t="shared" si="3"/>
        <v>45777</v>
      </c>
      <c r="E40" s="28">
        <f t="shared" si="4"/>
        <v>62206.54</v>
      </c>
      <c r="F40" s="28">
        <f t="shared" si="5"/>
        <v>1837.6</v>
      </c>
      <c r="G40" s="28">
        <f t="shared" si="6"/>
        <v>60368.94000000001</v>
      </c>
      <c r="H40" s="28">
        <f t="shared" si="7"/>
        <v>15471.459999999992</v>
      </c>
      <c r="I40" s="28">
        <f t="shared" si="8"/>
        <v>10106.410000000003</v>
      </c>
      <c r="J40" s="29">
        <f t="shared" si="9"/>
        <v>555</v>
      </c>
      <c r="K40" s="29">
        <f t="shared" si="10"/>
        <v>18</v>
      </c>
      <c r="L40" s="29">
        <f t="shared" si="11"/>
        <v>537</v>
      </c>
      <c r="M40" s="29">
        <f t="shared" si="12"/>
        <v>171</v>
      </c>
      <c r="N40" s="11">
        <f t="shared" si="13"/>
        <v>0.25628178994032347</v>
      </c>
      <c r="O40" s="11">
        <f t="shared" si="14"/>
        <v>0.16741075791623974</v>
      </c>
      <c r="P40" s="11">
        <f t="shared" si="15"/>
        <v>3.2432432432432434E-2</v>
      </c>
      <c r="Q40" s="28">
        <f t="shared" si="16"/>
        <v>353.0347368421053</v>
      </c>
      <c r="R40" s="30">
        <f t="shared" si="17"/>
        <v>60368.94000000001</v>
      </c>
    </row>
    <row r="41" spans="1:18" x14ac:dyDescent="0.35">
      <c r="A41">
        <v>5</v>
      </c>
      <c r="B41" t="s">
        <v>2193</v>
      </c>
      <c r="C41" s="5">
        <f t="shared" si="2"/>
        <v>45778</v>
      </c>
      <c r="D41" s="5">
        <f t="shared" si="3"/>
        <v>45808</v>
      </c>
      <c r="E41" s="28">
        <f t="shared" si="4"/>
        <v>76020.119999999981</v>
      </c>
      <c r="F41" s="28">
        <f t="shared" si="5"/>
        <v>2444.9</v>
      </c>
      <c r="G41" s="28">
        <f t="shared" si="6"/>
        <v>73575.219999999987</v>
      </c>
      <c r="H41" s="28">
        <f t="shared" si="7"/>
        <v>19322.34</v>
      </c>
      <c r="I41" s="28">
        <f t="shared" si="8"/>
        <v>12855.669999999995</v>
      </c>
      <c r="J41" s="29">
        <f t="shared" si="9"/>
        <v>535</v>
      </c>
      <c r="K41" s="29">
        <f t="shared" si="10"/>
        <v>16</v>
      </c>
      <c r="L41" s="29">
        <f t="shared" si="11"/>
        <v>519</v>
      </c>
      <c r="M41" s="29">
        <f t="shared" si="12"/>
        <v>168</v>
      </c>
      <c r="N41" s="11">
        <f t="shared" si="13"/>
        <v>0.26262021370782179</v>
      </c>
      <c r="O41" s="11">
        <f t="shared" si="14"/>
        <v>0.1747282576932831</v>
      </c>
      <c r="P41" s="11">
        <f t="shared" si="15"/>
        <v>2.9906542056074768E-2</v>
      </c>
      <c r="Q41" s="28">
        <f t="shared" si="16"/>
        <v>437.94773809523804</v>
      </c>
      <c r="R41" s="30">
        <f t="shared" si="17"/>
        <v>73575.219999999987</v>
      </c>
    </row>
    <row r="42" spans="1:18" x14ac:dyDescent="0.35">
      <c r="A42">
        <v>6</v>
      </c>
      <c r="B42" t="s">
        <v>2194</v>
      </c>
      <c r="C42" s="5">
        <f t="shared" si="2"/>
        <v>45809</v>
      </c>
      <c r="D42" s="5">
        <f t="shared" si="3"/>
        <v>45838</v>
      </c>
      <c r="E42" s="28">
        <f t="shared" si="4"/>
        <v>56504.390000000007</v>
      </c>
      <c r="F42" s="28">
        <f t="shared" si="5"/>
        <v>112.5</v>
      </c>
      <c r="G42" s="28">
        <f t="shared" si="6"/>
        <v>56391.890000000007</v>
      </c>
      <c r="H42" s="28">
        <f t="shared" si="7"/>
        <v>14085.299999999996</v>
      </c>
      <c r="I42" s="28">
        <f t="shared" si="8"/>
        <v>8930.5800000000036</v>
      </c>
      <c r="J42" s="29">
        <f t="shared" si="9"/>
        <v>493</v>
      </c>
      <c r="K42" s="29">
        <f t="shared" si="10"/>
        <v>1</v>
      </c>
      <c r="L42" s="29">
        <f t="shared" si="11"/>
        <v>492</v>
      </c>
      <c r="M42" s="29">
        <f t="shared" si="12"/>
        <v>150</v>
      </c>
      <c r="N42" s="11">
        <f t="shared" si="13"/>
        <v>0.24977527796993493</v>
      </c>
      <c r="O42" s="11">
        <f t="shared" si="14"/>
        <v>0.15836638920951226</v>
      </c>
      <c r="P42" s="11">
        <f t="shared" si="15"/>
        <v>2.0283975659229209E-3</v>
      </c>
      <c r="Q42" s="28">
        <f t="shared" si="16"/>
        <v>375.94593333333336</v>
      </c>
      <c r="R42" s="30">
        <f t="shared" si="17"/>
        <v>56391.890000000007</v>
      </c>
    </row>
    <row r="43" spans="1:18" x14ac:dyDescent="0.35">
      <c r="A43">
        <v>7</v>
      </c>
      <c r="B43" t="s">
        <v>2196</v>
      </c>
      <c r="C43" s="5">
        <f t="shared" si="2"/>
        <v>45839</v>
      </c>
      <c r="D43" s="5">
        <f t="shared" si="3"/>
        <v>45869</v>
      </c>
      <c r="E43" s="28">
        <f t="shared" si="4"/>
        <v>65915.22</v>
      </c>
      <c r="F43" s="28">
        <f t="shared" si="5"/>
        <v>1177.25</v>
      </c>
      <c r="G43" s="28">
        <f t="shared" si="6"/>
        <v>64737.969999999994</v>
      </c>
      <c r="H43" s="28">
        <f t="shared" si="7"/>
        <v>17542.899999999994</v>
      </c>
      <c r="I43" s="28">
        <f t="shared" si="8"/>
        <v>11793.700000000006</v>
      </c>
      <c r="J43" s="29">
        <f t="shared" si="9"/>
        <v>495</v>
      </c>
      <c r="K43" s="29">
        <f t="shared" si="10"/>
        <v>9</v>
      </c>
      <c r="L43" s="29">
        <f t="shared" si="11"/>
        <v>486</v>
      </c>
      <c r="M43" s="29">
        <f t="shared" si="12"/>
        <v>161</v>
      </c>
      <c r="N43" s="11">
        <f t="shared" si="13"/>
        <v>0.27098316490306995</v>
      </c>
      <c r="O43" s="11">
        <f t="shared" si="14"/>
        <v>0.18217593168275137</v>
      </c>
      <c r="P43" s="11">
        <f t="shared" si="15"/>
        <v>1.8181818181818181E-2</v>
      </c>
      <c r="Q43" s="28">
        <f t="shared" si="16"/>
        <v>402.09919254658382</v>
      </c>
      <c r="R43" s="30">
        <f t="shared" si="17"/>
        <v>64737.969999999994</v>
      </c>
    </row>
    <row r="44" spans="1:18" x14ac:dyDescent="0.35">
      <c r="A44">
        <v>8</v>
      </c>
      <c r="B44" t="s">
        <v>2198</v>
      </c>
      <c r="C44" s="5">
        <f t="shared" si="2"/>
        <v>45870</v>
      </c>
      <c r="D44" s="5">
        <f t="shared" si="3"/>
        <v>45900</v>
      </c>
      <c r="E44" s="28">
        <f t="shared" si="4"/>
        <v>80130.460000000006</v>
      </c>
      <c r="F44" s="28">
        <f t="shared" si="5"/>
        <v>1029</v>
      </c>
      <c r="G44" s="28">
        <f t="shared" si="6"/>
        <v>79101.460000000006</v>
      </c>
      <c r="H44" s="28">
        <f t="shared" si="7"/>
        <v>19450.44999999999</v>
      </c>
      <c r="I44" s="28">
        <f t="shared" si="8"/>
        <v>12142.130000000001</v>
      </c>
      <c r="J44" s="29">
        <f t="shared" si="9"/>
        <v>622</v>
      </c>
      <c r="K44" s="29">
        <f t="shared" si="10"/>
        <v>15</v>
      </c>
      <c r="L44" s="29">
        <f t="shared" si="11"/>
        <v>607</v>
      </c>
      <c r="M44" s="29">
        <f t="shared" si="12"/>
        <v>185</v>
      </c>
      <c r="N44" s="11">
        <f t="shared" si="13"/>
        <v>0.24589242726998956</v>
      </c>
      <c r="O44" s="11">
        <f t="shared" si="14"/>
        <v>0.15350070656091555</v>
      </c>
      <c r="P44" s="11">
        <f t="shared" si="15"/>
        <v>2.4115755627009645E-2</v>
      </c>
      <c r="Q44" s="28">
        <f t="shared" si="16"/>
        <v>427.57545945945947</v>
      </c>
      <c r="R44" s="30">
        <f t="shared" si="17"/>
        <v>79101.460000000006</v>
      </c>
    </row>
    <row r="45" spans="1:18" x14ac:dyDescent="0.35">
      <c r="A45">
        <v>9</v>
      </c>
      <c r="B45" t="s">
        <v>2200</v>
      </c>
      <c r="C45" s="5">
        <f t="shared" si="2"/>
        <v>45901</v>
      </c>
      <c r="D45" s="5">
        <f t="shared" si="3"/>
        <v>45930</v>
      </c>
      <c r="E45" s="28">
        <f t="shared" si="4"/>
        <v>64346.249999999993</v>
      </c>
      <c r="F45" s="28">
        <f t="shared" si="5"/>
        <v>1079.7</v>
      </c>
      <c r="G45" s="28">
        <f t="shared" si="6"/>
        <v>63266.549999999988</v>
      </c>
      <c r="H45" s="28">
        <f t="shared" si="7"/>
        <v>17065.839999999997</v>
      </c>
      <c r="I45" s="28">
        <f t="shared" si="8"/>
        <v>11353.66</v>
      </c>
      <c r="J45" s="29">
        <f t="shared" si="9"/>
        <v>494</v>
      </c>
      <c r="K45" s="29">
        <f t="shared" si="10"/>
        <v>11</v>
      </c>
      <c r="L45" s="29">
        <f t="shared" si="11"/>
        <v>483</v>
      </c>
      <c r="M45" s="29">
        <f t="shared" si="12"/>
        <v>152</v>
      </c>
      <c r="N45" s="11">
        <f t="shared" si="13"/>
        <v>0.26974507065740111</v>
      </c>
      <c r="O45" s="11">
        <f t="shared" si="14"/>
        <v>0.17945754905238237</v>
      </c>
      <c r="P45" s="11">
        <f t="shared" si="15"/>
        <v>2.2267206477732792E-2</v>
      </c>
      <c r="Q45" s="28">
        <f t="shared" si="16"/>
        <v>416.22730263157888</v>
      </c>
      <c r="R45" s="30">
        <f t="shared" si="17"/>
        <v>63266.549999999988</v>
      </c>
    </row>
    <row r="46" spans="1:18" x14ac:dyDescent="0.35">
      <c r="A46">
        <v>10</v>
      </c>
      <c r="B46" t="s">
        <v>2202</v>
      </c>
      <c r="C46" s="5">
        <f t="shared" si="2"/>
        <v>45931</v>
      </c>
      <c r="D46" s="5">
        <f t="shared" si="3"/>
        <v>45961</v>
      </c>
      <c r="E46" s="28">
        <f t="shared" si="4"/>
        <v>72866.750000000015</v>
      </c>
      <c r="F46" s="28">
        <f t="shared" si="5"/>
        <v>594.25</v>
      </c>
      <c r="G46" s="28">
        <f t="shared" si="6"/>
        <v>72272.500000000015</v>
      </c>
      <c r="H46" s="28">
        <f t="shared" si="7"/>
        <v>19282.54</v>
      </c>
      <c r="I46" s="28">
        <f t="shared" si="8"/>
        <v>12894.699999999999</v>
      </c>
      <c r="J46" s="29">
        <f t="shared" si="9"/>
        <v>553</v>
      </c>
      <c r="K46" s="29">
        <f t="shared" si="10"/>
        <v>7</v>
      </c>
      <c r="L46" s="29">
        <f t="shared" si="11"/>
        <v>546</v>
      </c>
      <c r="M46" s="29">
        <f t="shared" si="12"/>
        <v>177</v>
      </c>
      <c r="N46" s="11">
        <f t="shared" si="13"/>
        <v>0.2668032792555951</v>
      </c>
      <c r="O46" s="11">
        <f t="shared" si="14"/>
        <v>0.17841779376664701</v>
      </c>
      <c r="P46" s="11">
        <f t="shared" si="15"/>
        <v>1.2658227848101266E-2</v>
      </c>
      <c r="Q46" s="28">
        <f t="shared" si="16"/>
        <v>408.31920903954813</v>
      </c>
      <c r="R46" s="30">
        <f t="shared" si="17"/>
        <v>72272.500000000015</v>
      </c>
    </row>
    <row r="47" spans="1:18" x14ac:dyDescent="0.35">
      <c r="A47">
        <v>11</v>
      </c>
      <c r="B47" t="s">
        <v>2203</v>
      </c>
      <c r="C47" s="5">
        <f t="shared" si="2"/>
        <v>45962</v>
      </c>
      <c r="D47" s="5">
        <f t="shared" si="3"/>
        <v>45991</v>
      </c>
      <c r="E47" s="28">
        <f t="shared" si="4"/>
        <v>54697.530000000006</v>
      </c>
      <c r="F47" s="28">
        <f t="shared" si="5"/>
        <v>1201.9000000000001</v>
      </c>
      <c r="G47" s="28">
        <f t="shared" si="6"/>
        <v>53495.630000000012</v>
      </c>
      <c r="H47" s="28">
        <f t="shared" si="7"/>
        <v>13783.699999999999</v>
      </c>
      <c r="I47" s="28">
        <f t="shared" si="8"/>
        <v>8836.6099999999933</v>
      </c>
      <c r="J47" s="29">
        <f t="shared" si="9"/>
        <v>495</v>
      </c>
      <c r="K47" s="29">
        <f t="shared" si="10"/>
        <v>7</v>
      </c>
      <c r="L47" s="29">
        <f t="shared" si="11"/>
        <v>488</v>
      </c>
      <c r="M47" s="29">
        <f t="shared" si="12"/>
        <v>160</v>
      </c>
      <c r="N47" s="11">
        <f t="shared" si="13"/>
        <v>0.25766029860756845</v>
      </c>
      <c r="O47" s="11">
        <f t="shared" si="14"/>
        <v>0.16518377295491224</v>
      </c>
      <c r="P47" s="11">
        <f t="shared" si="15"/>
        <v>1.4141414141414142E-2</v>
      </c>
      <c r="Q47" s="28">
        <f t="shared" si="16"/>
        <v>334.34768750000006</v>
      </c>
      <c r="R47" s="30">
        <f t="shared" si="17"/>
        <v>53495.630000000012</v>
      </c>
    </row>
    <row r="48" spans="1:18" x14ac:dyDescent="0.35">
      <c r="A48">
        <v>12</v>
      </c>
      <c r="B48" t="s">
        <v>2141</v>
      </c>
      <c r="C48" s="5">
        <f t="shared" si="2"/>
        <v>45992</v>
      </c>
      <c r="D48" s="5">
        <f t="shared" si="3"/>
        <v>46022</v>
      </c>
      <c r="E48" s="28">
        <f t="shared" si="4"/>
        <v>64278.950000000004</v>
      </c>
      <c r="F48" s="28">
        <f t="shared" si="5"/>
        <v>1660</v>
      </c>
      <c r="G48" s="28">
        <f t="shared" si="6"/>
        <v>62618.950000000004</v>
      </c>
      <c r="H48" s="28">
        <f t="shared" si="7"/>
        <v>16403.21</v>
      </c>
      <c r="I48" s="28">
        <f t="shared" si="8"/>
        <v>10760.399999999998</v>
      </c>
      <c r="J48" s="29">
        <f t="shared" si="9"/>
        <v>564</v>
      </c>
      <c r="K48" s="29">
        <f t="shared" si="10"/>
        <v>11</v>
      </c>
      <c r="L48" s="29">
        <f t="shared" si="11"/>
        <v>553</v>
      </c>
      <c r="M48" s="29">
        <f t="shared" si="12"/>
        <v>167</v>
      </c>
      <c r="N48" s="11">
        <f t="shared" si="13"/>
        <v>0.26195281140932575</v>
      </c>
      <c r="O48" s="11">
        <f t="shared" si="14"/>
        <v>0.17183935533891892</v>
      </c>
      <c r="P48" s="11">
        <f t="shared" si="15"/>
        <v>1.9503546099290781E-2</v>
      </c>
      <c r="Q48" s="28">
        <f t="shared" si="16"/>
        <v>374.96377245508984</v>
      </c>
      <c r="R48" s="30">
        <f t="shared" si="17"/>
        <v>62618.950000000004</v>
      </c>
    </row>
    <row r="49" spans="1:18" x14ac:dyDescent="0.35">
      <c r="A49" s="20" t="s">
        <v>2228</v>
      </c>
      <c r="E49" s="31">
        <f t="shared" ref="E49:M49" si="18">SUM(E37:E48)</f>
        <v>793746.78999999992</v>
      </c>
      <c r="F49" s="31">
        <f t="shared" si="18"/>
        <v>13807.74</v>
      </c>
      <c r="G49" s="31">
        <f t="shared" si="18"/>
        <v>779939.04999999993</v>
      </c>
      <c r="H49" s="31">
        <f t="shared" si="18"/>
        <v>202289.58</v>
      </c>
      <c r="I49" s="31">
        <f t="shared" si="18"/>
        <v>132322.38999999998</v>
      </c>
      <c r="J49" s="32">
        <f t="shared" si="18"/>
        <v>6470</v>
      </c>
      <c r="K49" s="32">
        <f t="shared" si="18"/>
        <v>114</v>
      </c>
      <c r="L49" s="32">
        <f t="shared" si="18"/>
        <v>6356</v>
      </c>
      <c r="M49" s="32">
        <f t="shared" si="18"/>
        <v>2000</v>
      </c>
      <c r="N49" s="11">
        <f t="shared" si="13"/>
        <v>0.25936588250069026</v>
      </c>
      <c r="O49" s="11">
        <f t="shared" si="14"/>
        <v>0.16965734694268739</v>
      </c>
      <c r="P49" s="11">
        <f t="shared" si="15"/>
        <v>1.7619783616692426E-2</v>
      </c>
      <c r="Q49" s="28">
        <f t="shared" si="16"/>
        <v>389.96952499999998</v>
      </c>
      <c r="R49" s="30"/>
    </row>
    <row r="52" spans="1:18" x14ac:dyDescent="0.35">
      <c r="A52" s="17" t="s">
        <v>2229</v>
      </c>
      <c r="B52" s="18"/>
      <c r="C52" s="18"/>
      <c r="D52" s="18"/>
      <c r="E52" s="18"/>
      <c r="F52" s="18"/>
      <c r="G52" s="18"/>
      <c r="H52" s="18"/>
      <c r="I52" s="18"/>
      <c r="J52" s="18"/>
      <c r="K52" s="18"/>
      <c r="L52" s="18"/>
      <c r="M52" s="18"/>
      <c r="N52" s="18"/>
      <c r="O52" s="18"/>
      <c r="P52" s="18"/>
      <c r="Q52" s="18"/>
    </row>
    <row r="53" spans="1:18" ht="30" customHeight="1" x14ac:dyDescent="0.35">
      <c r="A53" s="24" t="s">
        <v>39</v>
      </c>
      <c r="B53" s="24" t="s">
        <v>47</v>
      </c>
      <c r="C53" s="24" t="s">
        <v>49</v>
      </c>
      <c r="D53" s="24" t="s">
        <v>51</v>
      </c>
      <c r="E53" s="24" t="s">
        <v>40</v>
      </c>
      <c r="F53" s="24" t="s">
        <v>44</v>
      </c>
      <c r="G53" s="24" t="s">
        <v>46</v>
      </c>
      <c r="H53" s="24" t="s">
        <v>45</v>
      </c>
      <c r="I53" s="24" t="s">
        <v>2223</v>
      </c>
      <c r="J53" s="24" t="s">
        <v>2224</v>
      </c>
      <c r="K53" s="24" t="s">
        <v>2225</v>
      </c>
      <c r="L53" s="24" t="s">
        <v>2230</v>
      </c>
      <c r="M53" s="24" t="s">
        <v>2231</v>
      </c>
      <c r="N53" s="24" t="s">
        <v>2232</v>
      </c>
    </row>
    <row r="54" spans="1:18" x14ac:dyDescent="0.35">
      <c r="A54" t="s">
        <v>64</v>
      </c>
      <c r="B54" s="28">
        <f t="shared" ref="B54:B60" si="19">SUMIFS(d_NetSales,d_Category,fCat,d_City,fCity,d_Cust,fCust,d_Pay,fPay,d_Category,$A54,d_Date,"&gt;="&amp;fStart,d_Date,"&lt;="&amp;fEnd)</f>
        <v>201363.76000000004</v>
      </c>
      <c r="C54" s="28">
        <f t="shared" ref="C54:C60" si="20">SUMIFS(d_GP,d_Category,fCat,d_City,fCity,d_Cust,fCust,d_Pay,fPay,d_Category,$A54,d_Date,"&gt;="&amp;fStart,d_Date,"&lt;="&amp;fEnd)</f>
        <v>53116</v>
      </c>
      <c r="D54" s="28">
        <f t="shared" ref="D54:D60" si="21">SUMIFS(d_NP,d_Category,fCat,d_City,fCity,d_Cust,fCust,d_Pay,fPay,d_Category,$A54,d_Date,"&gt;="&amp;fStart,d_Date,"&lt;="&amp;fEnd)</f>
        <v>34797.470000000023</v>
      </c>
      <c r="E54" s="29">
        <f t="shared" ref="E54:E60" si="22">SUMIFS(d_Qty,d_Category,fCat,d_City,fCity,d_Cust,fCust,d_Pay,fPay,d_Category,$A54,d_Date,"&gt;="&amp;fStart,d_Date,"&lt;="&amp;fEnd)</f>
        <v>950</v>
      </c>
      <c r="F54" s="29">
        <f t="shared" ref="F54:F60" si="23">SUMIFS(d_RetQty,d_Category,fCat,d_City,fCity,d_Cust,fCust,d_Pay,fPay,d_Category,$A54,d_Date,"&gt;="&amp;fStart,d_Date,"&lt;="&amp;fEnd)</f>
        <v>20</v>
      </c>
      <c r="G54" s="29">
        <f t="shared" ref="G54:G60" si="24">SUMIFS(d_NetQty,d_Category,fCat,d_City,fCity,d_Cust,fCust,d_Pay,fPay,d_Category,$A54,d_Date,"&gt;="&amp;fStart,d_Date,"&lt;="&amp;fEnd)</f>
        <v>930</v>
      </c>
      <c r="H54" s="28">
        <f t="shared" ref="H54:H60" si="25">SUMIFS(d_SalesRet,d_Category,fCat,d_City,fCity,d_Cust,fCust,d_Pay,fPay,d_Category,$A54,d_Date,"&gt;="&amp;fStart,d_Date,"&lt;="&amp;fEnd)</f>
        <v>4526.2</v>
      </c>
      <c r="I54" s="11">
        <f t="shared" ref="I54:I61" si="26">IF(B54=0,0,C54/B54)</f>
        <v>0.26378132788144198</v>
      </c>
      <c r="J54" s="11">
        <f t="shared" ref="J54:J61" si="27">IF(B54=0,0,D54/B54)</f>
        <v>0.17280899999086238</v>
      </c>
      <c r="K54" s="11">
        <f t="shared" ref="K54:K61" si="28">IF(E54=0,0,F54/E54)</f>
        <v>2.1052631578947368E-2</v>
      </c>
      <c r="L54" s="11">
        <f t="shared" ref="L54:L60" si="29">IF($B$61=0,0,B54/$B$61)</f>
        <v>0.38321412639134955</v>
      </c>
      <c r="M54" s="30">
        <f t="shared" ref="M54:M60" si="30">IF(B54&gt;0,B54,1E+99)</f>
        <v>201363.76000000004</v>
      </c>
      <c r="N54" s="11">
        <f t="shared" ref="N54:N60" si="31">IF(E54&gt;0,K54,-1)</f>
        <v>2.1052631578947368E-2</v>
      </c>
    </row>
    <row r="55" spans="1:18" x14ac:dyDescent="0.35">
      <c r="A55" t="s">
        <v>74</v>
      </c>
      <c r="B55" s="28">
        <f t="shared" si="19"/>
        <v>101609.34999999999</v>
      </c>
      <c r="C55" s="28">
        <f t="shared" si="20"/>
        <v>25848.169999999995</v>
      </c>
      <c r="D55" s="28">
        <f t="shared" si="21"/>
        <v>16689.659999999989</v>
      </c>
      <c r="E55" s="29">
        <f t="shared" si="22"/>
        <v>647</v>
      </c>
      <c r="F55" s="29">
        <f t="shared" si="23"/>
        <v>10</v>
      </c>
      <c r="G55" s="29">
        <f t="shared" si="24"/>
        <v>637</v>
      </c>
      <c r="H55" s="28">
        <f t="shared" si="25"/>
        <v>1133.75</v>
      </c>
      <c r="I55" s="11">
        <f t="shared" si="26"/>
        <v>0.25438771136711336</v>
      </c>
      <c r="J55" s="11">
        <f t="shared" si="27"/>
        <v>0.16425319126635482</v>
      </c>
      <c r="K55" s="11">
        <f t="shared" si="28"/>
        <v>1.5455950540958269E-2</v>
      </c>
      <c r="L55" s="11">
        <f t="shared" si="29"/>
        <v>0.19337212561705672</v>
      </c>
      <c r="M55" s="30">
        <f t="shared" si="30"/>
        <v>101609.34999999999</v>
      </c>
      <c r="N55" s="11">
        <f t="shared" si="31"/>
        <v>1.5455950540958269E-2</v>
      </c>
    </row>
    <row r="56" spans="1:18" x14ac:dyDescent="0.35">
      <c r="A56" t="s">
        <v>85</v>
      </c>
      <c r="B56" s="28">
        <f t="shared" si="19"/>
        <v>79609.659999999989</v>
      </c>
      <c r="C56" s="28">
        <f t="shared" si="20"/>
        <v>21508.810000000012</v>
      </c>
      <c r="D56" s="28">
        <f t="shared" si="21"/>
        <v>14498.660000000002</v>
      </c>
      <c r="E56" s="29">
        <f t="shared" si="22"/>
        <v>827</v>
      </c>
      <c r="F56" s="29">
        <f t="shared" si="23"/>
        <v>13</v>
      </c>
      <c r="G56" s="29">
        <f t="shared" si="24"/>
        <v>814</v>
      </c>
      <c r="H56" s="28">
        <f t="shared" si="25"/>
        <v>770.8</v>
      </c>
      <c r="I56" s="11">
        <f t="shared" si="26"/>
        <v>0.27017839292367302</v>
      </c>
      <c r="J56" s="11">
        <f t="shared" si="27"/>
        <v>0.18212186812504919</v>
      </c>
      <c r="K56" s="11">
        <f t="shared" si="28"/>
        <v>1.5719467956469165E-2</v>
      </c>
      <c r="L56" s="11">
        <f t="shared" si="29"/>
        <v>0.15150465162754387</v>
      </c>
      <c r="M56" s="30">
        <f t="shared" si="30"/>
        <v>79609.659999999989</v>
      </c>
      <c r="N56" s="11">
        <f t="shared" si="31"/>
        <v>1.5719467956469165E-2</v>
      </c>
    </row>
    <row r="57" spans="1:18" x14ac:dyDescent="0.35">
      <c r="A57" t="s">
        <v>70</v>
      </c>
      <c r="B57" s="28">
        <f t="shared" si="19"/>
        <v>68748.7</v>
      </c>
      <c r="C57" s="28">
        <f t="shared" si="20"/>
        <v>17026.089999999989</v>
      </c>
      <c r="D57" s="28">
        <f t="shared" si="21"/>
        <v>10854.590000000006</v>
      </c>
      <c r="E57" s="29">
        <f t="shared" si="22"/>
        <v>645</v>
      </c>
      <c r="F57" s="29">
        <f t="shared" si="23"/>
        <v>10</v>
      </c>
      <c r="G57" s="29">
        <f t="shared" si="24"/>
        <v>635</v>
      </c>
      <c r="H57" s="28">
        <f t="shared" si="25"/>
        <v>1572.5</v>
      </c>
      <c r="I57" s="11">
        <f t="shared" si="26"/>
        <v>0.24765690114867611</v>
      </c>
      <c r="J57" s="11">
        <f t="shared" si="27"/>
        <v>0.15788793097178574</v>
      </c>
      <c r="K57" s="11">
        <f t="shared" si="28"/>
        <v>1.5503875968992248E-2</v>
      </c>
      <c r="L57" s="11">
        <f t="shared" si="29"/>
        <v>0.13083522581740115</v>
      </c>
      <c r="M57" s="30">
        <f t="shared" si="30"/>
        <v>68748.7</v>
      </c>
      <c r="N57" s="11">
        <f t="shared" si="31"/>
        <v>1.5503875968992248E-2</v>
      </c>
    </row>
    <row r="58" spans="1:18" x14ac:dyDescent="0.35">
      <c r="A58" t="s">
        <v>79</v>
      </c>
      <c r="B58" s="28">
        <f t="shared" si="19"/>
        <v>40416.300000000003</v>
      </c>
      <c r="C58" s="28">
        <f t="shared" si="20"/>
        <v>10478.619999999999</v>
      </c>
      <c r="D58" s="28">
        <f t="shared" si="21"/>
        <v>6865.7699999999995</v>
      </c>
      <c r="E58" s="29">
        <f t="shared" si="22"/>
        <v>405</v>
      </c>
      <c r="F58" s="29">
        <f t="shared" si="23"/>
        <v>4</v>
      </c>
      <c r="G58" s="29">
        <f t="shared" si="24"/>
        <v>401</v>
      </c>
      <c r="H58" s="28">
        <f t="shared" si="25"/>
        <v>432</v>
      </c>
      <c r="I58" s="11">
        <f t="shared" si="26"/>
        <v>0.25926717685686218</v>
      </c>
      <c r="J58" s="11">
        <f t="shared" si="27"/>
        <v>0.1698762627949614</v>
      </c>
      <c r="K58" s="11">
        <f t="shared" si="28"/>
        <v>9.876543209876543E-3</v>
      </c>
      <c r="L58" s="11">
        <f t="shared" si="29"/>
        <v>7.6916010589346856E-2</v>
      </c>
      <c r="M58" s="30">
        <f t="shared" si="30"/>
        <v>40416.300000000003</v>
      </c>
      <c r="N58" s="11">
        <f t="shared" si="31"/>
        <v>9.876543209876543E-3</v>
      </c>
    </row>
    <row r="59" spans="1:18" x14ac:dyDescent="0.35">
      <c r="A59" t="s">
        <v>57</v>
      </c>
      <c r="B59" s="28">
        <f t="shared" si="19"/>
        <v>24327.05</v>
      </c>
      <c r="C59" s="28">
        <f t="shared" si="20"/>
        <v>6522.2300000000005</v>
      </c>
      <c r="D59" s="28">
        <f t="shared" si="21"/>
        <v>4238.4999999999991</v>
      </c>
      <c r="E59" s="29">
        <f t="shared" si="22"/>
        <v>628</v>
      </c>
      <c r="F59" s="29">
        <f t="shared" si="23"/>
        <v>19</v>
      </c>
      <c r="G59" s="29">
        <f t="shared" si="24"/>
        <v>609</v>
      </c>
      <c r="H59" s="28">
        <f t="shared" si="25"/>
        <v>799.25</v>
      </c>
      <c r="I59" s="11">
        <f t="shared" si="26"/>
        <v>0.26810607944654202</v>
      </c>
      <c r="J59" s="11">
        <f t="shared" si="27"/>
        <v>0.17422992101385079</v>
      </c>
      <c r="K59" s="11">
        <f t="shared" si="28"/>
        <v>3.0254777070063694E-2</v>
      </c>
      <c r="L59" s="11">
        <f t="shared" si="29"/>
        <v>4.6296658412758471E-2</v>
      </c>
      <c r="M59" s="30">
        <f t="shared" si="30"/>
        <v>24327.05</v>
      </c>
      <c r="N59" s="11">
        <f t="shared" si="31"/>
        <v>3.0254777070063694E-2</v>
      </c>
    </row>
    <row r="60" spans="1:18" x14ac:dyDescent="0.35">
      <c r="A60" t="s">
        <v>105</v>
      </c>
      <c r="B60" s="28">
        <f t="shared" si="19"/>
        <v>9385.3499999999985</v>
      </c>
      <c r="C60" s="28">
        <f t="shared" si="20"/>
        <v>2436.36</v>
      </c>
      <c r="D60" s="28">
        <f t="shared" si="21"/>
        <v>1622.7999999999997</v>
      </c>
      <c r="E60" s="29">
        <f t="shared" si="22"/>
        <v>149</v>
      </c>
      <c r="F60" s="29">
        <f t="shared" si="23"/>
        <v>1</v>
      </c>
      <c r="G60" s="29">
        <f t="shared" si="24"/>
        <v>148</v>
      </c>
      <c r="H60" s="28">
        <f t="shared" si="25"/>
        <v>65</v>
      </c>
      <c r="I60" s="11">
        <f t="shared" si="26"/>
        <v>0.25959181064105236</v>
      </c>
      <c r="J60" s="11">
        <f t="shared" si="27"/>
        <v>0.17290777648143116</v>
      </c>
      <c r="K60" s="11">
        <f t="shared" si="28"/>
        <v>6.7114093959731542E-3</v>
      </c>
      <c r="L60" s="11">
        <f t="shared" si="29"/>
        <v>1.7861201544543324E-2</v>
      </c>
      <c r="M60" s="30">
        <f t="shared" si="30"/>
        <v>9385.3499999999985</v>
      </c>
      <c r="N60" s="11">
        <f t="shared" si="31"/>
        <v>6.7114093959731542E-3</v>
      </c>
    </row>
    <row r="61" spans="1:18" x14ac:dyDescent="0.35">
      <c r="A61" s="20" t="s">
        <v>2233</v>
      </c>
      <c r="B61" s="31">
        <f t="shared" ref="B61:H61" si="32">SUM(B54:B60)</f>
        <v>525460.17000000004</v>
      </c>
      <c r="C61" s="31">
        <f t="shared" si="32"/>
        <v>136936.28</v>
      </c>
      <c r="D61" s="31">
        <f t="shared" si="32"/>
        <v>89567.450000000026</v>
      </c>
      <c r="E61" s="32">
        <f t="shared" si="32"/>
        <v>4251</v>
      </c>
      <c r="F61" s="32">
        <f t="shared" si="32"/>
        <v>77</v>
      </c>
      <c r="G61" s="32">
        <f t="shared" si="32"/>
        <v>4174</v>
      </c>
      <c r="H61" s="31">
        <f t="shared" si="32"/>
        <v>9299.5</v>
      </c>
      <c r="I61" s="11">
        <f t="shared" si="26"/>
        <v>0.26060258763285521</v>
      </c>
      <c r="J61" s="11">
        <f t="shared" si="27"/>
        <v>0.17045526019602975</v>
      </c>
      <c r="K61" s="11">
        <f t="shared" si="28"/>
        <v>1.811338508586215E-2</v>
      </c>
      <c r="L61" s="11">
        <f>SUM(L54:L60)</f>
        <v>0.99999999999999989</v>
      </c>
      <c r="M61" s="30"/>
      <c r="N61" s="11"/>
    </row>
    <row r="64" spans="1:18" x14ac:dyDescent="0.35">
      <c r="A64" s="17" t="s">
        <v>2234</v>
      </c>
      <c r="B64" s="18"/>
      <c r="C64" s="18"/>
      <c r="D64" s="18"/>
      <c r="E64" s="18"/>
      <c r="F64" s="18"/>
      <c r="G64" s="18"/>
      <c r="H64" s="18"/>
      <c r="I64" s="18"/>
      <c r="J64" s="18"/>
      <c r="K64" s="18"/>
      <c r="L64" s="18"/>
      <c r="M64" s="18"/>
      <c r="N64" s="18"/>
      <c r="O64" s="18"/>
      <c r="P64" s="18"/>
      <c r="Q64" s="18"/>
    </row>
    <row r="65" spans="1:15" ht="30" customHeight="1" x14ac:dyDescent="0.35">
      <c r="A65" s="24" t="s">
        <v>38</v>
      </c>
      <c r="B65" s="24" t="s">
        <v>39</v>
      </c>
      <c r="C65" s="24" t="s">
        <v>47</v>
      </c>
      <c r="D65" s="24" t="s">
        <v>46</v>
      </c>
      <c r="E65" s="24" t="s">
        <v>49</v>
      </c>
      <c r="F65" s="24" t="s">
        <v>51</v>
      </c>
      <c r="G65" s="24" t="s">
        <v>40</v>
      </c>
      <c r="H65" s="24" t="s">
        <v>44</v>
      </c>
      <c r="I65" s="24" t="s">
        <v>45</v>
      </c>
      <c r="J65" s="24" t="s">
        <v>2223</v>
      </c>
      <c r="K65" s="24" t="s">
        <v>2224</v>
      </c>
      <c r="L65" s="24" t="s">
        <v>2225</v>
      </c>
      <c r="M65" s="24" t="s">
        <v>2235</v>
      </c>
      <c r="N65" s="24" t="s">
        <v>2236</v>
      </c>
      <c r="O65" s="24" t="s">
        <v>2237</v>
      </c>
    </row>
    <row r="66" spans="1:15" x14ac:dyDescent="0.35">
      <c r="A66" t="s">
        <v>114</v>
      </c>
      <c r="B66" t="str">
        <f t="shared" ref="B66:B85" si="33">INDEX(d_Category,MATCH(A66,d_Product,0))</f>
        <v>Groceries</v>
      </c>
      <c r="C66" s="28">
        <f t="shared" ref="C66:C85" si="34">SUMIFS(d_NetSales,d_Category,fCat,d_City,fCity,d_Cust,fCust,d_Pay,fPay,d_Product,$A66,d_Date,"&gt;="&amp;fStart,d_Date,"&lt;="&amp;fEnd)</f>
        <v>82152</v>
      </c>
      <c r="D66" s="29">
        <f t="shared" ref="D66:D85" si="35">SUMIFS(d_NetQty,d_Category,fCat,d_City,fCity,d_Cust,fCust,d_Pay,fPay,d_Product,$A66,d_Date,"&gt;="&amp;fStart,d_Date,"&lt;="&amp;fEnd)</f>
        <v>202</v>
      </c>
      <c r="E66" s="28">
        <f t="shared" ref="E66:E85" si="36">SUMIFS(d_GP,d_Category,fCat,d_City,fCity,d_Cust,fCust,d_Pay,fPay,d_Product,$A66,d_Date,"&gt;="&amp;fStart,d_Date,"&lt;="&amp;fEnd)</f>
        <v>21563.210000000006</v>
      </c>
      <c r="F66" s="28">
        <f t="shared" ref="F66:F85" si="37">SUMIFS(d_NP,d_Category,fCat,d_City,fCity,d_Cust,fCust,d_Pay,fPay,d_Product,$A66,d_Date,"&gt;="&amp;fStart,d_Date,"&lt;="&amp;fEnd)</f>
        <v>14059.789999999994</v>
      </c>
      <c r="G66" s="29">
        <f t="shared" ref="G66:G85" si="38">SUMIFS(d_Qty,d_Category,fCat,d_City,fCity,d_Cust,fCust,d_Pay,fPay,d_Product,$A66,d_Date,"&gt;="&amp;fStart,d_Date,"&lt;="&amp;fEnd)</f>
        <v>208</v>
      </c>
      <c r="H66" s="29">
        <f t="shared" ref="H66:H85" si="39">SUMIFS(d_RetQty,d_Category,fCat,d_City,fCity,d_Cust,fCust,d_Pay,fPay,d_Product,$A66,d_Date,"&gt;="&amp;fStart,d_Date,"&lt;="&amp;fEnd)</f>
        <v>6</v>
      </c>
      <c r="I66" s="28">
        <f t="shared" ref="I66:I85" si="40">SUMIFS(d_SalesRet,d_Category,fCat,d_City,fCity,d_Cust,fCust,d_Pay,fPay,d_Product,$A66,d_Date,"&gt;="&amp;fStart,d_Date,"&lt;="&amp;fEnd)</f>
        <v>2314.1999999999998</v>
      </c>
      <c r="J66" s="11">
        <f t="shared" ref="J66:J85" si="41">IF(C66=0,0,E66/C66)</f>
        <v>0.26247942837666771</v>
      </c>
      <c r="K66" s="11">
        <f t="shared" ref="K66:K85" si="42">IF(C66=0,0,F66/C66)</f>
        <v>0.17114361184146454</v>
      </c>
      <c r="L66" s="11">
        <f t="shared" ref="L66:L85" si="43">IF(G66=0,0,H66/G66)</f>
        <v>2.8846153846153848E-2</v>
      </c>
      <c r="M66" s="30">
        <f t="shared" ref="M66:M85" si="44">C66+ROW()*0.000001</f>
        <v>82152.000065999993</v>
      </c>
      <c r="N66" s="30">
        <f t="shared" ref="N66:N85" si="45">IF(C66&gt;0,C66+ROW()*0.000001,1000000000000)</f>
        <v>82152.000065999993</v>
      </c>
      <c r="O66" s="30">
        <f t="shared" ref="O66:O85" si="46">I66+ROW()*0.000001</f>
        <v>2314.2000659999999</v>
      </c>
    </row>
    <row r="67" spans="1:15" x14ac:dyDescent="0.35">
      <c r="A67" t="s">
        <v>100</v>
      </c>
      <c r="B67" t="str">
        <f t="shared" si="33"/>
        <v>Groceries</v>
      </c>
      <c r="C67" s="28">
        <f t="shared" si="34"/>
        <v>77599.199999999997</v>
      </c>
      <c r="D67" s="29">
        <f t="shared" si="35"/>
        <v>256</v>
      </c>
      <c r="E67" s="28">
        <f t="shared" si="36"/>
        <v>20357.539999999997</v>
      </c>
      <c r="F67" s="28">
        <f t="shared" si="37"/>
        <v>13245.179999999998</v>
      </c>
      <c r="G67" s="29">
        <f t="shared" si="38"/>
        <v>258</v>
      </c>
      <c r="H67" s="29">
        <f t="shared" si="39"/>
        <v>2</v>
      </c>
      <c r="I67" s="28">
        <f t="shared" si="40"/>
        <v>573.5</v>
      </c>
      <c r="J67" s="11">
        <f t="shared" si="41"/>
        <v>0.26234213754780977</v>
      </c>
      <c r="K67" s="11">
        <f t="shared" si="42"/>
        <v>0.17068706893885502</v>
      </c>
      <c r="L67" s="11">
        <f t="shared" si="43"/>
        <v>7.7519379844961239E-3</v>
      </c>
      <c r="M67" s="30">
        <f t="shared" si="44"/>
        <v>77599.200066999998</v>
      </c>
      <c r="N67" s="30">
        <f t="shared" si="45"/>
        <v>77599.200066999998</v>
      </c>
      <c r="O67" s="30">
        <f t="shared" si="46"/>
        <v>573.50006699999994</v>
      </c>
    </row>
    <row r="68" spans="1:15" x14ac:dyDescent="0.35">
      <c r="A68" t="s">
        <v>73</v>
      </c>
      <c r="B68" t="str">
        <f t="shared" si="33"/>
        <v>Household</v>
      </c>
      <c r="C68" s="28">
        <f t="shared" si="34"/>
        <v>55955.199999999997</v>
      </c>
      <c r="D68" s="29">
        <f t="shared" si="35"/>
        <v>208</v>
      </c>
      <c r="E68" s="28">
        <f t="shared" si="36"/>
        <v>14269.830000000002</v>
      </c>
      <c r="F68" s="28">
        <f t="shared" si="37"/>
        <v>9167.9499999999971</v>
      </c>
      <c r="G68" s="29">
        <f t="shared" si="38"/>
        <v>209</v>
      </c>
      <c r="H68" s="29">
        <f t="shared" si="39"/>
        <v>1</v>
      </c>
      <c r="I68" s="28">
        <f t="shared" si="40"/>
        <v>266</v>
      </c>
      <c r="J68" s="11">
        <f t="shared" si="41"/>
        <v>0.25502241078577154</v>
      </c>
      <c r="K68" s="11">
        <f t="shared" si="42"/>
        <v>0.16384446843188832</v>
      </c>
      <c r="L68" s="11">
        <f t="shared" si="43"/>
        <v>4.7846889952153108E-3</v>
      </c>
      <c r="M68" s="30">
        <f t="shared" si="44"/>
        <v>55955.200067999998</v>
      </c>
      <c r="N68" s="30">
        <f t="shared" si="45"/>
        <v>55955.200067999998</v>
      </c>
      <c r="O68" s="30">
        <f t="shared" si="46"/>
        <v>266.000068</v>
      </c>
    </row>
    <row r="69" spans="1:15" x14ac:dyDescent="0.35">
      <c r="A69" t="s">
        <v>109</v>
      </c>
      <c r="B69" t="str">
        <f t="shared" si="33"/>
        <v>Beverages</v>
      </c>
      <c r="C69" s="28">
        <f t="shared" si="34"/>
        <v>44530.2</v>
      </c>
      <c r="D69" s="29">
        <f t="shared" si="35"/>
        <v>255</v>
      </c>
      <c r="E69" s="28">
        <f t="shared" si="36"/>
        <v>12222.529999999999</v>
      </c>
      <c r="F69" s="28">
        <f t="shared" si="37"/>
        <v>8446.3100000000013</v>
      </c>
      <c r="G69" s="29">
        <f t="shared" si="38"/>
        <v>255</v>
      </c>
      <c r="H69" s="29">
        <f t="shared" si="39"/>
        <v>0</v>
      </c>
      <c r="I69" s="28">
        <f t="shared" si="40"/>
        <v>0</v>
      </c>
      <c r="J69" s="11">
        <f t="shared" si="41"/>
        <v>0.27447732100911293</v>
      </c>
      <c r="K69" s="11">
        <f t="shared" si="42"/>
        <v>0.1896759951673247</v>
      </c>
      <c r="L69" s="11">
        <f t="shared" si="43"/>
        <v>0</v>
      </c>
      <c r="M69" s="30">
        <f t="shared" si="44"/>
        <v>44530.200068999999</v>
      </c>
      <c r="N69" s="30">
        <f t="shared" si="45"/>
        <v>44530.200068999999</v>
      </c>
      <c r="O69" s="30">
        <f t="shared" si="46"/>
        <v>6.8999999999999997E-5</v>
      </c>
    </row>
    <row r="70" spans="1:15" x14ac:dyDescent="0.35">
      <c r="A70" t="s">
        <v>69</v>
      </c>
      <c r="B70" t="str">
        <f t="shared" si="33"/>
        <v>Personal Care</v>
      </c>
      <c r="C70" s="28">
        <f t="shared" si="34"/>
        <v>36071.699999999997</v>
      </c>
      <c r="D70" s="29">
        <f t="shared" si="35"/>
        <v>178</v>
      </c>
      <c r="E70" s="28">
        <f t="shared" si="36"/>
        <v>8805.42</v>
      </c>
      <c r="F70" s="28">
        <f t="shared" si="37"/>
        <v>5662.07</v>
      </c>
      <c r="G70" s="29">
        <f t="shared" si="38"/>
        <v>183</v>
      </c>
      <c r="H70" s="29">
        <f t="shared" si="39"/>
        <v>5</v>
      </c>
      <c r="I70" s="28">
        <f t="shared" si="40"/>
        <v>1050</v>
      </c>
      <c r="J70" s="11">
        <f t="shared" si="41"/>
        <v>0.24410881660692457</v>
      </c>
      <c r="K70" s="11">
        <f t="shared" si="42"/>
        <v>0.15696709608917794</v>
      </c>
      <c r="L70" s="11">
        <f t="shared" si="43"/>
        <v>2.7322404371584699E-2</v>
      </c>
      <c r="M70" s="30">
        <f t="shared" si="44"/>
        <v>36071.700069999999</v>
      </c>
      <c r="N70" s="30">
        <f t="shared" si="45"/>
        <v>36071.700069999999</v>
      </c>
      <c r="O70" s="30">
        <f t="shared" si="46"/>
        <v>1050.0000700000001</v>
      </c>
    </row>
    <row r="71" spans="1:15" x14ac:dyDescent="0.35">
      <c r="A71" t="s">
        <v>63</v>
      </c>
      <c r="B71" t="str">
        <f t="shared" si="33"/>
        <v>Groceries</v>
      </c>
      <c r="C71" s="28">
        <f t="shared" si="34"/>
        <v>27979.200000000001</v>
      </c>
      <c r="D71" s="29">
        <f t="shared" si="35"/>
        <v>199</v>
      </c>
      <c r="E71" s="28">
        <f t="shared" si="36"/>
        <v>7730.8799999999992</v>
      </c>
      <c r="F71" s="28">
        <f t="shared" si="37"/>
        <v>5259.3700000000008</v>
      </c>
      <c r="G71" s="29">
        <f t="shared" si="38"/>
        <v>211</v>
      </c>
      <c r="H71" s="29">
        <f t="shared" si="39"/>
        <v>12</v>
      </c>
      <c r="I71" s="28">
        <f t="shared" si="40"/>
        <v>1638.5</v>
      </c>
      <c r="J71" s="11">
        <f t="shared" si="41"/>
        <v>0.27630811459941668</v>
      </c>
      <c r="K71" s="11">
        <f t="shared" si="42"/>
        <v>0.1879742808943787</v>
      </c>
      <c r="L71" s="11">
        <f t="shared" si="43"/>
        <v>5.6872037914691941E-2</v>
      </c>
      <c r="M71" s="30">
        <f t="shared" si="44"/>
        <v>27979.200070999999</v>
      </c>
      <c r="N71" s="30">
        <f t="shared" si="45"/>
        <v>27979.200070999999</v>
      </c>
      <c r="O71" s="30">
        <f t="shared" si="46"/>
        <v>1638.5000709999999</v>
      </c>
    </row>
    <row r="72" spans="1:15" x14ac:dyDescent="0.35">
      <c r="A72" t="s">
        <v>107</v>
      </c>
      <c r="B72" t="str">
        <f t="shared" si="33"/>
        <v>Household</v>
      </c>
      <c r="C72" s="28">
        <f t="shared" si="34"/>
        <v>25745</v>
      </c>
      <c r="D72" s="29">
        <f t="shared" si="35"/>
        <v>212</v>
      </c>
      <c r="E72" s="28">
        <f t="shared" si="36"/>
        <v>6383.0499999999984</v>
      </c>
      <c r="F72" s="28">
        <f t="shared" si="37"/>
        <v>4096.0800000000008</v>
      </c>
      <c r="G72" s="29">
        <f t="shared" si="38"/>
        <v>213</v>
      </c>
      <c r="H72" s="29">
        <f t="shared" si="39"/>
        <v>1</v>
      </c>
      <c r="I72" s="28">
        <f t="shared" si="40"/>
        <v>112.5</v>
      </c>
      <c r="J72" s="11">
        <f t="shared" si="41"/>
        <v>0.2479335793357933</v>
      </c>
      <c r="K72" s="11">
        <f t="shared" si="42"/>
        <v>0.15910196154593129</v>
      </c>
      <c r="L72" s="11">
        <f t="shared" si="43"/>
        <v>4.6948356807511738E-3</v>
      </c>
      <c r="M72" s="30">
        <f t="shared" si="44"/>
        <v>25745.000071999999</v>
      </c>
      <c r="N72" s="30">
        <f t="shared" si="45"/>
        <v>25745.000071999999</v>
      </c>
      <c r="O72" s="30">
        <f t="shared" si="46"/>
        <v>112.500072</v>
      </c>
    </row>
    <row r="73" spans="1:15" x14ac:dyDescent="0.35">
      <c r="A73" t="s">
        <v>125</v>
      </c>
      <c r="B73" t="str">
        <f t="shared" si="33"/>
        <v>Beverages</v>
      </c>
      <c r="C73" s="28">
        <f t="shared" si="34"/>
        <v>22087.5</v>
      </c>
      <c r="D73" s="29">
        <f t="shared" si="35"/>
        <v>180</v>
      </c>
      <c r="E73" s="28">
        <f t="shared" si="36"/>
        <v>5938.550000000002</v>
      </c>
      <c r="F73" s="28">
        <f t="shared" si="37"/>
        <v>3893.1499999999987</v>
      </c>
      <c r="G73" s="29">
        <f t="shared" si="38"/>
        <v>182</v>
      </c>
      <c r="H73" s="29">
        <f t="shared" si="39"/>
        <v>2</v>
      </c>
      <c r="I73" s="28">
        <f t="shared" si="40"/>
        <v>250</v>
      </c>
      <c r="J73" s="11">
        <f t="shared" si="41"/>
        <v>0.2688647425014149</v>
      </c>
      <c r="K73" s="11">
        <f t="shared" si="42"/>
        <v>0.17626032823995466</v>
      </c>
      <c r="L73" s="11">
        <f t="shared" si="43"/>
        <v>1.098901098901099E-2</v>
      </c>
      <c r="M73" s="30">
        <f t="shared" si="44"/>
        <v>22087.500072999999</v>
      </c>
      <c r="N73" s="30">
        <f t="shared" si="45"/>
        <v>22087.500072999999</v>
      </c>
      <c r="O73" s="30">
        <f t="shared" si="46"/>
        <v>250.00007299999999</v>
      </c>
    </row>
    <row r="74" spans="1:15" x14ac:dyDescent="0.35">
      <c r="A74" t="s">
        <v>78</v>
      </c>
      <c r="B74" t="str">
        <f t="shared" si="33"/>
        <v>Electronics</v>
      </c>
      <c r="C74" s="28">
        <f t="shared" si="34"/>
        <v>25539.599999999999</v>
      </c>
      <c r="D74" s="29">
        <f t="shared" si="35"/>
        <v>219</v>
      </c>
      <c r="E74" s="28">
        <f t="shared" si="36"/>
        <v>6586.6199999999981</v>
      </c>
      <c r="F74" s="28">
        <f t="shared" si="37"/>
        <v>4292.4000000000005</v>
      </c>
      <c r="G74" s="29">
        <f t="shared" si="38"/>
        <v>223</v>
      </c>
      <c r="H74" s="29">
        <f t="shared" si="39"/>
        <v>4</v>
      </c>
      <c r="I74" s="28">
        <f t="shared" si="40"/>
        <v>432</v>
      </c>
      <c r="J74" s="11">
        <f t="shared" si="41"/>
        <v>0.25789832260489587</v>
      </c>
      <c r="K74" s="11">
        <f t="shared" si="42"/>
        <v>0.16806841140816617</v>
      </c>
      <c r="L74" s="11">
        <f t="shared" si="43"/>
        <v>1.7937219730941704E-2</v>
      </c>
      <c r="M74" s="30">
        <f t="shared" si="44"/>
        <v>25539.600073999998</v>
      </c>
      <c r="N74" s="30">
        <f t="shared" si="45"/>
        <v>25539.600073999998</v>
      </c>
      <c r="O74" s="30">
        <f t="shared" si="46"/>
        <v>432.00007399999998</v>
      </c>
    </row>
    <row r="75" spans="1:15" x14ac:dyDescent="0.35">
      <c r="A75" t="s">
        <v>117</v>
      </c>
      <c r="B75" t="str">
        <f t="shared" si="33"/>
        <v>Household</v>
      </c>
      <c r="C75" s="28">
        <f t="shared" si="34"/>
        <v>19909.150000000001</v>
      </c>
      <c r="D75" s="29">
        <f t="shared" si="35"/>
        <v>217</v>
      </c>
      <c r="E75" s="28">
        <f t="shared" si="36"/>
        <v>5195.2899999999991</v>
      </c>
      <c r="F75" s="28">
        <f t="shared" si="37"/>
        <v>3425.6300000000006</v>
      </c>
      <c r="G75" s="29">
        <f t="shared" si="38"/>
        <v>225</v>
      </c>
      <c r="H75" s="29">
        <f t="shared" si="39"/>
        <v>8</v>
      </c>
      <c r="I75" s="28">
        <f t="shared" si="40"/>
        <v>755.25</v>
      </c>
      <c r="J75" s="11">
        <f t="shared" si="41"/>
        <v>0.26094986476067528</v>
      </c>
      <c r="K75" s="11">
        <f t="shared" si="42"/>
        <v>0.17206309661637992</v>
      </c>
      <c r="L75" s="11">
        <f t="shared" si="43"/>
        <v>3.5555555555555556E-2</v>
      </c>
      <c r="M75" s="30">
        <f t="shared" si="44"/>
        <v>19909.150075000001</v>
      </c>
      <c r="N75" s="30">
        <f t="shared" si="45"/>
        <v>19909.150075000001</v>
      </c>
      <c r="O75" s="30">
        <f t="shared" si="46"/>
        <v>755.25007500000004</v>
      </c>
    </row>
    <row r="76" spans="1:15" x14ac:dyDescent="0.35">
      <c r="A76" t="s">
        <v>121</v>
      </c>
      <c r="B76" t="str">
        <f t="shared" si="33"/>
        <v>Personal Care</v>
      </c>
      <c r="C76" s="28">
        <f t="shared" si="34"/>
        <v>24033.899999999998</v>
      </c>
      <c r="D76" s="29">
        <f t="shared" si="35"/>
        <v>224</v>
      </c>
      <c r="E76" s="28">
        <f t="shared" si="36"/>
        <v>6022.29</v>
      </c>
      <c r="F76" s="28">
        <f t="shared" si="37"/>
        <v>3742.9400000000005</v>
      </c>
      <c r="G76" s="29">
        <f t="shared" si="38"/>
        <v>229</v>
      </c>
      <c r="H76" s="29">
        <f t="shared" si="39"/>
        <v>5</v>
      </c>
      <c r="I76" s="28">
        <f t="shared" si="40"/>
        <v>522.5</v>
      </c>
      <c r="J76" s="11">
        <f t="shared" si="41"/>
        <v>0.2505748130765294</v>
      </c>
      <c r="K76" s="11">
        <f t="shared" si="42"/>
        <v>0.15573585643611734</v>
      </c>
      <c r="L76" s="11">
        <f t="shared" si="43"/>
        <v>2.1834061135371178E-2</v>
      </c>
      <c r="M76" s="30">
        <f t="shared" si="44"/>
        <v>24033.900075999998</v>
      </c>
      <c r="N76" s="30">
        <f t="shared" si="45"/>
        <v>24033.900075999998</v>
      </c>
      <c r="O76" s="30">
        <f t="shared" si="46"/>
        <v>522.50007600000004</v>
      </c>
    </row>
    <row r="77" spans="1:15" x14ac:dyDescent="0.35">
      <c r="A77" t="s">
        <v>92</v>
      </c>
      <c r="B77" t="str">
        <f t="shared" si="33"/>
        <v>Electronics</v>
      </c>
      <c r="C77" s="28">
        <f t="shared" si="34"/>
        <v>14876.699999999999</v>
      </c>
      <c r="D77" s="29">
        <f t="shared" si="35"/>
        <v>182</v>
      </c>
      <c r="E77" s="28">
        <f t="shared" si="36"/>
        <v>3892</v>
      </c>
      <c r="F77" s="28">
        <f t="shared" si="37"/>
        <v>2573.3700000000003</v>
      </c>
      <c r="G77" s="29">
        <f t="shared" si="38"/>
        <v>182</v>
      </c>
      <c r="H77" s="29">
        <f t="shared" si="39"/>
        <v>0</v>
      </c>
      <c r="I77" s="28">
        <f t="shared" si="40"/>
        <v>0</v>
      </c>
      <c r="J77" s="11">
        <f t="shared" si="41"/>
        <v>0.26161715971956145</v>
      </c>
      <c r="K77" s="11">
        <f t="shared" si="42"/>
        <v>0.17297989473471942</v>
      </c>
      <c r="L77" s="11">
        <f t="shared" si="43"/>
        <v>0</v>
      </c>
      <c r="M77" s="30">
        <f t="shared" si="44"/>
        <v>14876.700077</v>
      </c>
      <c r="N77" s="30">
        <f t="shared" si="45"/>
        <v>14876.700077</v>
      </c>
      <c r="O77" s="30">
        <f t="shared" si="46"/>
        <v>7.7000000000000001E-5</v>
      </c>
    </row>
    <row r="78" spans="1:15" x14ac:dyDescent="0.35">
      <c r="A78" t="s">
        <v>95</v>
      </c>
      <c r="B78" t="str">
        <f t="shared" si="33"/>
        <v>Groceries</v>
      </c>
      <c r="C78" s="28">
        <f t="shared" si="34"/>
        <v>13633.36</v>
      </c>
      <c r="D78" s="29">
        <f t="shared" si="35"/>
        <v>273</v>
      </c>
      <c r="E78" s="28">
        <f t="shared" si="36"/>
        <v>3464.3699999999994</v>
      </c>
      <c r="F78" s="28">
        <f t="shared" si="37"/>
        <v>2233.13</v>
      </c>
      <c r="G78" s="29">
        <f t="shared" si="38"/>
        <v>273</v>
      </c>
      <c r="H78" s="29">
        <f t="shared" si="39"/>
        <v>0</v>
      </c>
      <c r="I78" s="28">
        <f t="shared" si="40"/>
        <v>0</v>
      </c>
      <c r="J78" s="11">
        <f t="shared" si="41"/>
        <v>0.25410977191242651</v>
      </c>
      <c r="K78" s="11">
        <f t="shared" si="42"/>
        <v>0.16379894611453083</v>
      </c>
      <c r="L78" s="11">
        <f t="shared" si="43"/>
        <v>0</v>
      </c>
      <c r="M78" s="30">
        <f t="shared" si="44"/>
        <v>13633.360078</v>
      </c>
      <c r="N78" s="30">
        <f t="shared" si="45"/>
        <v>13633.360078</v>
      </c>
      <c r="O78" s="30">
        <f t="shared" si="46"/>
        <v>7.7999999999999999E-5</v>
      </c>
    </row>
    <row r="79" spans="1:15" x14ac:dyDescent="0.35">
      <c r="A79" t="s">
        <v>104</v>
      </c>
      <c r="B79" t="str">
        <f t="shared" si="33"/>
        <v>Stationery</v>
      </c>
      <c r="C79" s="28">
        <f t="shared" si="34"/>
        <v>9385.3499999999985</v>
      </c>
      <c r="D79" s="29">
        <f t="shared" si="35"/>
        <v>148</v>
      </c>
      <c r="E79" s="28">
        <f t="shared" si="36"/>
        <v>2436.36</v>
      </c>
      <c r="F79" s="28">
        <f t="shared" si="37"/>
        <v>1622.7999999999997</v>
      </c>
      <c r="G79" s="29">
        <f t="shared" si="38"/>
        <v>149</v>
      </c>
      <c r="H79" s="29">
        <f t="shared" si="39"/>
        <v>1</v>
      </c>
      <c r="I79" s="28">
        <f t="shared" si="40"/>
        <v>65</v>
      </c>
      <c r="J79" s="11">
        <f t="shared" si="41"/>
        <v>0.25959181064105236</v>
      </c>
      <c r="K79" s="11">
        <f t="shared" si="42"/>
        <v>0.17290777648143116</v>
      </c>
      <c r="L79" s="11">
        <f t="shared" si="43"/>
        <v>6.7114093959731542E-3</v>
      </c>
      <c r="M79" s="30">
        <f t="shared" si="44"/>
        <v>9385.350078999998</v>
      </c>
      <c r="N79" s="30">
        <f t="shared" si="45"/>
        <v>9385.350078999998</v>
      </c>
      <c r="O79" s="30">
        <f t="shared" si="46"/>
        <v>65.000078999999999</v>
      </c>
    </row>
    <row r="80" spans="1:15" x14ac:dyDescent="0.35">
      <c r="A80" t="s">
        <v>97</v>
      </c>
      <c r="B80" t="str">
        <f t="shared" si="33"/>
        <v>Snacks</v>
      </c>
      <c r="C80" s="28">
        <f t="shared" si="34"/>
        <v>10453.850000000002</v>
      </c>
      <c r="D80" s="29">
        <f t="shared" si="35"/>
        <v>198</v>
      </c>
      <c r="E80" s="28">
        <f t="shared" si="36"/>
        <v>2853.41</v>
      </c>
      <c r="F80" s="28">
        <f t="shared" si="37"/>
        <v>1831.3200000000006</v>
      </c>
      <c r="G80" s="29">
        <f t="shared" si="38"/>
        <v>204</v>
      </c>
      <c r="H80" s="29">
        <f t="shared" si="39"/>
        <v>6</v>
      </c>
      <c r="I80" s="28">
        <f t="shared" si="40"/>
        <v>327.25</v>
      </c>
      <c r="J80" s="11">
        <f t="shared" si="41"/>
        <v>0.27295302687526596</v>
      </c>
      <c r="K80" s="11">
        <f t="shared" si="42"/>
        <v>0.17518139250132728</v>
      </c>
      <c r="L80" s="11">
        <f t="shared" si="43"/>
        <v>2.9411764705882353E-2</v>
      </c>
      <c r="M80" s="30">
        <f t="shared" si="44"/>
        <v>10453.850080000002</v>
      </c>
      <c r="N80" s="30">
        <f t="shared" si="45"/>
        <v>10453.850080000002</v>
      </c>
      <c r="O80" s="30">
        <f t="shared" si="46"/>
        <v>327.25008000000003</v>
      </c>
    </row>
    <row r="81" spans="1:17" x14ac:dyDescent="0.35">
      <c r="A81" t="s">
        <v>84</v>
      </c>
      <c r="B81" t="str">
        <f t="shared" si="33"/>
        <v>Beverages</v>
      </c>
      <c r="C81" s="28">
        <f t="shared" si="34"/>
        <v>9593.76</v>
      </c>
      <c r="D81" s="29">
        <f t="shared" si="35"/>
        <v>204</v>
      </c>
      <c r="E81" s="28">
        <f t="shared" si="36"/>
        <v>2503.3399999999992</v>
      </c>
      <c r="F81" s="28">
        <f t="shared" si="37"/>
        <v>1627.7900000000002</v>
      </c>
      <c r="G81" s="29">
        <f t="shared" si="38"/>
        <v>215</v>
      </c>
      <c r="H81" s="29">
        <f t="shared" si="39"/>
        <v>11</v>
      </c>
      <c r="I81" s="28">
        <f t="shared" si="40"/>
        <v>520.79999999999995</v>
      </c>
      <c r="J81" s="11">
        <f t="shared" si="41"/>
        <v>0.26093419055719541</v>
      </c>
      <c r="K81" s="11">
        <f t="shared" si="42"/>
        <v>0.16967174496756227</v>
      </c>
      <c r="L81" s="11">
        <f t="shared" si="43"/>
        <v>5.1162790697674418E-2</v>
      </c>
      <c r="M81" s="30">
        <f t="shared" si="44"/>
        <v>9593.7600810000004</v>
      </c>
      <c r="N81" s="30">
        <f t="shared" si="45"/>
        <v>9593.7600810000004</v>
      </c>
      <c r="O81" s="30">
        <f t="shared" si="46"/>
        <v>520.80008099999998</v>
      </c>
    </row>
    <row r="82" spans="1:17" x14ac:dyDescent="0.35">
      <c r="A82" t="s">
        <v>90</v>
      </c>
      <c r="B82" t="str">
        <f t="shared" si="33"/>
        <v>Personal Care</v>
      </c>
      <c r="C82" s="28">
        <f t="shared" si="34"/>
        <v>8643.1</v>
      </c>
      <c r="D82" s="29">
        <f t="shared" si="35"/>
        <v>233</v>
      </c>
      <c r="E82" s="28">
        <f t="shared" si="36"/>
        <v>2198.3800000000006</v>
      </c>
      <c r="F82" s="28">
        <f t="shared" si="37"/>
        <v>1449.5799999999995</v>
      </c>
      <c r="G82" s="29">
        <f t="shared" si="38"/>
        <v>233</v>
      </c>
      <c r="H82" s="29">
        <f t="shared" si="39"/>
        <v>0</v>
      </c>
      <c r="I82" s="28">
        <f t="shared" si="40"/>
        <v>0</v>
      </c>
      <c r="J82" s="11">
        <f t="shared" si="41"/>
        <v>0.25435086947970065</v>
      </c>
      <c r="K82" s="11">
        <f t="shared" si="42"/>
        <v>0.16771528733903338</v>
      </c>
      <c r="L82" s="11">
        <f t="shared" si="43"/>
        <v>0</v>
      </c>
      <c r="M82" s="30">
        <f t="shared" si="44"/>
        <v>8643.1000820000008</v>
      </c>
      <c r="N82" s="30">
        <f t="shared" si="45"/>
        <v>8643.1000820000008</v>
      </c>
      <c r="O82" s="30">
        <f t="shared" si="46"/>
        <v>8.2000000000000001E-5</v>
      </c>
    </row>
    <row r="83" spans="1:17" x14ac:dyDescent="0.35">
      <c r="A83" t="s">
        <v>56</v>
      </c>
      <c r="B83" t="str">
        <f t="shared" si="33"/>
        <v>Snacks</v>
      </c>
      <c r="C83" s="28">
        <f t="shared" si="34"/>
        <v>7640.4000000000005</v>
      </c>
      <c r="D83" s="29">
        <f t="shared" si="35"/>
        <v>196</v>
      </c>
      <c r="E83" s="28">
        <f t="shared" si="36"/>
        <v>1990.3499999999997</v>
      </c>
      <c r="F83" s="28">
        <f t="shared" si="37"/>
        <v>1293.57</v>
      </c>
      <c r="G83" s="29">
        <f t="shared" si="38"/>
        <v>206</v>
      </c>
      <c r="H83" s="29">
        <f t="shared" si="39"/>
        <v>10</v>
      </c>
      <c r="I83" s="28">
        <f t="shared" si="40"/>
        <v>382</v>
      </c>
      <c r="J83" s="11">
        <f t="shared" si="41"/>
        <v>0.26050337678655561</v>
      </c>
      <c r="K83" s="11">
        <f t="shared" si="42"/>
        <v>0.16930658080728755</v>
      </c>
      <c r="L83" s="11">
        <f t="shared" si="43"/>
        <v>4.8543689320388349E-2</v>
      </c>
      <c r="M83" s="30">
        <f t="shared" si="44"/>
        <v>7640.4000830000004</v>
      </c>
      <c r="N83" s="30">
        <f t="shared" si="45"/>
        <v>7640.4000830000004</v>
      </c>
      <c r="O83" s="30">
        <f t="shared" si="46"/>
        <v>382.00008300000002</v>
      </c>
    </row>
    <row r="84" spans="1:17" x14ac:dyDescent="0.35">
      <c r="A84" t="s">
        <v>88</v>
      </c>
      <c r="B84" t="str">
        <f t="shared" si="33"/>
        <v>Snacks</v>
      </c>
      <c r="C84" s="28">
        <f t="shared" si="34"/>
        <v>6232.7999999999993</v>
      </c>
      <c r="D84" s="29">
        <f t="shared" si="35"/>
        <v>215</v>
      </c>
      <c r="E84" s="28">
        <f t="shared" si="36"/>
        <v>1678.4700000000005</v>
      </c>
      <c r="F84" s="28">
        <f t="shared" si="37"/>
        <v>1113.6100000000004</v>
      </c>
      <c r="G84" s="29">
        <f t="shared" si="38"/>
        <v>218</v>
      </c>
      <c r="H84" s="29">
        <f t="shared" si="39"/>
        <v>3</v>
      </c>
      <c r="I84" s="28">
        <f t="shared" si="40"/>
        <v>90</v>
      </c>
      <c r="J84" s="11">
        <f t="shared" si="41"/>
        <v>0.26929630342703131</v>
      </c>
      <c r="K84" s="11">
        <f t="shared" si="42"/>
        <v>0.17866929790784247</v>
      </c>
      <c r="L84" s="11">
        <f t="shared" si="43"/>
        <v>1.3761467889908258E-2</v>
      </c>
      <c r="M84" s="30">
        <f t="shared" si="44"/>
        <v>6232.8000839999995</v>
      </c>
      <c r="N84" s="30">
        <f t="shared" si="45"/>
        <v>6232.8000839999995</v>
      </c>
      <c r="O84" s="30">
        <f t="shared" si="46"/>
        <v>90.000084000000001</v>
      </c>
    </row>
    <row r="85" spans="1:17" x14ac:dyDescent="0.35">
      <c r="A85" t="s">
        <v>264</v>
      </c>
      <c r="B85" t="str">
        <f t="shared" si="33"/>
        <v>Beverages</v>
      </c>
      <c r="C85" s="28">
        <f t="shared" si="34"/>
        <v>3398.1999999999994</v>
      </c>
      <c r="D85" s="29">
        <f t="shared" si="35"/>
        <v>175</v>
      </c>
      <c r="E85" s="28">
        <f t="shared" si="36"/>
        <v>844.38999999999965</v>
      </c>
      <c r="F85" s="28">
        <f t="shared" si="37"/>
        <v>531.41000000000008</v>
      </c>
      <c r="G85" s="29">
        <f t="shared" si="38"/>
        <v>175</v>
      </c>
      <c r="H85" s="29">
        <f t="shared" si="39"/>
        <v>0</v>
      </c>
      <c r="I85" s="28">
        <f t="shared" si="40"/>
        <v>0</v>
      </c>
      <c r="J85" s="11">
        <f t="shared" si="41"/>
        <v>0.24848154905538219</v>
      </c>
      <c r="K85" s="11">
        <f t="shared" si="42"/>
        <v>0.1563798481549056</v>
      </c>
      <c r="L85" s="11">
        <f t="shared" si="43"/>
        <v>0</v>
      </c>
      <c r="M85" s="30">
        <f t="shared" si="44"/>
        <v>3398.2000849999995</v>
      </c>
      <c r="N85" s="30">
        <f t="shared" si="45"/>
        <v>3398.2000849999995</v>
      </c>
      <c r="O85" s="30">
        <f t="shared" si="46"/>
        <v>8.4999999999999993E-5</v>
      </c>
    </row>
    <row r="86" spans="1:17" x14ac:dyDescent="0.35">
      <c r="A86" s="20" t="s">
        <v>2233</v>
      </c>
      <c r="C86" s="31">
        <f t="shared" ref="C86:I86" si="47">SUM(C66:C85)</f>
        <v>525460.17000000004</v>
      </c>
      <c r="D86" s="32">
        <f t="shared" si="47"/>
        <v>4174</v>
      </c>
      <c r="E86" s="31">
        <f t="shared" si="47"/>
        <v>136936.28</v>
      </c>
      <c r="F86" s="31">
        <f t="shared" si="47"/>
        <v>89567.450000000026</v>
      </c>
      <c r="G86" s="32">
        <f t="shared" si="47"/>
        <v>4251</v>
      </c>
      <c r="H86" s="32">
        <f t="shared" si="47"/>
        <v>77</v>
      </c>
      <c r="I86" s="31">
        <f t="shared" si="47"/>
        <v>9299.5</v>
      </c>
      <c r="J86" s="11"/>
      <c r="K86" s="11"/>
      <c r="L86" s="11"/>
      <c r="M86" s="30"/>
      <c r="N86" s="30"/>
      <c r="O86" s="30"/>
    </row>
    <row r="89" spans="1:17" x14ac:dyDescent="0.35">
      <c r="A89" s="17" t="s">
        <v>2238</v>
      </c>
      <c r="B89" s="18"/>
      <c r="C89" s="18"/>
      <c r="D89" s="18"/>
      <c r="E89" s="18"/>
      <c r="F89" s="18"/>
      <c r="G89" s="18"/>
      <c r="H89" s="18"/>
      <c r="I89" s="18"/>
      <c r="J89" s="18"/>
      <c r="K89" s="18"/>
      <c r="L89" s="18"/>
      <c r="M89" s="18"/>
      <c r="N89" s="18"/>
      <c r="O89" s="18"/>
      <c r="P89" s="18"/>
      <c r="Q89" s="18"/>
    </row>
    <row r="90" spans="1:17" ht="30" customHeight="1" x14ac:dyDescent="0.35">
      <c r="A90" s="24" t="s">
        <v>2239</v>
      </c>
      <c r="B90" s="24" t="s">
        <v>2240</v>
      </c>
      <c r="C90" s="24" t="s">
        <v>47</v>
      </c>
      <c r="D90" s="24" t="s">
        <v>2241</v>
      </c>
      <c r="E90" s="24" t="s">
        <v>47</v>
      </c>
      <c r="F90" s="24" t="s">
        <v>2242</v>
      </c>
      <c r="G90" s="24" t="s">
        <v>45</v>
      </c>
    </row>
    <row r="91" spans="1:17" x14ac:dyDescent="0.35">
      <c r="A91">
        <v>1</v>
      </c>
      <c r="B91" t="str">
        <f>IF(LARGE($M$66:$M$85,A91)&lt;=0.5,"—",INDEX($A$66:$A$85,MATCH(LARGE($M$66:$M$85,A91),$M$66:$M$85,0)))</f>
        <v>Rice 5kg</v>
      </c>
      <c r="C91" s="28">
        <f>IF(B91="—",0,INDEX($C$66:$C$85,MATCH(LARGE($M$66:$M$85,A91),$M$66:$M$85,0)))</f>
        <v>82152</v>
      </c>
      <c r="D91" t="str">
        <f>IF(SMALL($N$66:$N$85,A91)&gt;=100000000000,"—",INDEX($A$66:$A$85,MATCH(SMALL($N$66:$N$85,A91),$N$66:$N$85,0)))</f>
        <v>Mineral Water 1L</v>
      </c>
      <c r="E91" s="28">
        <f>IF(D91="—",0,INDEX($C$66:$C$85,MATCH(SMALL($N$66:$N$85,A91),$N$66:$N$85,0)))</f>
        <v>3398.1999999999994</v>
      </c>
      <c r="F91" t="str">
        <f>IF(LARGE($O$66:$O$85,A91)&lt;=0.5,"—",INDEX($A$66:$A$85,MATCH(LARGE($O$66:$O$85,A91),$O$66:$O$85,0)))</f>
        <v>Rice 5kg</v>
      </c>
      <c r="G91" s="28">
        <f>IF(F91="—",0,INDEX($I$66:$I$85,MATCH(LARGE($O$66:$O$85,A91),$O$66:$O$85,0)))</f>
        <v>2314.1999999999998</v>
      </c>
    </row>
    <row r="92" spans="1:17" x14ac:dyDescent="0.35">
      <c r="A92">
        <v>2</v>
      </c>
      <c r="B92" t="str">
        <f>IF(LARGE($M$66:$M$85,A92)&lt;=0.5,"—",INDEX($A$66:$A$85,MATCH(LARGE($M$66:$M$85,A92),$M$66:$M$85,0)))</f>
        <v>Wheat Flour 5kg</v>
      </c>
      <c r="C92" s="28">
        <f>IF(B92="—",0,INDEX($C$66:$C$85,MATCH(LARGE($M$66:$M$85,A92),$M$66:$M$85,0)))</f>
        <v>77599.199999999997</v>
      </c>
      <c r="D92" t="str">
        <f>IF(SMALL($N$66:$N$85,A92)&gt;=100000000000,"—",INDEX($A$66:$A$85,MATCH(SMALL($N$66:$N$85,A92),$N$66:$N$85,0)))</f>
        <v>Potato Chips</v>
      </c>
      <c r="E92" s="28">
        <f>IF(D92="—",0,INDEX($C$66:$C$85,MATCH(SMALL($N$66:$N$85,A92),$N$66:$N$85,0)))</f>
        <v>6232.7999999999993</v>
      </c>
      <c r="F92" t="str">
        <f>IF(LARGE($O$66:$O$85,A92)&lt;=0.5,"—",INDEX($A$66:$A$85,MATCH(LARGE($O$66:$O$85,A92),$O$66:$O$85,0)))</f>
        <v>Cooking Oil 1L</v>
      </c>
      <c r="G92" s="28">
        <f>IF(F92="—",0,INDEX($I$66:$I$85,MATCH(LARGE($O$66:$O$85,A92),$O$66:$O$85,0)))</f>
        <v>1638.5</v>
      </c>
    </row>
    <row r="93" spans="1:17" x14ac:dyDescent="0.35">
      <c r="A93">
        <v>3</v>
      </c>
      <c r="B93" t="str">
        <f>IF(LARGE($M$66:$M$85,A93)&lt;=0.5,"—",INDEX($A$66:$A$85,MATCH(LARGE($M$66:$M$85,A93),$M$66:$M$85,0)))</f>
        <v>Laundry Detergent 2kg</v>
      </c>
      <c r="C93" s="28">
        <f>IF(B93="—",0,INDEX($C$66:$C$85,MATCH(LARGE($M$66:$M$85,A93),$M$66:$M$85,0)))</f>
        <v>55955.199999999997</v>
      </c>
      <c r="D93" t="str">
        <f>IF(SMALL($N$66:$N$85,A93)&gt;=100000000000,"—",INDEX($A$66:$A$85,MATCH(SMALL($N$66:$N$85,A93),$N$66:$N$85,0)))</f>
        <v>Biscuits Pack</v>
      </c>
      <c r="E93" s="28">
        <f>IF(D93="—",0,INDEX($C$66:$C$85,MATCH(SMALL($N$66:$N$85,A93),$N$66:$N$85,0)))</f>
        <v>7640.4000000000005</v>
      </c>
      <c r="F93" t="str">
        <f>IF(LARGE($O$66:$O$85,A93)&lt;=0.5,"—",INDEX($A$66:$A$85,MATCH(LARGE($O$66:$O$85,A93),$O$66:$O$85,0)))</f>
        <v>Shampoo 340ml</v>
      </c>
      <c r="G93" s="28">
        <f>IF(F93="—",0,INDEX($I$66:$I$85,MATCH(LARGE($O$66:$O$85,A93),$O$66:$O$85,0)))</f>
        <v>1050</v>
      </c>
    </row>
    <row r="94" spans="1:17" x14ac:dyDescent="0.35">
      <c r="A94">
        <v>4</v>
      </c>
      <c r="B94" t="str">
        <f>IF(LARGE($M$66:$M$85,A94)&lt;=0.5,"—",INDEX($A$66:$A$85,MATCH(LARGE($M$66:$M$85,A94),$M$66:$M$85,0)))</f>
        <v>Coffee 200g</v>
      </c>
      <c r="C94" s="28">
        <f>IF(B94="—",0,INDEX($C$66:$C$85,MATCH(LARGE($M$66:$M$85,A94),$M$66:$M$85,0)))</f>
        <v>44530.2</v>
      </c>
      <c r="D94" t="str">
        <f>IF(SMALL($N$66:$N$85,A94)&gt;=100000000000,"—",INDEX($A$66:$A$85,MATCH(SMALL($N$66:$N$85,A94),$N$66:$N$85,0)))</f>
        <v>Soap Bar</v>
      </c>
      <c r="E94" s="28">
        <f>IF(D94="—",0,INDEX($C$66:$C$85,MATCH(SMALL($N$66:$N$85,A94),$N$66:$N$85,0)))</f>
        <v>8643.1</v>
      </c>
      <c r="F94" t="str">
        <f>IF(LARGE($O$66:$O$85,A94)&lt;=0.5,"—",INDEX($A$66:$A$85,MATCH(LARGE($O$66:$O$85,A94),$O$66:$O$85,0)))</f>
        <v>Dishwash Liquid 500ml</v>
      </c>
      <c r="G94" s="28">
        <f>IF(F94="—",0,INDEX($I$66:$I$85,MATCH(LARGE($O$66:$O$85,A94),$O$66:$O$85,0)))</f>
        <v>755.25</v>
      </c>
    </row>
    <row r="95" spans="1:17" x14ac:dyDescent="0.35">
      <c r="A95">
        <v>5</v>
      </c>
      <c r="B95" t="str">
        <f>IF(LARGE($M$66:$M$85,A95)&lt;=0.5,"—",INDEX($A$66:$A$85,MATCH(LARGE($M$66:$M$85,A95),$M$66:$M$85,0)))</f>
        <v>Shampoo 340ml</v>
      </c>
      <c r="C95" s="28">
        <f>IF(B95="—",0,INDEX($C$66:$C$85,MATCH(LARGE($M$66:$M$85,A95),$M$66:$M$85,0)))</f>
        <v>36071.699999999997</v>
      </c>
      <c r="D95" t="str">
        <f>IF(SMALL($N$66:$N$85,A95)&gt;=100000000000,"—",INDEX($A$66:$A$85,MATCH(SMALL($N$66:$N$85,A95),$N$66:$N$85,0)))</f>
        <v>Notebook</v>
      </c>
      <c r="E95" s="28">
        <f>IF(D95="—",0,INDEX($C$66:$C$85,MATCH(SMALL($N$66:$N$85,A95),$N$66:$N$85,0)))</f>
        <v>9385.3499999999985</v>
      </c>
      <c r="F95" t="str">
        <f>IF(LARGE($O$66:$O$85,A95)&lt;=0.5,"—",INDEX($A$66:$A$85,MATCH(LARGE($O$66:$O$85,A95),$O$66:$O$85,0)))</f>
        <v>Wheat Flour 5kg</v>
      </c>
      <c r="G95" s="28">
        <f>IF(F95="—",0,INDEX($I$66:$I$85,MATCH(LARGE($O$66:$O$85,A95),$O$66:$O$85,0)))</f>
        <v>573.5</v>
      </c>
    </row>
    <row r="98" spans="1:17" x14ac:dyDescent="0.35">
      <c r="A98" s="17" t="s">
        <v>2243</v>
      </c>
      <c r="B98" s="18"/>
      <c r="C98" s="18"/>
      <c r="D98" s="18"/>
      <c r="E98" s="18"/>
      <c r="F98" s="18"/>
      <c r="G98" s="18"/>
      <c r="H98" s="18"/>
      <c r="I98" s="18"/>
      <c r="J98" s="18"/>
      <c r="K98" s="18"/>
      <c r="L98" s="18"/>
      <c r="M98" s="18"/>
      <c r="N98" s="18"/>
      <c r="O98" s="18"/>
      <c r="P98" s="18"/>
      <c r="Q98" s="18"/>
    </row>
    <row r="99" spans="1:17" ht="30" customHeight="1" x14ac:dyDescent="0.35">
      <c r="A99" s="24" t="s">
        <v>54</v>
      </c>
      <c r="B99" s="24" t="s">
        <v>47</v>
      </c>
      <c r="C99" s="24" t="s">
        <v>49</v>
      </c>
      <c r="D99" s="24" t="s">
        <v>51</v>
      </c>
      <c r="E99" s="24" t="s">
        <v>46</v>
      </c>
      <c r="F99" s="24" t="s">
        <v>2222</v>
      </c>
      <c r="G99" s="24" t="s">
        <v>2223</v>
      </c>
      <c r="H99" s="24" t="s">
        <v>2224</v>
      </c>
      <c r="I99" s="24" t="s">
        <v>2230</v>
      </c>
      <c r="J99" s="24" t="s">
        <v>2226</v>
      </c>
    </row>
    <row r="100" spans="1:17" x14ac:dyDescent="0.35">
      <c r="A100" t="s">
        <v>61</v>
      </c>
      <c r="B100" s="28">
        <f>SUMIFS(d_NetSales,d_Category,fCat,d_City,fCity,d_Cust,fCust,d_Pay,fPay,d_City,$A100,d_Date,"&gt;="&amp;fStart,d_Date,"&lt;="&amp;fEnd)</f>
        <v>136753.22</v>
      </c>
      <c r="C100" s="28">
        <f>SUMIFS(d_GP,d_Category,fCat,d_City,fCity,d_Cust,fCust,d_Pay,fPay,d_City,$A100,d_Date,"&gt;="&amp;fStart,d_Date,"&lt;="&amp;fEnd)</f>
        <v>35579.580000000016</v>
      </c>
      <c r="D100" s="28">
        <f>SUMIFS(d_NP,d_Category,fCat,d_City,fCity,d_Cust,fCust,d_Pay,fPay,d_City,$A100,d_Date,"&gt;="&amp;fStart,d_Date,"&lt;="&amp;fEnd)</f>
        <v>23154.990000000016</v>
      </c>
      <c r="E100" s="29">
        <f>SUMIFS(d_NetQty,d_Category,fCat,d_City,fCity,d_Cust,fCust,d_Pay,fPay,d_City,$A100,d_Date,"&gt;="&amp;fStart,d_Date,"&lt;="&amp;fEnd)</f>
        <v>1114</v>
      </c>
      <c r="F100" s="29">
        <f>COUNTIFS(d_Category,fCat,d_City,fCity,d_Cust,fCust,d_Pay,fPay,d_City,$A100,d_Date,"&gt;="&amp;fStart,d_Date,"&lt;="&amp;fEnd)</f>
        <v>354</v>
      </c>
      <c r="G100" s="11">
        <f t="shared" ref="G100:G105" si="48">IF(B100=0,0,C100/B100)</f>
        <v>0.2601736178497297</v>
      </c>
      <c r="H100" s="11">
        <f t="shared" ref="H100:H105" si="49">IF(B100=0,0,D100/B100)</f>
        <v>0.16931952315272733</v>
      </c>
      <c r="I100" s="11">
        <f>IF($B$105=0,0,B100/$B$105)</f>
        <v>0.26025420727892656</v>
      </c>
      <c r="J100" s="28">
        <f t="shared" ref="J100:J105" si="50">IF(F100=0,0,B100/F100)</f>
        <v>386.30853107344632</v>
      </c>
    </row>
    <row r="101" spans="1:17" x14ac:dyDescent="0.35">
      <c r="A101" t="s">
        <v>67</v>
      </c>
      <c r="B101" s="28">
        <f>SUMIFS(d_NetSales,d_Category,fCat,d_City,fCity,d_Cust,fCust,d_Pay,fPay,d_City,$A101,d_Date,"&gt;="&amp;fStart,d_Date,"&lt;="&amp;fEnd)</f>
        <v>134972.06</v>
      </c>
      <c r="C101" s="28">
        <f>SUMIFS(d_GP,d_Category,fCat,d_City,fCity,d_Cust,fCust,d_Pay,fPay,d_City,$A101,d_Date,"&gt;="&amp;fStart,d_Date,"&lt;="&amp;fEnd)</f>
        <v>35236.190000000017</v>
      </c>
      <c r="D101" s="28">
        <f>SUMIFS(d_NP,d_Category,fCat,d_City,fCity,d_Cust,fCust,d_Pay,fPay,d_City,$A101,d_Date,"&gt;="&amp;fStart,d_Date,"&lt;="&amp;fEnd)</f>
        <v>23259.909999999989</v>
      </c>
      <c r="E101" s="29">
        <f>SUMIFS(d_NetQty,d_Category,fCat,d_City,fCity,d_Cust,fCust,d_Pay,fPay,d_City,$A101,d_Date,"&gt;="&amp;fStart,d_Date,"&lt;="&amp;fEnd)</f>
        <v>1050</v>
      </c>
      <c r="F101" s="29">
        <f>COUNTIFS(d_Category,fCat,d_City,fCity,d_Cust,fCust,d_Pay,fPay,d_City,$A101,d_Date,"&gt;="&amp;fStart,d_Date,"&lt;="&amp;fEnd)</f>
        <v>319</v>
      </c>
      <c r="G101" s="11">
        <f t="shared" si="48"/>
        <v>0.26106284515476774</v>
      </c>
      <c r="H101" s="11">
        <f t="shared" si="49"/>
        <v>0.17233129582522477</v>
      </c>
      <c r="I101" s="11">
        <f>IF($B$105=0,0,B101/$B$105)</f>
        <v>0.25686449269789563</v>
      </c>
      <c r="J101" s="28">
        <f t="shared" si="50"/>
        <v>423.10990595611287</v>
      </c>
    </row>
    <row r="102" spans="1:17" x14ac:dyDescent="0.35">
      <c r="A102" t="s">
        <v>71</v>
      </c>
      <c r="B102" s="28">
        <f>SUMIFS(d_NetSales,d_Category,fCat,d_City,fCity,d_Cust,fCust,d_Pay,fPay,d_City,$A102,d_Date,"&gt;="&amp;fStart,d_Date,"&lt;="&amp;fEnd)</f>
        <v>126739.12999999999</v>
      </c>
      <c r="C102" s="28">
        <f>SUMIFS(d_GP,d_Category,fCat,d_City,fCity,d_Cust,fCust,d_Pay,fPay,d_City,$A102,d_Date,"&gt;="&amp;fStart,d_Date,"&lt;="&amp;fEnd)</f>
        <v>33215.700000000012</v>
      </c>
      <c r="D102" s="28">
        <f>SUMIFS(d_NP,d_Category,fCat,d_City,fCity,d_Cust,fCust,d_Pay,fPay,d_City,$A102,d_Date,"&gt;="&amp;fStart,d_Date,"&lt;="&amp;fEnd)</f>
        <v>21755.420000000013</v>
      </c>
      <c r="E102" s="29">
        <f>SUMIFS(d_NetQty,d_Category,fCat,d_City,fCity,d_Cust,fCust,d_Pay,fPay,d_City,$A102,d_Date,"&gt;="&amp;fStart,d_Date,"&lt;="&amp;fEnd)</f>
        <v>996</v>
      </c>
      <c r="F102" s="29">
        <f>COUNTIFS(d_Category,fCat,d_City,fCity,d_Cust,fCust,d_Pay,fPay,d_City,$A102,d_Date,"&gt;="&amp;fStart,d_Date,"&lt;="&amp;fEnd)</f>
        <v>326</v>
      </c>
      <c r="G102" s="11">
        <f t="shared" si="48"/>
        <v>0.26207928048740758</v>
      </c>
      <c r="H102" s="11">
        <f t="shared" si="49"/>
        <v>0.17165511551168147</v>
      </c>
      <c r="I102" s="11">
        <f>IF($B$105=0,0,B102/$B$105)</f>
        <v>0.24119645452860866</v>
      </c>
      <c r="J102" s="28">
        <f t="shared" si="50"/>
        <v>388.77033742331287</v>
      </c>
    </row>
    <row r="103" spans="1:17" x14ac:dyDescent="0.35">
      <c r="A103" t="s">
        <v>76</v>
      </c>
      <c r="B103" s="28">
        <f>SUMIFS(d_NetSales,d_Category,fCat,d_City,fCity,d_Cust,fCust,d_Pay,fPay,d_City,$A103,d_Date,"&gt;="&amp;fStart,d_Date,"&lt;="&amp;fEnd)</f>
        <v>123015.35999999999</v>
      </c>
      <c r="C103" s="28">
        <f>SUMIFS(d_GP,d_Category,fCat,d_City,fCity,d_Cust,fCust,d_Pay,fPay,d_City,$A103,d_Date,"&gt;="&amp;fStart,d_Date,"&lt;="&amp;fEnd)</f>
        <v>31569.379999999986</v>
      </c>
      <c r="D103" s="28">
        <f>SUMIFS(d_NP,d_Category,fCat,d_City,fCity,d_Cust,fCust,d_Pay,fPay,d_City,$A103,d_Date,"&gt;="&amp;fStart,d_Date,"&lt;="&amp;fEnd)</f>
        <v>20462.97</v>
      </c>
      <c r="E103" s="29">
        <f>SUMIFS(d_NetQty,d_Category,fCat,d_City,fCity,d_Cust,fCust,d_Pay,fPay,d_City,$A103,d_Date,"&gt;="&amp;fStart,d_Date,"&lt;="&amp;fEnd)</f>
        <v>994</v>
      </c>
      <c r="F103" s="29">
        <f>COUNTIFS(d_Category,fCat,d_City,fCity,d_Cust,fCust,d_Pay,fPay,d_City,$A103,d_Date,"&gt;="&amp;fStart,d_Date,"&lt;="&amp;fEnd)</f>
        <v>313</v>
      </c>
      <c r="G103" s="11">
        <f t="shared" si="48"/>
        <v>0.25662957861522323</v>
      </c>
      <c r="H103" s="11">
        <f t="shared" si="49"/>
        <v>0.16634483693743612</v>
      </c>
      <c r="I103" s="11">
        <f>IF($B$105=0,0,B103/$B$105)</f>
        <v>0.23410977086997856</v>
      </c>
      <c r="J103" s="28">
        <f t="shared" si="50"/>
        <v>393.02031948881785</v>
      </c>
    </row>
    <row r="104" spans="1:17" x14ac:dyDescent="0.35">
      <c r="A104" t="s">
        <v>2133</v>
      </c>
      <c r="B104" s="28">
        <f>SUMIFS(d_NetSales,d_Category,fCat,d_City,fCity,d_Cust,fCust,d_Pay,fPay,d_City,$A104,d_Date,"&gt;="&amp;fStart,d_Date,"&lt;="&amp;fEnd)</f>
        <v>3980.4</v>
      </c>
      <c r="C104" s="28">
        <f>SUMIFS(d_GP,d_Category,fCat,d_City,fCity,d_Cust,fCust,d_Pay,fPay,d_City,$A104,d_Date,"&gt;="&amp;fStart,d_Date,"&lt;="&amp;fEnd)</f>
        <v>1335.43</v>
      </c>
      <c r="D104" s="28">
        <f>SUMIFS(d_NP,d_Category,fCat,d_City,fCity,d_Cust,fCust,d_Pay,fPay,d_City,$A104,d_Date,"&gt;="&amp;fStart,d_Date,"&lt;="&amp;fEnd)</f>
        <v>934.16000000000008</v>
      </c>
      <c r="E104" s="29">
        <f>SUMIFS(d_NetQty,d_Category,fCat,d_City,fCity,d_Cust,fCust,d_Pay,fPay,d_City,$A104,d_Date,"&gt;="&amp;fStart,d_Date,"&lt;="&amp;fEnd)</f>
        <v>20</v>
      </c>
      <c r="F104" s="29">
        <f>COUNTIFS(d_Category,fCat,d_City,fCity,d_Cust,fCust,d_Pay,fPay,d_City,$A104,d_Date,"&gt;="&amp;fStart,d_Date,"&lt;="&amp;fEnd)</f>
        <v>8</v>
      </c>
      <c r="G104" s="11">
        <f t="shared" si="48"/>
        <v>0.33550145713998591</v>
      </c>
      <c r="H104" s="11">
        <f t="shared" si="49"/>
        <v>0.23468998090644158</v>
      </c>
      <c r="I104" s="11">
        <f>IF($B$105=0,0,B104/$B$105)</f>
        <v>7.5750746245904802E-3</v>
      </c>
      <c r="J104" s="28">
        <f t="shared" si="50"/>
        <v>497.55</v>
      </c>
    </row>
    <row r="105" spans="1:17" x14ac:dyDescent="0.35">
      <c r="A105" s="20" t="s">
        <v>2233</v>
      </c>
      <c r="B105" s="31">
        <f>SUM(B100:B104)</f>
        <v>525460.17000000004</v>
      </c>
      <c r="C105" s="31">
        <f>SUM(C100:C104)</f>
        <v>136936.28000000003</v>
      </c>
      <c r="D105" s="31">
        <f>SUM(D100:D104)</f>
        <v>89567.450000000026</v>
      </c>
      <c r="E105" s="32">
        <f>SUM(E100:E104)</f>
        <v>4174</v>
      </c>
      <c r="F105" s="32">
        <f>SUM(F100:F104)</f>
        <v>1320</v>
      </c>
      <c r="G105" s="11">
        <f t="shared" si="48"/>
        <v>0.26060258763285526</v>
      </c>
      <c r="H105" s="11">
        <f t="shared" si="49"/>
        <v>0.17045526019602975</v>
      </c>
      <c r="I105" s="11">
        <f>SUM(I100:I104)</f>
        <v>1</v>
      </c>
      <c r="J105" s="28">
        <f t="shared" si="50"/>
        <v>398.07588636363641</v>
      </c>
    </row>
    <row r="108" spans="1:17" x14ac:dyDescent="0.35">
      <c r="A108" s="17" t="s">
        <v>2244</v>
      </c>
      <c r="B108" s="18"/>
      <c r="C108" s="18"/>
      <c r="D108" s="18"/>
      <c r="E108" s="18"/>
      <c r="F108" s="18"/>
      <c r="G108" s="18"/>
      <c r="H108" s="18"/>
      <c r="I108" s="18"/>
      <c r="J108" s="18"/>
      <c r="K108" s="18"/>
      <c r="L108" s="18"/>
      <c r="M108" s="18"/>
      <c r="N108" s="18"/>
      <c r="O108" s="18"/>
      <c r="P108" s="18"/>
      <c r="Q108" s="18"/>
    </row>
    <row r="109" spans="1:17" ht="30" customHeight="1" x14ac:dyDescent="0.35">
      <c r="A109" s="24" t="s">
        <v>52</v>
      </c>
      <c r="B109" s="24" t="s">
        <v>47</v>
      </c>
      <c r="C109" s="24" t="s">
        <v>49</v>
      </c>
      <c r="D109" s="24" t="s">
        <v>51</v>
      </c>
      <c r="E109" s="24" t="s">
        <v>46</v>
      </c>
      <c r="F109" s="24" t="s">
        <v>2222</v>
      </c>
      <c r="G109" s="24" t="s">
        <v>2223</v>
      </c>
      <c r="H109" s="24" t="s">
        <v>2224</v>
      </c>
      <c r="I109" s="24" t="s">
        <v>2230</v>
      </c>
      <c r="J109" s="24" t="s">
        <v>2226</v>
      </c>
    </row>
    <row r="110" spans="1:17" x14ac:dyDescent="0.35">
      <c r="A110" t="s">
        <v>59</v>
      </c>
      <c r="B110" s="28">
        <f>SUMIFS(d_NetSales,d_Category,fCat,d_City,fCity,d_Cust,fCust,d_Pay,fPay,d_Cust,$A110,d_Date,"&gt;="&amp;fStart,d_Date,"&lt;="&amp;fEnd)</f>
        <v>125066.87999999995</v>
      </c>
      <c r="C110" s="28">
        <f>SUMIFS(d_GP,d_Category,fCat,d_City,fCity,d_Cust,fCust,d_Pay,fPay,d_Cust,$A110,d_Date,"&gt;="&amp;fStart,d_Date,"&lt;="&amp;fEnd)</f>
        <v>33632.610000000015</v>
      </c>
      <c r="D110" s="28">
        <f>SUMIFS(d_NP,d_Category,fCat,d_City,fCity,d_Cust,fCust,d_Pay,fPay,d_Cust,$A110,d_Date,"&gt;="&amp;fStart,d_Date,"&lt;="&amp;fEnd)</f>
        <v>22122.790000000012</v>
      </c>
      <c r="E110" s="29">
        <f>SUMIFS(d_NetQty,d_Category,fCat,d_City,fCity,d_Cust,fCust,d_Pay,fPay,d_Cust,$A110,d_Date,"&gt;="&amp;fStart,d_Date,"&lt;="&amp;fEnd)</f>
        <v>987</v>
      </c>
      <c r="F110" s="29">
        <f>COUNTIFS(d_Category,fCat,d_City,fCity,d_Cust,fCust,d_Pay,fPay,d_Cust,$A110,d_Date,"&gt;="&amp;fStart,d_Date,"&lt;="&amp;fEnd)</f>
        <v>300</v>
      </c>
      <c r="G110" s="11">
        <f t="shared" ref="G110:G115" si="51">IF(B110=0,0,C110/B110)</f>
        <v>0.26891699864904306</v>
      </c>
      <c r="H110" s="11">
        <f t="shared" ref="H110:H115" si="52">IF(B110=0,0,D110/B110)</f>
        <v>0.17688767801675409</v>
      </c>
      <c r="I110" s="11">
        <f>IF($B$115=0,0,B110/$B$115)</f>
        <v>0.23801400589506133</v>
      </c>
      <c r="J110" s="28">
        <f t="shared" ref="J110:J115" si="53">IF(F110=0,0,B110/F110)</f>
        <v>416.8895999999998</v>
      </c>
    </row>
    <row r="111" spans="1:17" x14ac:dyDescent="0.35">
      <c r="A111" t="s">
        <v>75</v>
      </c>
      <c r="B111" s="28">
        <f>SUMIFS(d_NetSales,d_Category,fCat,d_City,fCity,d_Cust,fCust,d_Pay,fPay,d_Cust,$A111,d_Date,"&gt;="&amp;fStart,d_Date,"&lt;="&amp;fEnd)</f>
        <v>125432.79000000002</v>
      </c>
      <c r="C111" s="28">
        <f>SUMIFS(d_GP,d_Category,fCat,d_City,fCity,d_Cust,fCust,d_Pay,fPay,d_Cust,$A111,d_Date,"&gt;="&amp;fStart,d_Date,"&lt;="&amp;fEnd)</f>
        <v>32530.330000000005</v>
      </c>
      <c r="D111" s="28">
        <f>SUMIFS(d_NP,d_Category,fCat,d_City,fCity,d_Cust,fCust,d_Pay,fPay,d_Cust,$A111,d_Date,"&gt;="&amp;fStart,d_Date,"&lt;="&amp;fEnd)</f>
        <v>21277.610000000004</v>
      </c>
      <c r="E111" s="29">
        <f>SUMIFS(d_NetQty,d_Category,fCat,d_City,fCity,d_Cust,fCust,d_Pay,fPay,d_Cust,$A111,d_Date,"&gt;="&amp;fStart,d_Date,"&lt;="&amp;fEnd)</f>
        <v>977</v>
      </c>
      <c r="F111" s="29">
        <f>COUNTIFS(d_Category,fCat,d_City,fCity,d_Cust,fCust,d_Pay,fPay,d_Cust,$A111,d_Date,"&gt;="&amp;fStart,d_Date,"&lt;="&amp;fEnd)</f>
        <v>323</v>
      </c>
      <c r="G111" s="11">
        <f t="shared" si="51"/>
        <v>0.25934470563877277</v>
      </c>
      <c r="H111" s="11">
        <f t="shared" si="52"/>
        <v>0.16963355435209565</v>
      </c>
      <c r="I111" s="11">
        <f>IF($B$115=0,0,B111/$B$115)</f>
        <v>0.23871036695321743</v>
      </c>
      <c r="J111" s="28">
        <f t="shared" si="53"/>
        <v>388.33681114551092</v>
      </c>
    </row>
    <row r="112" spans="1:17" x14ac:dyDescent="0.35">
      <c r="A112" t="s">
        <v>81</v>
      </c>
      <c r="B112" s="28">
        <f>SUMIFS(d_NetSales,d_Category,fCat,d_City,fCity,d_Cust,fCust,d_Pay,fPay,d_Cust,$A112,d_Date,"&gt;="&amp;fStart,d_Date,"&lt;="&amp;fEnd)</f>
        <v>131397.22999999998</v>
      </c>
      <c r="C112" s="28">
        <f>SUMIFS(d_GP,d_Category,fCat,d_City,fCity,d_Cust,fCust,d_Pay,fPay,d_Cust,$A112,d_Date,"&gt;="&amp;fStart,d_Date,"&lt;="&amp;fEnd)</f>
        <v>32909.39999999998</v>
      </c>
      <c r="D112" s="28">
        <f>SUMIFS(d_NP,d_Category,fCat,d_City,fCity,d_Cust,fCust,d_Pay,fPay,d_Cust,$A112,d_Date,"&gt;="&amp;fStart,d_Date,"&lt;="&amp;fEnd)</f>
        <v>21332.540000000005</v>
      </c>
      <c r="E112" s="29">
        <f>SUMIFS(d_NetQty,d_Category,fCat,d_City,fCity,d_Cust,fCust,d_Pay,fPay,d_Cust,$A112,d_Date,"&gt;="&amp;fStart,d_Date,"&lt;="&amp;fEnd)</f>
        <v>1059</v>
      </c>
      <c r="F112" s="29">
        <f>COUNTIFS(d_Category,fCat,d_City,fCity,d_Cust,fCust,d_Pay,fPay,d_Cust,$A112,d_Date,"&gt;="&amp;fStart,d_Date,"&lt;="&amp;fEnd)</f>
        <v>339</v>
      </c>
      <c r="G112" s="11">
        <f t="shared" si="51"/>
        <v>0.25045733460286784</v>
      </c>
      <c r="H112" s="11">
        <f t="shared" si="52"/>
        <v>0.16235151989124891</v>
      </c>
      <c r="I112" s="11">
        <f>IF($B$115=0,0,B112/$B$115)</f>
        <v>0.25006125583219746</v>
      </c>
      <c r="J112" s="28">
        <f t="shared" si="53"/>
        <v>387.60244837758108</v>
      </c>
    </row>
    <row r="113" spans="1:17" x14ac:dyDescent="0.35">
      <c r="A113" t="s">
        <v>65</v>
      </c>
      <c r="B113" s="28">
        <f>SUMIFS(d_NetSales,d_Category,fCat,d_City,fCity,d_Cust,fCust,d_Pay,fPay,d_Cust,$A113,d_Date,"&gt;="&amp;fStart,d_Date,"&lt;="&amp;fEnd)</f>
        <v>140801.21</v>
      </c>
      <c r="C113" s="28">
        <f>SUMIFS(d_GP,d_Category,fCat,d_City,fCity,d_Cust,fCust,d_Pay,fPay,d_Cust,$A113,d_Date,"&gt;="&amp;fStart,d_Date,"&lt;="&amp;fEnd)</f>
        <v>37224.37000000001</v>
      </c>
      <c r="D113" s="28">
        <f>SUMIFS(d_NP,d_Category,fCat,d_City,fCity,d_Cust,fCust,d_Pay,fPay,d_Cust,$A113,d_Date,"&gt;="&amp;fStart,d_Date,"&lt;="&amp;fEnd)</f>
        <v>24457.33</v>
      </c>
      <c r="E113" s="29">
        <f>SUMIFS(d_NetQty,d_Category,fCat,d_City,fCity,d_Cust,fCust,d_Pay,fPay,d_Cust,$A113,d_Date,"&gt;="&amp;fStart,d_Date,"&lt;="&amp;fEnd)</f>
        <v>1131</v>
      </c>
      <c r="F113" s="29">
        <f>COUNTIFS(d_Category,fCat,d_City,fCity,d_Cust,fCust,d_Pay,fPay,d_Cust,$A113,d_Date,"&gt;="&amp;fStart,d_Date,"&lt;="&amp;fEnd)</f>
        <v>350</v>
      </c>
      <c r="G113" s="11">
        <f t="shared" si="51"/>
        <v>0.26437535586519473</v>
      </c>
      <c r="H113" s="11">
        <f t="shared" si="52"/>
        <v>0.17370113509677937</v>
      </c>
      <c r="I113" s="11">
        <f>IF($B$115=0,0,B113/$B$115)</f>
        <v>0.26795791201453001</v>
      </c>
      <c r="J113" s="28">
        <f t="shared" si="53"/>
        <v>402.28917142857142</v>
      </c>
    </row>
    <row r="114" spans="1:17" x14ac:dyDescent="0.35">
      <c r="A114" t="s">
        <v>2133</v>
      </c>
      <c r="B114" s="28">
        <f>SUMIFS(d_NetSales,d_Category,fCat,d_City,fCity,d_Cust,fCust,d_Pay,fPay,d_Cust,$A114,d_Date,"&gt;="&amp;fStart,d_Date,"&lt;="&amp;fEnd)</f>
        <v>2762.06</v>
      </c>
      <c r="C114" s="28">
        <f>SUMIFS(d_GP,d_Category,fCat,d_City,fCity,d_Cust,fCust,d_Pay,fPay,d_Cust,$A114,d_Date,"&gt;="&amp;fStart,d_Date,"&lt;="&amp;fEnd)</f>
        <v>639.56999999999994</v>
      </c>
      <c r="D114" s="28">
        <f>SUMIFS(d_NP,d_Category,fCat,d_City,fCity,d_Cust,fCust,d_Pay,fPay,d_Cust,$A114,d_Date,"&gt;="&amp;fStart,d_Date,"&lt;="&amp;fEnd)</f>
        <v>377.18</v>
      </c>
      <c r="E114" s="29">
        <f>SUMIFS(d_NetQty,d_Category,fCat,d_City,fCity,d_Cust,fCust,d_Pay,fPay,d_Cust,$A114,d_Date,"&gt;="&amp;fStart,d_Date,"&lt;="&amp;fEnd)</f>
        <v>20</v>
      </c>
      <c r="F114" s="29">
        <f>COUNTIFS(d_Category,fCat,d_City,fCity,d_Cust,fCust,d_Pay,fPay,d_Cust,$A114,d_Date,"&gt;="&amp;fStart,d_Date,"&lt;="&amp;fEnd)</f>
        <v>8</v>
      </c>
      <c r="G114" s="11">
        <f t="shared" si="51"/>
        <v>0.23155543326357861</v>
      </c>
      <c r="H114" s="11">
        <f t="shared" si="52"/>
        <v>0.13655749694068919</v>
      </c>
      <c r="I114" s="11">
        <f>IF($B$115=0,0,B114/$B$115)</f>
        <v>5.2564593049935632E-3</v>
      </c>
      <c r="J114" s="28">
        <f t="shared" si="53"/>
        <v>345.25749999999999</v>
      </c>
    </row>
    <row r="115" spans="1:17" x14ac:dyDescent="0.35">
      <c r="A115" s="20" t="s">
        <v>2233</v>
      </c>
      <c r="B115" s="31">
        <f>SUM(B110:B114)</f>
        <v>525460.17000000004</v>
      </c>
      <c r="C115" s="31">
        <f>SUM(C110:C114)</f>
        <v>136936.28000000003</v>
      </c>
      <c r="D115" s="31">
        <f>SUM(D110:D114)</f>
        <v>89567.450000000012</v>
      </c>
      <c r="E115" s="32">
        <f>SUM(E110:E114)</f>
        <v>4174</v>
      </c>
      <c r="F115" s="32">
        <f>SUM(F110:F114)</f>
        <v>1320</v>
      </c>
      <c r="G115" s="11">
        <f t="shared" si="51"/>
        <v>0.26060258763285526</v>
      </c>
      <c r="H115" s="11">
        <f t="shared" si="52"/>
        <v>0.17045526019602972</v>
      </c>
      <c r="I115" s="11">
        <f>SUM(I110:I114)</f>
        <v>0.99999999999999967</v>
      </c>
      <c r="J115" s="28">
        <f t="shared" si="53"/>
        <v>398.07588636363641</v>
      </c>
    </row>
    <row r="118" spans="1:17" x14ac:dyDescent="0.35">
      <c r="A118" s="17" t="s">
        <v>2245</v>
      </c>
      <c r="B118" s="18"/>
      <c r="C118" s="18"/>
      <c r="D118" s="18"/>
      <c r="E118" s="18"/>
      <c r="F118" s="18"/>
      <c r="G118" s="18"/>
      <c r="H118" s="18"/>
      <c r="I118" s="18"/>
      <c r="J118" s="18"/>
      <c r="K118" s="18"/>
      <c r="L118" s="18"/>
      <c r="M118" s="18"/>
      <c r="N118" s="18"/>
      <c r="O118" s="18"/>
      <c r="P118" s="18"/>
      <c r="Q118" s="18"/>
    </row>
    <row r="119" spans="1:17" ht="30" customHeight="1" x14ac:dyDescent="0.35">
      <c r="A119" s="24" t="s">
        <v>53</v>
      </c>
      <c r="B119" s="24" t="s">
        <v>47</v>
      </c>
      <c r="C119" s="24" t="s">
        <v>49</v>
      </c>
      <c r="D119" s="24" t="s">
        <v>51</v>
      </c>
      <c r="E119" s="24" t="s">
        <v>46</v>
      </c>
      <c r="F119" s="24" t="s">
        <v>2222</v>
      </c>
      <c r="G119" s="24" t="s">
        <v>2223</v>
      </c>
      <c r="H119" s="24" t="s">
        <v>2224</v>
      </c>
      <c r="I119" s="24" t="s">
        <v>2230</v>
      </c>
      <c r="J119" s="24" t="s">
        <v>2226</v>
      </c>
    </row>
    <row r="120" spans="1:17" x14ac:dyDescent="0.35">
      <c r="A120" t="s">
        <v>60</v>
      </c>
      <c r="B120" s="28">
        <f>SUMIFS(d_NetSales,d_Category,fCat,d_City,fCity,d_Cust,fCust,d_Pay,fPay,d_Pay,$A120,d_Date,"&gt;="&amp;fStart,d_Date,"&lt;="&amp;fEnd)</f>
        <v>128540.19</v>
      </c>
      <c r="C120" s="28">
        <f>SUMIFS(d_GP,d_Category,fCat,d_City,fCity,d_Cust,fCust,d_Pay,fPay,d_Pay,$A120,d_Date,"&gt;="&amp;fStart,d_Date,"&lt;="&amp;fEnd)</f>
        <v>33549.629999999997</v>
      </c>
      <c r="D120" s="28">
        <f>SUMIFS(d_NP,d_Category,fCat,d_City,fCity,d_Cust,fCust,d_Pay,fPay,d_Pay,$A120,d_Date,"&gt;="&amp;fStart,d_Date,"&lt;="&amp;fEnd)</f>
        <v>22232.010000000006</v>
      </c>
      <c r="E120" s="29">
        <f>SUMIFS(d_NetQty,d_Category,fCat,d_City,fCity,d_Cust,fCust,d_Pay,fPay,d_Pay,$A120,d_Date,"&gt;="&amp;fStart,d_Date,"&lt;="&amp;fEnd)</f>
        <v>1026</v>
      </c>
      <c r="F120" s="29">
        <f>COUNTIFS(d_Category,fCat,d_City,fCity,d_Cust,fCust,d_Pay,fPay,d_Pay,$A120,d_Date,"&gt;="&amp;fStart,d_Date,"&lt;="&amp;fEnd)</f>
        <v>329</v>
      </c>
      <c r="G120" s="11">
        <f t="shared" ref="G120:G125" si="54">IF(B120=0,0,C120/B120)</f>
        <v>0.26100498217716961</v>
      </c>
      <c r="H120" s="11">
        <f t="shared" ref="H120:H125" si="55">IF(B120=0,0,D120/B120)</f>
        <v>0.17295765627855386</v>
      </c>
      <c r="I120" s="11">
        <f>IF($B$125=0,0,B120/$B$125)</f>
        <v>0.24462404067657501</v>
      </c>
      <c r="J120" s="28">
        <f t="shared" ref="J120:J125" si="56">IF(F120=0,0,B120/F120)</f>
        <v>390.69966565349546</v>
      </c>
    </row>
    <row r="121" spans="1:17" x14ac:dyDescent="0.35">
      <c r="A121" t="s">
        <v>66</v>
      </c>
      <c r="B121" s="28">
        <f>SUMIFS(d_NetSales,d_Category,fCat,d_City,fCity,d_Cust,fCust,d_Pay,fPay,d_Pay,$A121,d_Date,"&gt;="&amp;fStart,d_Date,"&lt;="&amp;fEnd)</f>
        <v>136464.80999999997</v>
      </c>
      <c r="C121" s="28">
        <f>SUMIFS(d_GP,d_Category,fCat,d_City,fCity,d_Cust,fCust,d_Pay,fPay,d_Pay,$A121,d_Date,"&gt;="&amp;fStart,d_Date,"&lt;="&amp;fEnd)</f>
        <v>35624.030000000006</v>
      </c>
      <c r="D121" s="28">
        <f>SUMIFS(d_NP,d_Category,fCat,d_City,fCity,d_Cust,fCust,d_Pay,fPay,d_Pay,$A121,d_Date,"&gt;="&amp;fStart,d_Date,"&lt;="&amp;fEnd)</f>
        <v>22997.320000000011</v>
      </c>
      <c r="E121" s="29">
        <f>SUMIFS(d_NetQty,d_Category,fCat,d_City,fCity,d_Cust,fCust,d_Pay,fPay,d_Pay,$A121,d_Date,"&gt;="&amp;fStart,d_Date,"&lt;="&amp;fEnd)</f>
        <v>1071</v>
      </c>
      <c r="F121" s="29">
        <f>COUNTIFS(d_Category,fCat,d_City,fCity,d_Cust,fCust,d_Pay,fPay,d_Pay,$A121,d_Date,"&gt;="&amp;fStart,d_Date,"&lt;="&amp;fEnd)</f>
        <v>331</v>
      </c>
      <c r="G121" s="11">
        <f t="shared" si="54"/>
        <v>0.26104920382038427</v>
      </c>
      <c r="H121" s="11">
        <f t="shared" si="55"/>
        <v>0.1685219801353918</v>
      </c>
      <c r="I121" s="11">
        <f>IF($B$125=0,0,B121/$B$125)</f>
        <v>0.25970533599149864</v>
      </c>
      <c r="J121" s="28">
        <f t="shared" si="56"/>
        <v>412.28039274924464</v>
      </c>
    </row>
    <row r="122" spans="1:17" x14ac:dyDescent="0.35">
      <c r="A122" t="s">
        <v>82</v>
      </c>
      <c r="B122" s="28">
        <f>SUMIFS(d_NetSales,d_Category,fCat,d_City,fCity,d_Cust,fCust,d_Pay,fPay,d_Pay,$A122,d_Date,"&gt;="&amp;fStart,d_Date,"&lt;="&amp;fEnd)</f>
        <v>123079.74999999999</v>
      </c>
      <c r="C122" s="28">
        <f>SUMIFS(d_GP,d_Category,fCat,d_City,fCity,d_Cust,fCust,d_Pay,fPay,d_Pay,$A122,d_Date,"&gt;="&amp;fStart,d_Date,"&lt;="&amp;fEnd)</f>
        <v>31674.9</v>
      </c>
      <c r="D122" s="28">
        <f>SUMIFS(d_NP,d_Category,fCat,d_City,fCity,d_Cust,fCust,d_Pay,fPay,d_Pay,$A122,d_Date,"&gt;="&amp;fStart,d_Date,"&lt;="&amp;fEnd)</f>
        <v>20866.820000000003</v>
      </c>
      <c r="E122" s="29">
        <f>SUMIFS(d_NetQty,d_Category,fCat,d_City,fCity,d_Cust,fCust,d_Pay,fPay,d_Pay,$A122,d_Date,"&gt;="&amp;fStart,d_Date,"&lt;="&amp;fEnd)</f>
        <v>1005</v>
      </c>
      <c r="F122" s="29">
        <f>COUNTIFS(d_Category,fCat,d_City,fCity,d_Cust,fCust,d_Pay,fPay,d_Pay,$A122,d_Date,"&gt;="&amp;fStart,d_Date,"&lt;="&amp;fEnd)</f>
        <v>320</v>
      </c>
      <c r="G122" s="11">
        <f t="shared" si="54"/>
        <v>0.25735265143128749</v>
      </c>
      <c r="H122" s="11">
        <f t="shared" si="55"/>
        <v>0.16953901840067115</v>
      </c>
      <c r="I122" s="11">
        <f>IF($B$125=0,0,B122/$B$125)</f>
        <v>0.23423231108078088</v>
      </c>
      <c r="J122" s="28">
        <f t="shared" si="56"/>
        <v>384.62421874999995</v>
      </c>
    </row>
    <row r="123" spans="1:17" x14ac:dyDescent="0.35">
      <c r="A123" t="s">
        <v>86</v>
      </c>
      <c r="B123" s="28">
        <f>SUMIFS(d_NetSales,d_Category,fCat,d_City,fCity,d_Cust,fCust,d_Pay,fPay,d_Pay,$A123,d_Date,"&gt;="&amp;fStart,d_Date,"&lt;="&amp;fEnd)</f>
        <v>132651.65999999997</v>
      </c>
      <c r="C123" s="28">
        <f>SUMIFS(d_GP,d_Category,fCat,d_City,fCity,d_Cust,fCust,d_Pay,fPay,d_Pay,$A123,d_Date,"&gt;="&amp;fStart,d_Date,"&lt;="&amp;fEnd)</f>
        <v>34764.609999999979</v>
      </c>
      <c r="D123" s="28">
        <f>SUMIFS(d_NP,d_Category,fCat,d_City,fCity,d_Cust,fCust,d_Pay,fPay,d_Pay,$A123,d_Date,"&gt;="&amp;fStart,d_Date,"&lt;="&amp;fEnd)</f>
        <v>22545.820000000003</v>
      </c>
      <c r="E123" s="29">
        <f>SUMIFS(d_NetQty,d_Category,fCat,d_City,fCity,d_Cust,fCust,d_Pay,fPay,d_Pay,$A123,d_Date,"&gt;="&amp;fStart,d_Date,"&lt;="&amp;fEnd)</f>
        <v>1035</v>
      </c>
      <c r="F123" s="29">
        <f>COUNTIFS(d_Category,fCat,d_City,fCity,d_Cust,fCust,d_Pay,fPay,d_Pay,$A123,d_Date,"&gt;="&amp;fStart,d_Date,"&lt;="&amp;fEnd)</f>
        <v>329</v>
      </c>
      <c r="G123" s="11">
        <f t="shared" si="54"/>
        <v>0.26207444369712363</v>
      </c>
      <c r="H123" s="11">
        <f t="shared" si="55"/>
        <v>0.16996259225101298</v>
      </c>
      <c r="I123" s="11">
        <f>IF($B$125=0,0,B123/$B$125)</f>
        <v>0.25244855380760828</v>
      </c>
      <c r="J123" s="28">
        <f t="shared" si="56"/>
        <v>403.19653495440724</v>
      </c>
    </row>
    <row r="124" spans="1:17" x14ac:dyDescent="0.35">
      <c r="A124" t="s">
        <v>2133</v>
      </c>
      <c r="B124" s="28">
        <f>SUMIFS(d_NetSales,d_Category,fCat,d_City,fCity,d_Cust,fCust,d_Pay,fPay,d_Pay,$A124,d_Date,"&gt;="&amp;fStart,d_Date,"&lt;="&amp;fEnd)</f>
        <v>4723.76</v>
      </c>
      <c r="C124" s="28">
        <f>SUMIFS(d_GP,d_Category,fCat,d_City,fCity,d_Cust,fCust,d_Pay,fPay,d_Pay,$A124,d_Date,"&gt;="&amp;fStart,d_Date,"&lt;="&amp;fEnd)</f>
        <v>1323.11</v>
      </c>
      <c r="D124" s="28">
        <f>SUMIFS(d_NP,d_Category,fCat,d_City,fCity,d_Cust,fCust,d_Pay,fPay,d_Pay,$A124,d_Date,"&gt;="&amp;fStart,d_Date,"&lt;="&amp;fEnd)</f>
        <v>925.48</v>
      </c>
      <c r="E124" s="29">
        <f>SUMIFS(d_NetQty,d_Category,fCat,d_City,fCity,d_Cust,fCust,d_Pay,fPay,d_Pay,$A124,d_Date,"&gt;="&amp;fStart,d_Date,"&lt;="&amp;fEnd)</f>
        <v>37</v>
      </c>
      <c r="F124" s="29">
        <f>COUNTIFS(d_Category,fCat,d_City,fCity,d_Cust,fCust,d_Pay,fPay,d_Pay,$A124,d_Date,"&gt;="&amp;fStart,d_Date,"&lt;="&amp;fEnd)</f>
        <v>11</v>
      </c>
      <c r="G124" s="11">
        <f t="shared" si="54"/>
        <v>0.28009678730502818</v>
      </c>
      <c r="H124" s="11">
        <f t="shared" si="55"/>
        <v>0.19592019916337833</v>
      </c>
      <c r="I124" s="11">
        <f>IF($B$125=0,0,B124/$B$125)</f>
        <v>8.9897584435372161E-3</v>
      </c>
      <c r="J124" s="28">
        <f t="shared" si="56"/>
        <v>429.43272727272728</v>
      </c>
    </row>
    <row r="125" spans="1:17" x14ac:dyDescent="0.35">
      <c r="A125" s="20" t="s">
        <v>2233</v>
      </c>
      <c r="B125" s="31">
        <f>SUM(B120:B124)</f>
        <v>525460.16999999993</v>
      </c>
      <c r="C125" s="31">
        <f>SUM(C120:C124)</f>
        <v>136936.27999999997</v>
      </c>
      <c r="D125" s="31">
        <f>SUM(D120:D124)</f>
        <v>89567.450000000026</v>
      </c>
      <c r="E125" s="32">
        <f>SUM(E120:E124)</f>
        <v>4174</v>
      </c>
      <c r="F125" s="32">
        <f>SUM(F120:F124)</f>
        <v>1320</v>
      </c>
      <c r="G125" s="11">
        <f t="shared" si="54"/>
        <v>0.26060258763285521</v>
      </c>
      <c r="H125" s="11">
        <f t="shared" si="55"/>
        <v>0.17045526019602977</v>
      </c>
      <c r="I125" s="11">
        <f>SUM(I120:I124)</f>
        <v>1</v>
      </c>
      <c r="J125" s="28">
        <f t="shared" si="56"/>
        <v>398.0758863636363</v>
      </c>
    </row>
    <row r="128" spans="1:17" x14ac:dyDescent="0.35">
      <c r="A128" s="17" t="s">
        <v>2246</v>
      </c>
      <c r="B128" s="18"/>
      <c r="C128" s="18"/>
      <c r="D128" s="18"/>
      <c r="E128" s="18"/>
      <c r="F128" s="18"/>
      <c r="G128" s="18"/>
      <c r="H128" s="18"/>
      <c r="I128" s="18"/>
      <c r="J128" s="18"/>
      <c r="K128" s="18"/>
      <c r="L128" s="18"/>
      <c r="M128" s="18"/>
      <c r="N128" s="18"/>
      <c r="O128" s="18"/>
      <c r="P128" s="18"/>
      <c r="Q128" s="18"/>
    </row>
    <row r="130" spans="1:17" x14ac:dyDescent="0.35">
      <c r="A130" s="20" t="s">
        <v>2247</v>
      </c>
      <c r="B130" s="22" t="str">
        <f>IF(MAX($B$54:$B$60)&lt;=0,"—",INDEX($A$54:$A$60,MATCH(MAX($B$54:$B$60),$B$54:$B$60,0))&amp;" · "&amp;"₹"&amp;TEXT(MAX($B$54:$B$60),"#,##0")&amp;" ("&amp;TEXT(MAX($B$54:$B$60)/$B$61,"0.0%")&amp;" of total)")</f>
        <v>Groceries · ₹2,01,364 (38.3% of total)</v>
      </c>
    </row>
    <row r="131" spans="1:17" x14ac:dyDescent="0.35">
      <c r="A131" s="20" t="s">
        <v>2248</v>
      </c>
      <c r="B131" s="22" t="str">
        <f>IF(MIN($M$54:$M$60)&gt;=1E+98,"—",INDEX($A$54:$A$60,MATCH(MIN($M$54:$M$60),$M$54:$M$60,0))&amp;" · "&amp;"₹"&amp;TEXT(MIN($M$54:$M$60),"#,##0")&amp;" ("&amp;TEXT(MIN($M$54:$M$60)/$B$61,"0.0%")&amp;" of total)")</f>
        <v>Stationery · ₹9,385 (1.8% of total)</v>
      </c>
    </row>
    <row r="132" spans="1:17" x14ac:dyDescent="0.35">
      <c r="A132" s="20" t="s">
        <v>2249</v>
      </c>
      <c r="B132" s="22" t="str">
        <f>IF(B91="—","—",B91&amp;" · "&amp;"₹"&amp;TEXT(C91,"#,##0"))</f>
        <v>Rice 5kg · ₹82,152</v>
      </c>
    </row>
    <row r="133" spans="1:17" x14ac:dyDescent="0.35">
      <c r="A133" s="20" t="s">
        <v>2250</v>
      </c>
      <c r="B133" s="22" t="str">
        <f>IF(D91="—","—",D91&amp;" · "&amp;"₹"&amp;TEXT(E91,"#,##0"))</f>
        <v>Mineral Water 1L · ₹3,398</v>
      </c>
    </row>
    <row r="134" spans="1:17" x14ac:dyDescent="0.35">
      <c r="A134" s="20" t="s">
        <v>2251</v>
      </c>
      <c r="B134" s="22" t="str">
        <f>IF(MAX($G$37:$G$48)&lt;=0,"—",INDEX($B$37:$B$48,MATCH(MAX($G$37:$G$48),$G$37:$G$48,0))&amp;" · "&amp;"₹"&amp;TEXT(MAX($G$37:$G$48),"#,##0"))</f>
        <v>Aug · ₹79,101</v>
      </c>
    </row>
    <row r="135" spans="1:17" x14ac:dyDescent="0.35">
      <c r="A135" s="20" t="s">
        <v>2252</v>
      </c>
      <c r="B135" s="22" t="str">
        <f>IF(MIN($R$37:$R$48)&gt;=1E+98,"—",INDEX($B$37:$B$48,MATCH(MIN($R$37:$R$48),$R$37:$R$48,0))&amp;" · "&amp;"₹"&amp;TEXT(MIN($R$37:$R$48),"#,##0"))</f>
        <v>Feb · ₹53,367</v>
      </c>
    </row>
    <row r="136" spans="1:17" x14ac:dyDescent="0.35">
      <c r="A136" s="20" t="s">
        <v>2253</v>
      </c>
      <c r="B136" s="22" t="str">
        <f>IF(MAX($N$54:$N$60)&lt;=0,"No returns in selection",INDEX($A$54:$A$60,MATCH(MAX($N$54:$N$60),$N$54:$N$60,0))&amp;" · "&amp;TEXT(MAX($N$54:$N$60),"0.0%")&amp;" of units ("&amp;INDEX($F$54:$F$60,MATCH(MAX($N$54:$N$60),$N$54:$N$60,0))&amp;" returned)")</f>
        <v>Snacks · 3.0% of units (19 returned)</v>
      </c>
    </row>
    <row r="139" spans="1:17" x14ac:dyDescent="0.35">
      <c r="A139" s="17" t="s">
        <v>2254</v>
      </c>
      <c r="B139" s="18"/>
      <c r="C139" s="18"/>
      <c r="D139" s="18"/>
      <c r="E139" s="18"/>
      <c r="F139" s="18"/>
      <c r="G139" s="18"/>
      <c r="H139" s="18"/>
      <c r="I139" s="18"/>
      <c r="J139" s="18"/>
      <c r="K139" s="18"/>
      <c r="L139" s="18"/>
      <c r="M139" s="18"/>
      <c r="N139" s="18"/>
      <c r="O139" s="18"/>
      <c r="P139" s="18"/>
      <c r="Q139" s="18"/>
    </row>
    <row r="140" spans="1:17" ht="30" customHeight="1" x14ac:dyDescent="0.35">
      <c r="A140" s="24" t="s">
        <v>2168</v>
      </c>
      <c r="B140" s="24" t="s">
        <v>2255</v>
      </c>
      <c r="C140" s="24" t="s">
        <v>2256</v>
      </c>
      <c r="D140" s="24" t="s">
        <v>2257</v>
      </c>
      <c r="E140" s="24" t="s">
        <v>2258</v>
      </c>
    </row>
    <row r="141" spans="1:17" x14ac:dyDescent="0.35">
      <c r="A141" s="22" t="s">
        <v>2259</v>
      </c>
      <c r="B141" s="33">
        <f>$B$21</f>
        <v>525460.17000000016</v>
      </c>
      <c r="C141" s="33">
        <f>$B$61</f>
        <v>525460.17000000004</v>
      </c>
      <c r="D141" s="33">
        <f t="shared" ref="D141:D152" si="57">ROUND(B141-C141,2)</f>
        <v>0</v>
      </c>
      <c r="E141" s="20" t="str">
        <f t="shared" ref="E141:E147" si="58">IF(D141=0,"OK","CHECK")</f>
        <v>OK</v>
      </c>
    </row>
    <row r="142" spans="1:17" x14ac:dyDescent="0.35">
      <c r="A142" s="22" t="s">
        <v>2260</v>
      </c>
      <c r="B142" s="33">
        <f>$B$21</f>
        <v>525460.17000000016</v>
      </c>
      <c r="C142" s="33">
        <f>$C$86</f>
        <v>525460.17000000004</v>
      </c>
      <c r="D142" s="33">
        <f t="shared" si="57"/>
        <v>0</v>
      </c>
      <c r="E142" s="20" t="str">
        <f t="shared" si="58"/>
        <v>OK</v>
      </c>
    </row>
    <row r="143" spans="1:17" x14ac:dyDescent="0.35">
      <c r="A143" s="22" t="s">
        <v>2261</v>
      </c>
      <c r="B143" s="33">
        <f>$B$21</f>
        <v>525460.17000000016</v>
      </c>
      <c r="C143" s="33">
        <f>$B$105</f>
        <v>525460.17000000004</v>
      </c>
      <c r="D143" s="33">
        <f t="shared" si="57"/>
        <v>0</v>
      </c>
      <c r="E143" s="20" t="str">
        <f t="shared" si="58"/>
        <v>OK</v>
      </c>
    </row>
    <row r="144" spans="1:17" x14ac:dyDescent="0.35">
      <c r="A144" s="22" t="s">
        <v>2262</v>
      </c>
      <c r="B144" s="33">
        <f>$B$21</f>
        <v>525460.17000000016</v>
      </c>
      <c r="C144" s="33">
        <f>$B$115</f>
        <v>525460.17000000004</v>
      </c>
      <c r="D144" s="33">
        <f t="shared" si="57"/>
        <v>0</v>
      </c>
      <c r="E144" s="20" t="str">
        <f t="shared" si="58"/>
        <v>OK</v>
      </c>
    </row>
    <row r="145" spans="1:5" x14ac:dyDescent="0.35">
      <c r="A145" s="22" t="s">
        <v>2263</v>
      </c>
      <c r="B145" s="33">
        <f>$B$21</f>
        <v>525460.17000000016</v>
      </c>
      <c r="C145" s="33">
        <f>$B$125</f>
        <v>525460.16999999993</v>
      </c>
      <c r="D145" s="33">
        <f t="shared" si="57"/>
        <v>0</v>
      </c>
      <c r="E145" s="20" t="str">
        <f t="shared" si="58"/>
        <v>OK</v>
      </c>
    </row>
    <row r="146" spans="1:5" x14ac:dyDescent="0.35">
      <c r="A146" s="22" t="s">
        <v>2264</v>
      </c>
      <c r="B146" s="33">
        <f>$B$27</f>
        <v>1320</v>
      </c>
      <c r="C146" s="33">
        <f>$F$105</f>
        <v>1320</v>
      </c>
      <c r="D146" s="33">
        <f t="shared" si="57"/>
        <v>0</v>
      </c>
      <c r="E146" s="20" t="str">
        <f t="shared" si="58"/>
        <v>OK</v>
      </c>
    </row>
    <row r="147" spans="1:5" x14ac:dyDescent="0.35">
      <c r="A147" s="22" t="s">
        <v>2265</v>
      </c>
      <c r="B147" s="33">
        <f>$B$26</f>
        <v>4174</v>
      </c>
      <c r="C147" s="33">
        <f>$G$61</f>
        <v>4174</v>
      </c>
      <c r="D147" s="33">
        <f t="shared" si="57"/>
        <v>0</v>
      </c>
      <c r="E147" s="20" t="str">
        <f t="shared" si="58"/>
        <v>OK</v>
      </c>
    </row>
    <row r="148" spans="1:5" x14ac:dyDescent="0.35">
      <c r="A148" s="22" t="s">
        <v>2266</v>
      </c>
      <c r="B148" s="33">
        <f>$G$49</f>
        <v>779939.04999999993</v>
      </c>
      <c r="C148" s="33">
        <f>$B$21</f>
        <v>525460.17000000016</v>
      </c>
      <c r="D148" s="33">
        <f t="shared" si="57"/>
        <v>254478.88</v>
      </c>
      <c r="E148" s="20" t="str">
        <f>IF(AND($C$9=1,$C$10=12),IF(D148=0,"OK","CHECK"),"n/a (period filter active)")</f>
        <v>n/a (period filter active)</v>
      </c>
    </row>
    <row r="149" spans="1:5" x14ac:dyDescent="0.35">
      <c r="A149" s="22" t="s">
        <v>2267</v>
      </c>
      <c r="B149" s="33">
        <f>$B$21</f>
        <v>525460.17000000016</v>
      </c>
      <c r="C149" s="33">
        <f>$B$19-$B$20</f>
        <v>525460.17000000039</v>
      </c>
      <c r="D149" s="33">
        <f t="shared" si="57"/>
        <v>0</v>
      </c>
      <c r="E149" s="20" t="str">
        <f>IF(D149=0,"OK","CHECK")</f>
        <v>OK</v>
      </c>
    </row>
    <row r="150" spans="1:5" x14ac:dyDescent="0.35">
      <c r="A150" s="22" t="s">
        <v>2268</v>
      </c>
      <c r="B150" s="33">
        <f>$B$21</f>
        <v>525460.17000000016</v>
      </c>
      <c r="C150" s="33">
        <f>SUM(d_NetSales)</f>
        <v>779939.05000000016</v>
      </c>
      <c r="D150" s="33">
        <f t="shared" si="57"/>
        <v>-254478.88</v>
      </c>
      <c r="E150" s="20" t="str">
        <f>IF($C$14=1,IF(D150=0,"OK","CHECK"),"n/a (filters active)")</f>
        <v>n/a (filters active)</v>
      </c>
    </row>
    <row r="151" spans="1:5" x14ac:dyDescent="0.35">
      <c r="A151" s="22" t="s">
        <v>2269</v>
      </c>
      <c r="B151" s="33">
        <f>$B$22</f>
        <v>136936.27999999982</v>
      </c>
      <c r="C151" s="33">
        <f>SUM(d_GP)</f>
        <v>202289.57999999955</v>
      </c>
      <c r="D151" s="33">
        <f t="shared" si="57"/>
        <v>-65353.3</v>
      </c>
      <c r="E151" s="20" t="str">
        <f>IF($C$14=1,IF(D151=0,"OK","CHECK"),"n/a (filters active)")</f>
        <v>n/a (filters active)</v>
      </c>
    </row>
    <row r="152" spans="1:5" x14ac:dyDescent="0.35">
      <c r="A152" s="22" t="s">
        <v>2270</v>
      </c>
      <c r="B152" s="33">
        <f>$B$23</f>
        <v>89567.450000000055</v>
      </c>
      <c r="C152" s="33">
        <f>SUM(d_NP)</f>
        <v>132322.39000000019</v>
      </c>
      <c r="D152" s="33">
        <f t="shared" si="57"/>
        <v>-42754.94</v>
      </c>
      <c r="E152" s="20" t="str">
        <f>IF($C$14=1,IF(D152=0,"OK","CHECK"),"n/a (filters active)")</f>
        <v>n/a (filters active)</v>
      </c>
    </row>
    <row r="153" spans="1:5" x14ac:dyDescent="0.35">
      <c r="A153" s="20" t="s">
        <v>2271</v>
      </c>
      <c r="B153" s="34" t="str">
        <f>IF(COUNTIF($E$141:$E$152,"CHECK")=0,"✔ All reconciliation checks pass — dashboard ties to Cleaned Data","✖ Reconciliation check failing — see Calc sheet section 11")</f>
        <v>✔ All reconciliation checks pass — dashboard ties to Cleaned Data</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26</vt:i4>
      </vt:variant>
    </vt:vector>
  </HeadingPairs>
  <TitlesOfParts>
    <vt:vector size="33" baseType="lpstr">
      <vt:lpstr>Requirements</vt:lpstr>
      <vt:lpstr>Raw Data</vt:lpstr>
      <vt:lpstr>Cleaned Data</vt:lpstr>
      <vt:lpstr>Dashboard</vt:lpstr>
      <vt:lpstr>Insights &amp; Recommendations</vt:lpstr>
      <vt:lpstr>Quality Checks</vt:lpstr>
      <vt:lpstr>Calc</vt:lpstr>
      <vt:lpstr>d_Category</vt:lpstr>
      <vt:lpstr>d_City</vt:lpstr>
      <vt:lpstr>d_COGS</vt:lpstr>
      <vt:lpstr>d_Cust</vt:lpstr>
      <vt:lpstr>d_Date</vt:lpstr>
      <vt:lpstr>d_Disc</vt:lpstr>
      <vt:lpstr>d_GP</vt:lpstr>
      <vt:lpstr>d_Inv</vt:lpstr>
      <vt:lpstr>d_NetQty</vt:lpstr>
      <vt:lpstr>d_NetSales</vt:lpstr>
      <vt:lpstr>d_NP</vt:lpstr>
      <vt:lpstr>d_Opex</vt:lpstr>
      <vt:lpstr>d_Pay</vt:lpstr>
      <vt:lpstr>d_Product</vt:lpstr>
      <vt:lpstr>d_Qty</vt:lpstr>
      <vt:lpstr>d_RetQty</vt:lpstr>
      <vt:lpstr>d_Sales</vt:lpstr>
      <vt:lpstr>d_SalesRet</vt:lpstr>
      <vt:lpstr>fCat</vt:lpstr>
      <vt:lpstr>fCity</vt:lpstr>
      <vt:lpstr>fCust</vt:lpstr>
      <vt:lpstr>fEnd</vt:lpstr>
      <vt:lpstr>fPay</vt:lpstr>
      <vt:lpstr>fStart</vt:lpstr>
      <vt:lpstr>Dashboard!Print_Area</vt:lpstr>
      <vt:lpstr>'Insights &amp; Recommendations'!Print_Area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Raja Gehlot</cp:lastModifiedBy>
  <cp:revision>1</cp:revision>
  <cp:lastPrinted>2026-09-25T10:44:17Z</cp:lastPrinted>
  <dcterms:created xsi:type="dcterms:W3CDTF">2026-09-21T08:01:43Z</dcterms:created>
  <dcterms:modified xsi:type="dcterms:W3CDTF">2026-09-25T10:44:21Z</dcterms:modified>
  <dc:language>en-US</dc:language>
</cp:coreProperties>
</file>